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tung siltap" sheetId="1" r:id="rId4"/>
    <sheet state="visible" name="hitung kewenangan kegiatan" sheetId="2" r:id="rId5"/>
    <sheet state="visible" name="rekap hitungan" sheetId="3" r:id="rId6"/>
    <sheet state="visible" name="lamp. sk" sheetId="4" r:id="rId7"/>
    <sheet state="visible" name="hitung premi dpa pmk" sheetId="5" r:id="rId8"/>
    <sheet state="visible" name="checklist add &amp; premi 26" sheetId="6" r:id="rId9"/>
    <sheet state="visible" name="perbandingan" sheetId="7" r:id="rId10"/>
    <sheet state="visible" name="tren add" sheetId="8" r:id="rId11"/>
    <sheet state="visible" name="tren add kewenangan" sheetId="9" r:id="rId12"/>
  </sheets>
  <externalReferences>
    <externalReference r:id="rId13"/>
  </externalReferences>
  <definedNames>
    <definedName localSheetId="3" name="Print_Titles">'lamp. sk'!A:H,'lamp. sk'!$A$11:$IV$11</definedName>
    <definedName localSheetId="2" name="Print_Titles">'rekap hitungan'!B:K,'rekap hitungan'!$A$21:$IV$21</definedName>
    <definedName localSheetId="6" name="Print_Titles">perbandingan!B:F,perbandingan!$A$13:$IV$13</definedName>
    <definedName localSheetId="6" name="Print_Area">perbandingan!$B$1:$F$122</definedName>
    <definedName localSheetId="3" name="Print_Area">'lamp. sk'!$A$1:$H$126</definedName>
    <definedName localSheetId="1" name="Print_Area">'hitung kewenangan kegiatan'!$B$1:$P$130</definedName>
    <definedName localSheetId="2" name="Print_Area">'rekap hitungan'!$B$1:$K$130</definedName>
    <definedName localSheetId="1" name="Print_Titles">'hitung kewenangan kegiatan'!$A$3:$IV$5</definedName>
    <definedName localSheetId="0" name="Print_Area">'hitung siltap'!$B$1:$X$124</definedName>
    <definedName localSheetId="5" name="Print_Area">'checklist add &amp; premi 26'!$B$2:$E$18</definedName>
    <definedName localSheetId="4" name="Print_Area">'hitung premi dpa pmk'!$B$1:$H$19</definedName>
  </definedNames>
  <calcPr/>
  <extLst>
    <ext uri="GoogleSheetsCustomDataVersion2">
      <go:sheetsCustomData xmlns:go="http://customooxmlschemas.google.com/" r:id="rId14" roundtripDataChecksum="FQpqFb/KOwyl1bPvnrRspvqonX4OGYn8yKByZGdO+2k="/>
    </ext>
  </extLst>
</workbook>
</file>

<file path=xl/sharedStrings.xml><?xml version="1.0" encoding="utf-8"?>
<sst xmlns="http://schemas.openxmlformats.org/spreadsheetml/2006/main" count="1674" uniqueCount="481">
  <si>
    <t>SIMULASI PERHITUNGAN ADD SILTAP LURAH DAN PAMONG KALURAHAN</t>
  </si>
  <si>
    <t>Lampiran I</t>
  </si>
  <si>
    <t>Nomor Surat:</t>
  </si>
  <si>
    <t>Tanggal:</t>
  </si>
  <si>
    <t>SIMULASI PERHITUNGAN ADD SILTAP LURAH DAN PAMONG KALURAHAN TAHUN 2026</t>
  </si>
  <si>
    <t>Asumsi:</t>
  </si>
  <si>
    <t>1.</t>
  </si>
  <si>
    <t>Siltap naik untuk tiap-tiap Lurah &amp; Pamong</t>
  </si>
  <si>
    <t>Lurah</t>
  </si>
  <si>
    <t>+</t>
  </si>
  <si>
    <t>=</t>
  </si>
  <si>
    <t>Carik</t>
  </si>
  <si>
    <t>Kasi/Kaur</t>
  </si>
  <si>
    <t>Dukuh</t>
  </si>
  <si>
    <t>2.</t>
  </si>
  <si>
    <t>Asumsi UMK 2026</t>
  </si>
  <si>
    <t>NO</t>
  </si>
  <si>
    <t>KAPANEWON/KALURAHAN</t>
  </si>
  <si>
    <t>SILTAP PER BULAN</t>
  </si>
  <si>
    <t>JUMLAH DUKUH</t>
  </si>
  <si>
    <t>SILTAP PER TAHUN</t>
  </si>
  <si>
    <t>BPJS KES STAF</t>
  </si>
  <si>
    <t>BPJS NAKER LURAH &amp; PAMONG KALURAHAN</t>
  </si>
  <si>
    <t>BPJS NAKER STAF</t>
  </si>
  <si>
    <t>BPJS NAKER TOTAL</t>
  </si>
  <si>
    <t>ADD KEBIJAKAN (THR &amp; BANTUAN PENDIDIKAN/GAJI KE-13)</t>
  </si>
  <si>
    <t>LURAH</t>
  </si>
  <si>
    <t>CARIK</t>
  </si>
  <si>
    <t>KASI/KAUR</t>
  </si>
  <si>
    <t>DUKUH</t>
  </si>
  <si>
    <t>JUMLAH</t>
  </si>
  <si>
    <t>1 org/bln</t>
  </si>
  <si>
    <t>8 org/bln</t>
  </si>
  <si>
    <t>8 org/12 bln</t>
  </si>
  <si>
    <t>8=3x12 bln</t>
  </si>
  <si>
    <t>9=4x12 bln</t>
  </si>
  <si>
    <t>10=5x12 bln</t>
  </si>
  <si>
    <t>11=6x12 bln</t>
  </si>
  <si>
    <t>12=8+9+10+11</t>
  </si>
  <si>
    <t>13=UMKx4%</t>
  </si>
  <si>
    <t>14=13x8 org</t>
  </si>
  <si>
    <t>15=14x12 bln</t>
  </si>
  <si>
    <t>16=3x6,24%x12 bln</t>
  </si>
  <si>
    <t>17=4x6,24%x12 bln</t>
  </si>
  <si>
    <t>18=5x6,24%x12 bln</t>
  </si>
  <si>
    <t>19=6x6,24%x12 bln</t>
  </si>
  <si>
    <t>20=16+17+18+19</t>
  </si>
  <si>
    <t>21=UMKx6,24%x8 orgx12 bln</t>
  </si>
  <si>
    <t>22=20+21</t>
  </si>
  <si>
    <t>23=(3x2 bln)+(4x2 bln)+(5x2 bln)+(6x2 bln)</t>
  </si>
  <si>
    <t>I.</t>
  </si>
  <si>
    <t>GAMPING</t>
  </si>
  <si>
    <t>Balecatur</t>
  </si>
  <si>
    <t>Ambarketawang</t>
  </si>
  <si>
    <t>Banyuraden</t>
  </si>
  <si>
    <t>Nogotirto</t>
  </si>
  <si>
    <t>Trihanggo</t>
  </si>
  <si>
    <t>II.</t>
  </si>
  <si>
    <t>GODEAN</t>
  </si>
  <si>
    <t>Sidorejo</t>
  </si>
  <si>
    <t>Sidoluhur</t>
  </si>
  <si>
    <t>Sidomulyo</t>
  </si>
  <si>
    <t>Sidoagung</t>
  </si>
  <si>
    <t>Sidokarto</t>
  </si>
  <si>
    <t>Sidoarum</t>
  </si>
  <si>
    <t>Sidomoyo</t>
  </si>
  <si>
    <t>III.</t>
  </si>
  <si>
    <t>MOYUDAN</t>
  </si>
  <si>
    <t>Sumberrrahayu</t>
  </si>
  <si>
    <t>Sumbersari</t>
  </si>
  <si>
    <t>Sumberagung</t>
  </si>
  <si>
    <t>Sumberarum</t>
  </si>
  <si>
    <t>IV.</t>
  </si>
  <si>
    <t>MINGGIR</t>
  </si>
  <si>
    <t>Sendangarum</t>
  </si>
  <si>
    <t>Sendangmulyo</t>
  </si>
  <si>
    <t>Sendangagung</t>
  </si>
  <si>
    <t>Sendangsari</t>
  </si>
  <si>
    <t>Sendangrejo</t>
  </si>
  <si>
    <t>V.</t>
  </si>
  <si>
    <t>SEYEGAN</t>
  </si>
  <si>
    <t>Margoluwih</t>
  </si>
  <si>
    <t>Margodadi</t>
  </si>
  <si>
    <t>Margokaton</t>
  </si>
  <si>
    <t>Margomulyo</t>
  </si>
  <si>
    <t>Margoagung</t>
  </si>
  <si>
    <t>VI.</t>
  </si>
  <si>
    <t>MLATI</t>
  </si>
  <si>
    <t>Sinduadi</t>
  </si>
  <si>
    <t>Sendangadi</t>
  </si>
  <si>
    <t>Tlogoadi</t>
  </si>
  <si>
    <t>Tirtoadi</t>
  </si>
  <si>
    <t>Sumberadi</t>
  </si>
  <si>
    <t>VII.</t>
  </si>
  <si>
    <t>DEPOK</t>
  </si>
  <si>
    <t>Caturtunggal</t>
  </si>
  <si>
    <t>Maguwoharjo</t>
  </si>
  <si>
    <t>Condongcatur</t>
  </si>
  <si>
    <t>VIII.</t>
  </si>
  <si>
    <t>BERBAH</t>
  </si>
  <si>
    <t>Sendangtirto</t>
  </si>
  <si>
    <t>Tegaltirto</t>
  </si>
  <si>
    <t>Kalitirto</t>
  </si>
  <si>
    <t>Jogotirto</t>
  </si>
  <si>
    <t>IX.</t>
  </si>
  <si>
    <t>PRAMBANAN</t>
  </si>
  <si>
    <t>Sumberharjo</t>
  </si>
  <si>
    <t>Wukirharjo</t>
  </si>
  <si>
    <t>Gayamharjo</t>
  </si>
  <si>
    <t>Sambirejo</t>
  </si>
  <si>
    <t>Madurejo</t>
  </si>
  <si>
    <t>Bokoharjo</t>
  </si>
  <si>
    <t>X.</t>
  </si>
  <si>
    <t>KALASAN</t>
  </si>
  <si>
    <t>Purwomartani</t>
  </si>
  <si>
    <t>Tirtomartani</t>
  </si>
  <si>
    <t>Tamanmartani</t>
  </si>
  <si>
    <t>Selomartani</t>
  </si>
  <si>
    <t>XI.</t>
  </si>
  <si>
    <t>NGEMPLAK</t>
  </si>
  <si>
    <t>Sindumartani</t>
  </si>
  <si>
    <t>Bimomartani</t>
  </si>
  <si>
    <t>Widodomartani</t>
  </si>
  <si>
    <t>Wedomartani</t>
  </si>
  <si>
    <t>Umbulmartani</t>
  </si>
  <si>
    <t>XII.</t>
  </si>
  <si>
    <t>NGAGLIK</t>
  </si>
  <si>
    <t>Sariharjo</t>
  </si>
  <si>
    <t>Minomartani</t>
  </si>
  <si>
    <t>Sinduharjo</t>
  </si>
  <si>
    <t>Sukoharjo</t>
  </si>
  <si>
    <t>Sardonoharjo</t>
  </si>
  <si>
    <t>Donoharjo</t>
  </si>
  <si>
    <t>XIII.</t>
  </si>
  <si>
    <t>SLEMAN</t>
  </si>
  <si>
    <t>Caturharjo</t>
  </si>
  <si>
    <t>Triharjo</t>
  </si>
  <si>
    <t>Tridadi</t>
  </si>
  <si>
    <t>Pandowoharjo</t>
  </si>
  <si>
    <t>Trimulyo</t>
  </si>
  <si>
    <t>XIV.</t>
  </si>
  <si>
    <t>TEMPEL</t>
  </si>
  <si>
    <t>Banyurejo</t>
  </si>
  <si>
    <t>Tambakrejo</t>
  </si>
  <si>
    <t>Sumberrejo</t>
  </si>
  <si>
    <t>Pondokrejo</t>
  </si>
  <si>
    <t>Mororejo</t>
  </si>
  <si>
    <t>Margorejo</t>
  </si>
  <si>
    <t>Lumbungrejo</t>
  </si>
  <si>
    <t>Merdikorejo</t>
  </si>
  <si>
    <t>XV.</t>
  </si>
  <si>
    <t>TURI</t>
  </si>
  <si>
    <t>Bangunkerto</t>
  </si>
  <si>
    <t>Donokerto</t>
  </si>
  <si>
    <t>Girikerto</t>
  </si>
  <si>
    <t>Wonokerto</t>
  </si>
  <si>
    <t>XVI.</t>
  </si>
  <si>
    <t>PAKEM</t>
  </si>
  <si>
    <t>Purwobinangun</t>
  </si>
  <si>
    <t>Candibinangun</t>
  </si>
  <si>
    <t>Harjobinangun</t>
  </si>
  <si>
    <t>Pakembinangun</t>
  </si>
  <si>
    <t>Hargobinangun</t>
  </si>
  <si>
    <t>XVII.</t>
  </si>
  <si>
    <t>CANGKRINGAN</t>
  </si>
  <si>
    <t>Argomulyo</t>
  </si>
  <si>
    <t>Wukirsari</t>
  </si>
  <si>
    <t>Glagaharjo</t>
  </si>
  <si>
    <t>Kepuharjo</t>
  </si>
  <si>
    <t>Umbulharjo</t>
  </si>
  <si>
    <t>UMK</t>
  </si>
  <si>
    <t>BPJS KES</t>
  </si>
  <si>
    <t>BPJS NAKER</t>
  </si>
  <si>
    <t>JHT</t>
  </si>
  <si>
    <t>JKK</t>
  </si>
  <si>
    <t>JKM</t>
  </si>
  <si>
    <t>JP</t>
  </si>
  <si>
    <t>ADD KEW:</t>
  </si>
  <si>
    <t>ADD KAB</t>
  </si>
  <si>
    <t>ADD SILTAP</t>
  </si>
  <si>
    <t>ADD BPJS KES STAF</t>
  </si>
  <si>
    <t>ADD BPJS NAKER</t>
  </si>
  <si>
    <t>ADD KEBIJAKAN</t>
  </si>
  <si>
    <t>ADD KEW=</t>
  </si>
  <si>
    <t>TABEL HITUNG BESARAN ALOKASI DANA DESA KEWENANGAN KEGIATAN TAHUN 2026</t>
  </si>
  <si>
    <t>NO.</t>
  </si>
  <si>
    <t>JML PADUKUHAN</t>
  </si>
  <si>
    <t>PENDUDUK MISKIN</t>
  </si>
  <si>
    <t>LUAS WILAYAH</t>
  </si>
  <si>
    <t>JUMLAH PENDUDUK</t>
  </si>
  <si>
    <t>INDEKS KSLTN GEO.</t>
  </si>
  <si>
    <t>BESARAN ADD KEWENANGAN KEGIATAN</t>
  </si>
  <si>
    <t>BESARAN ADD (Pembulatan)</t>
  </si>
  <si>
    <t>BOBOT</t>
  </si>
  <si>
    <t>BVJPad</t>
  </si>
  <si>
    <t>BVPM</t>
  </si>
  <si>
    <t>BVLW</t>
  </si>
  <si>
    <t>BVJP</t>
  </si>
  <si>
    <t>BVIKG</t>
  </si>
  <si>
    <t>PADUKUHAN</t>
  </si>
  <si>
    <t>KVJPad</t>
  </si>
  <si>
    <t>ORANG</t>
  </si>
  <si>
    <t>KVPM</t>
  </si>
  <si>
    <t>Ha</t>
  </si>
  <si>
    <t>KVLW</t>
  </si>
  <si>
    <t>JIWA</t>
  </si>
  <si>
    <t>KVJP</t>
  </si>
  <si>
    <t>Indeks</t>
  </si>
  <si>
    <t>KVIKG</t>
  </si>
  <si>
    <t>JUMLAH TOTAL</t>
  </si>
  <si>
    <r>
      <rPr>
        <rFont val="Arial Narrow"/>
        <b/>
        <color theme="1"/>
        <sz val="11.0"/>
      </rPr>
      <t>Catatan</t>
    </r>
    <r>
      <rPr>
        <rFont val="Arial Narrow"/>
        <b val="0"/>
        <color theme="1"/>
        <sz val="11.0"/>
      </rPr>
      <t xml:space="preserve">: </t>
    </r>
    <r>
      <rPr>
        <rFont val="Arial Narrow"/>
        <b val="0"/>
        <i/>
        <color theme="1"/>
        <sz val="11.0"/>
      </rPr>
      <t>Sumber Data: Dinas Dukcapil, Dinas Sosial, dan BPS DIY</t>
    </r>
  </si>
  <si>
    <t>ADD KEWENANGAN</t>
  </si>
  <si>
    <t>*kontrol</t>
  </si>
  <si>
    <t>Lampiran III</t>
  </si>
  <si>
    <t>ESTIMASI BESARAN ADD TA 2026</t>
  </si>
  <si>
    <t>ADD kewenangan merupakan sisa dari pagu dikurangi alokasi earmark (siltap, BPJS Kes, BPJS naker, kebijakan, tunjangan BPKal) tanpa memperhitungkan keseimbangan proporsi belanja apbkal 30:70</t>
  </si>
  <si>
    <t>Besaran tunjangan kedudukan BPKal:</t>
  </si>
  <si>
    <t>Ketua</t>
  </si>
  <si>
    <t>Wakil Ketua</t>
  </si>
  <si>
    <t>Sekretaris</t>
  </si>
  <si>
    <t>Kepala Bidang</t>
  </si>
  <si>
    <t>ALOKASI DANA DESA</t>
  </si>
  <si>
    <t>(Rp)</t>
  </si>
  <si>
    <t>PENGHASILAN TETAP</t>
  </si>
  <si>
    <t>BPJS KESEHATAN (PEMBULATAN)</t>
  </si>
  <si>
    <t>BPJS KETENAGAKERJAAN (PEMBULATAN)</t>
  </si>
  <si>
    <t>KEBIJAKAN</t>
  </si>
  <si>
    <t>KEWENANGAN</t>
  </si>
  <si>
    <t>TUNJANGAN BPKal</t>
  </si>
  <si>
    <t>KEGIATAN</t>
  </si>
  <si>
    <t>9=7+8</t>
  </si>
  <si>
    <t>10=3+4+5+6+9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</si>
  <si>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</si>
  <si>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</si>
  <si>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</si>
  <si>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</si>
  <si>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</si>
  <si>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</si>
  <si>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</si>
  <si>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</si>
  <si>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</si>
  <si>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</si>
  <si>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</si>
  <si>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Sumberrahayu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</si>
  <si>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</si>
  <si>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</si>
  <si>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</si>
  <si>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</si>
  <si>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</si>
  <si>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</si>
  <si>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</si>
  <si>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</si>
  <si>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</si>
  <si>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</si>
  <si>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</si>
  <si>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</si>
  <si>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</si>
  <si>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</si>
  <si>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</si>
  <si>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</si>
  <si>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</si>
  <si>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</si>
  <si>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</si>
  <si>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</si>
  <si>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</si>
  <si>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</si>
  <si>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</si>
  <si>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</si>
  <si>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</si>
  <si>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</si>
  <si>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</si>
  <si>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</si>
  <si>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</si>
  <si>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</si>
  <si>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</si>
  <si>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</si>
  <si>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</si>
  <si>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</si>
  <si>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</si>
  <si>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</si>
  <si>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</si>
  <si>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</si>
  <si>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</si>
  <si>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</si>
  <si>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</si>
  <si>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</si>
  <si>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</si>
  <si>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</si>
  <si>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</si>
  <si>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</si>
  <si>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</si>
  <si>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</si>
  <si>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</si>
  <si>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</si>
  <si>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</si>
  <si>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</si>
  <si>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</si>
  <si>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</si>
  <si>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</si>
  <si>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</si>
  <si>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</si>
  <si>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</si>
  <si>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</si>
  <si>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</si>
  <si>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</si>
  <si>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</si>
  <si>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</si>
  <si>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</si>
  <si>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</si>
  <si>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</si>
  <si>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</si>
  <si>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</si>
  <si>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</si>
  <si>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</si>
  <si>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</si>
  <si>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</si>
  <si>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</si>
  <si>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 xml:space="preserve">Jumlah </t>
  </si>
  <si>
    <t>add pada rapbd 26</t>
  </si>
  <si>
    <t>tunjangan bpkal dilekatkan ke add kewenangan</t>
  </si>
  <si>
    <t>dengan asumsi add</t>
  </si>
  <si>
    <t>urutan alokasi:</t>
  </si>
  <si>
    <t>siltap</t>
  </si>
  <si>
    <t>bpjs kesehatan</t>
  </si>
  <si>
    <t>bpjs naker</t>
  </si>
  <si>
    <t>kebijakan</t>
  </si>
  <si>
    <t>urutan alokasi kewenangan:</t>
  </si>
  <si>
    <t>tunjangan bpkal</t>
  </si>
  <si>
    <t>maka alokasi kegiatan</t>
  </si>
  <si>
    <t>BESARAN ALOKASI DANA DESA TAHUN ANGGARAN 2026</t>
  </si>
  <si>
    <t>KAPANEWON/</t>
  </si>
  <si>
    <t>KALURAHAN</t>
  </si>
  <si>
    <t>BPJS KESEHATAN</t>
  </si>
  <si>
    <t>BPJS KETENAGAKERJAAN</t>
  </si>
  <si>
    <t>BUPATI SLEMAN,</t>
  </si>
  <si>
    <t>HARDA KISWAYA</t>
  </si>
  <si>
    <t>*kontrol:</t>
  </si>
  <si>
    <t>bpjs kes</t>
  </si>
  <si>
    <t>kewenangan</t>
  </si>
  <si>
    <t>Lampiran IV</t>
  </si>
  <si>
    <t>PERHITUNGAN BESARAN PREMI BPJS KESEHATAN LURAH DAN PAMONG KALURAHAN</t>
  </si>
  <si>
    <t>DENGAN KENAIKAN SILTAP 8%</t>
  </si>
  <si>
    <t>URAIAN</t>
  </si>
  <si>
    <t>JUMLAH ORANG</t>
  </si>
  <si>
    <t>PREMI PER BULAN</t>
  </si>
  <si>
    <t>JUMLAH PREMI PER TAHUN</t>
  </si>
  <si>
    <t>Rp</t>
  </si>
  <si>
    <t>5=4x4%</t>
  </si>
  <si>
    <t>6=3x5</t>
  </si>
  <si>
    <t>7=6x12 bln</t>
  </si>
  <si>
    <t>Kaur &amp; Kasi</t>
  </si>
  <si>
    <t>BELANJA PREMI KESEHATAN 2025 MURNI</t>
  </si>
  <si>
    <t>ESTIMASI BELANJA PREMI KESEHATAN TA 2026</t>
  </si>
  <si>
    <t>PERLU TAMBAHAN</t>
  </si>
  <si>
    <t>Lampiran</t>
  </si>
  <si>
    <t>ESTIMASI KEBUTUHAN ANGGARAN ADD TA 2026</t>
  </si>
  <si>
    <t>ADD MURNI 2025</t>
  </si>
  <si>
    <t>ESTIMASI 2026</t>
  </si>
  <si>
    <t>selisih</t>
  </si>
  <si>
    <t>ADD Siltap</t>
  </si>
  <si>
    <t>ADD BPJS Kesehatan (Staf)</t>
  </si>
  <si>
    <t>ADD BPJS Naker (Lurah, Pamong, Staf)</t>
  </si>
  <si>
    <t>ADD Kebijakan</t>
  </si>
  <si>
    <t>ADD Kewenangan:</t>
  </si>
  <si>
    <t>tunjangan BPKal</t>
  </si>
  <si>
    <t>kegiatan</t>
  </si>
  <si>
    <t>JUMLAH ADD</t>
  </si>
  <si>
    <t>PERBANDINGAN BESARAN ADD KEWENANGAN KEGIATAN</t>
  </si>
  <si>
    <t>ADD KEWENANGAN KEGIATAN</t>
  </si>
  <si>
    <t xml:space="preserve">ESTIMASI BESARAN TUNJANGAN BPKal YANG SELAMA INI DIALOKASIKAN DALAM APBKal </t>
  </si>
  <si>
    <t>DENGAN KONSEP TUNJANGAN BPKal DI-COVER DALAM ADD KEWENANGAN MAKA SELISIH RIIL SETELAH DIPERHITUNGKAN ADALAH</t>
  </si>
  <si>
    <t>KONDISI PAD PADA LPJ 2024</t>
  </si>
  <si>
    <t>APBD TA 2025</t>
  </si>
  <si>
    <t>SIMULASI HITUNGAN 2026</t>
  </si>
  <si>
    <t>SELISIH</t>
  </si>
  <si>
    <t>%</t>
  </si>
  <si>
    <t>DI ATAS 10% DIJUSTIFIKASI TERDAPAT PENGARUH CUKUP SIGNIFIKAN TERHADAP KONDISI KEUANGAN</t>
  </si>
  <si>
    <t>5=3-4</t>
  </si>
  <si>
    <t>6=5/3x100%</t>
  </si>
  <si>
    <t>8=5-7</t>
  </si>
  <si>
    <t>9=8/3x100%</t>
  </si>
  <si>
    <t>*</t>
  </si>
  <si>
    <t>459,366,091.00</t>
  </si>
  <si>
    <t>536,535,308.00</t>
  </si>
  <si>
    <t>1,134,871,240.00</t>
  </si>
  <si>
    <t>53,654,870.00</t>
  </si>
  <si>
    <t>253,678,698.00</t>
  </si>
  <si>
    <t>35,861,550.00</t>
  </si>
  <si>
    <t>786,423,258.00</t>
  </si>
  <si>
    <t>45,348,800.00</t>
  </si>
  <si>
    <t>118,514,000.00</t>
  </si>
  <si>
    <t>335,396,894.00</t>
  </si>
  <si>
    <t>164,792,000.00</t>
  </si>
  <si>
    <t>56,370,250.00</t>
  </si>
  <si>
    <t>129,724,116.00</t>
  </si>
  <si>
    <t>141,794,396.00</t>
  </si>
  <si>
    <t>143,151,184.25</t>
  </si>
  <si>
    <t>175,842,951.00</t>
  </si>
  <si>
    <t xml:space="preserve"> </t>
  </si>
  <si>
    <t>215,928,434.00</t>
  </si>
  <si>
    <t>77,235,599.00</t>
  </si>
  <si>
    <t>66,734,849.00</t>
  </si>
  <si>
    <t>175,248,374.00</t>
  </si>
  <si>
    <t>95,708,500.00</t>
  </si>
  <si>
    <t>93,251,000.00</t>
  </si>
  <si>
    <t>93,565,729.00</t>
  </si>
  <si>
    <t>123,997,000.00</t>
  </si>
  <si>
    <t>183,996,900.00</t>
  </si>
  <si>
    <t>116,059,000.00</t>
  </si>
  <si>
    <t>4,646,674,441.00</t>
  </si>
  <si>
    <t>1,536,048,113.00</t>
  </si>
  <si>
    <t>133,822,609.86</t>
  </si>
  <si>
    <t>426,444,554.00</t>
  </si>
  <si>
    <t>208,932,814.88</t>
  </si>
  <si>
    <t>4,018,247,454.00</t>
  </si>
  <si>
    <t>694,779,120.00</t>
  </si>
  <si>
    <t>2,560,023,652.70</t>
  </si>
  <si>
    <t>121,924,000.00</t>
  </si>
  <si>
    <t>133,581,625.00</t>
  </si>
  <si>
    <t>352,802,917.00</t>
  </si>
  <si>
    <t>71,837,000.00</t>
  </si>
  <si>
    <t>599,258,087.00</t>
  </si>
  <si>
    <t>200,286,900.00</t>
  </si>
  <si>
    <t>3,140,000.00</t>
  </si>
  <si>
    <t>839,381,000.00</t>
  </si>
  <si>
    <t>170,339,397.00</t>
  </si>
  <si>
    <t>198,354,294.00</t>
  </si>
  <si>
    <t>506,774,902.00</t>
  </si>
  <si>
    <t>251,058,875.00</t>
  </si>
  <si>
    <t>158,623,125.00</t>
  </si>
  <si>
    <t>519,674,554.00</t>
  </si>
  <si>
    <t>96,190,000.00</t>
  </si>
  <si>
    <t>117,542,753.00</t>
  </si>
  <si>
    <t>81,195,200.00</t>
  </si>
  <si>
    <t>353,795,365.00</t>
  </si>
  <si>
    <t>333,495,000.00</t>
  </si>
  <si>
    <t>1,730,748,013.00</t>
  </si>
  <si>
    <t>109,573,600.00</t>
  </si>
  <si>
    <t>631,304,300.00</t>
  </si>
  <si>
    <t>257,652,750.00</t>
  </si>
  <si>
    <t>707,764,063.00</t>
  </si>
  <si>
    <t>38,957,100.00</t>
  </si>
  <si>
    <t>421,533,850.00</t>
  </si>
  <si>
    <t>77,367,700.00</t>
  </si>
  <si>
    <t>390,774,038.00</t>
  </si>
  <si>
    <t>436,023,572.00</t>
  </si>
  <si>
    <t>192,851,346.00</t>
  </si>
  <si>
    <t>86,673,320.00</t>
  </si>
  <si>
    <t>33,650,000.00</t>
  </si>
  <si>
    <t>96,442,850.00</t>
  </si>
  <si>
    <t>213,345,600.00</t>
  </si>
  <si>
    <t>46,074,550.00</t>
  </si>
  <si>
    <t>671,664,060.00</t>
  </si>
  <si>
    <t>144,369,000.00</t>
  </si>
  <si>
    <t>300,510,000.00</t>
  </si>
  <si>
    <t>19,986,702.00</t>
  </si>
  <si>
    <t>80,703,501.00</t>
  </si>
  <si>
    <t>308,107,389.00</t>
  </si>
  <si>
    <t>70,448,684.00</t>
  </si>
  <si>
    <t>113,608,400.00</t>
  </si>
  <si>
    <t>136,638,000.00</t>
  </si>
  <si>
    <t>153,121,700.00</t>
  </si>
  <si>
    <t>252,654,900.00</t>
  </si>
  <si>
    <t>1,003,558,893.00</t>
  </si>
  <si>
    <t>189,235,131.00</t>
  </si>
  <si>
    <t>225,220,118.00</t>
  </si>
  <si>
    <t>368,707,024.00</t>
  </si>
  <si>
    <t>222,068,452.00</t>
  </si>
  <si>
    <t>1,045,325,882.00</t>
  </si>
  <si>
    <t>Asumsi ADD 2026:</t>
  </si>
  <si>
    <t>add nota dinas</t>
  </si>
  <si>
    <t>jumlah</t>
  </si>
  <si>
    <t>maka alokasi kewenangan</t>
  </si>
  <si>
    <t>selisih 2023 terhadap 2022</t>
  </si>
  <si>
    <t>selisih 2024 terhadap 2023</t>
  </si>
  <si>
    <t>2025 murni</t>
  </si>
  <si>
    <t>selisih 2025 murni terhadap 2024</t>
  </si>
  <si>
    <t>2025 perubahan</t>
  </si>
  <si>
    <t>selisih 2025 perubahan terhadap 2024</t>
  </si>
  <si>
    <t>selisih 2026 terhadap 2025 murni</t>
  </si>
  <si>
    <t>selisih 2025 perubahan terhadap 2025 murni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</si>
</sst>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0_);_(* \(#,##0.00\);_(* &quot;-&quot;??_);_(@_)"/>
    <numFmt numFmtId="165" formatCode="_(* #,##0_);_(* \(#,##0\);_(* &quot;-&quot;??_);_(@_)"/>
    <numFmt numFmtId="166" formatCode="#,##0.0000"/>
    <numFmt numFmtId="167" formatCode="0.0"/>
    <numFmt numFmtId="168" formatCode="#,##0.000_);[Red]\(#,##0.000\)"/>
    <numFmt numFmtId="169" formatCode="#,##0_);[Red]\(#,##0\)"/>
    <numFmt numFmtId="170" formatCode="#,##0.00_);[Red]\(#,##0.00\)"/>
    <numFmt numFmtId="171" formatCode="0.0000"/>
    <numFmt numFmtId="172" formatCode="0.000"/>
    <numFmt numFmtId="173" formatCode="#,##0.00_);\(#,##0.00\)"/>
  </numFmts>
  <fonts count="16">
    <font>
      <sz val="11.0"/>
      <color theme="1"/>
      <name val="Calibri"/>
      <scheme val="minor"/>
    </font>
    <font>
      <sz val="9.0"/>
      <color theme="1"/>
      <name val="Arial"/>
    </font>
    <font>
      <b/>
      <sz val="9.0"/>
      <color theme="1"/>
      <name val="Arial"/>
    </font>
    <font/>
    <font>
      <sz val="11.0"/>
      <color theme="1"/>
      <name val="Arial Narrow"/>
    </font>
    <font>
      <b/>
      <sz val="11.0"/>
      <color theme="1"/>
      <name val="Arial"/>
    </font>
    <font>
      <b/>
      <sz val="11.0"/>
      <color theme="1"/>
      <name val="Arial Narrow"/>
    </font>
    <font>
      <sz val="11.0"/>
      <color theme="1"/>
      <name val="Calibri"/>
    </font>
    <font>
      <sz val="9.0"/>
      <color theme="1"/>
      <name val="Calibri"/>
    </font>
    <font>
      <sz val="9.0"/>
      <color theme="0"/>
      <name val="Arial"/>
    </font>
    <font>
      <sz val="11.0"/>
      <color theme="1"/>
      <name val="Bookman Old Style"/>
    </font>
    <font>
      <sz val="11.0"/>
      <color theme="0"/>
      <name val="Bookman Old Style"/>
    </font>
    <font>
      <sz val="9.0"/>
      <color theme="1"/>
      <name val="Bookman Old Style"/>
    </font>
    <font>
      <sz val="11.0"/>
      <color theme="1"/>
      <name val="Arial"/>
    </font>
    <font>
      <sz val="10.0"/>
      <color theme="1"/>
      <name val="Arial"/>
    </font>
    <font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1">
    <border/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6" fillId="0" fontId="1" numFmtId="9" xfId="0" applyAlignment="1" applyBorder="1" applyFont="1" applyNumberFormat="1">
      <alignment shrinkToFit="0" vertical="bottom" wrapText="0"/>
    </xf>
    <xf borderId="8" fillId="0" fontId="1" numFmtId="4" xfId="0" applyAlignment="1" applyBorder="1" applyFont="1" applyNumberFormat="1">
      <alignment shrinkToFit="0" vertical="bottom" wrapText="0"/>
    </xf>
    <xf borderId="9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shrinkToFit="0" vertical="bottom" wrapText="0"/>
    </xf>
    <xf borderId="10" fillId="0" fontId="1" numFmtId="4" xfId="0" applyAlignment="1" applyBorder="1" applyFont="1" applyNumberFormat="1">
      <alignment horizontal="center"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0" fillId="0" fontId="1" numFmtId="164" xfId="0" applyAlignment="1" applyBorder="1" applyFont="1" applyNumberForma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9" xfId="0" applyAlignment="1" applyBorder="1" applyFont="1" applyNumberFormat="1">
      <alignment shrinkToFit="0" vertical="bottom" wrapText="0"/>
    </xf>
    <xf borderId="12" fillId="0" fontId="1" numFmtId="4" xfId="0" applyAlignment="1" applyBorder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3" xfId="0" applyAlignment="1" applyBorder="1" applyFont="1" applyNumberFormat="1">
      <alignment horizontal="center" shrinkToFit="0" vertical="center" wrapText="0"/>
    </xf>
    <xf borderId="15" fillId="0" fontId="3" numFmtId="0" xfId="0" applyBorder="1" applyFont="1"/>
    <xf borderId="16" fillId="0" fontId="3" numFmtId="0" xfId="0" applyBorder="1" applyFont="1"/>
    <xf borderId="13" fillId="0" fontId="2" numFmtId="3" xfId="0" applyAlignment="1" applyBorder="1" applyFont="1" applyNumberFormat="1">
      <alignment horizontal="center" shrinkToFit="0" vertical="center" wrapText="1"/>
    </xf>
    <xf borderId="14" fillId="0" fontId="2" numFmtId="165" xfId="0" applyAlignment="1" applyBorder="1" applyFont="1" applyNumberFormat="1">
      <alignment horizontal="center" shrinkToFit="0" vertical="center" wrapText="0"/>
    </xf>
    <xf borderId="14" fillId="0" fontId="2" numFmtId="0" xfId="0" applyAlignment="1" applyBorder="1" applyFont="1">
      <alignment horizontal="center" shrinkToFit="0" vertical="center" wrapText="0"/>
    </xf>
    <xf borderId="17" fillId="0" fontId="3" numFmtId="0" xfId="0" applyBorder="1" applyFont="1"/>
    <xf borderId="18" fillId="0" fontId="2" numFmtId="3" xfId="0" applyAlignment="1" applyBorder="1" applyFont="1" applyNumberFormat="1">
      <alignment horizontal="center" shrinkToFit="0" vertical="center" wrapText="0"/>
    </xf>
    <xf borderId="18" fillId="0" fontId="2" numFmtId="165" xfId="0" applyAlignment="1" applyBorder="1" applyFont="1" applyNumberFormat="1">
      <alignment horizontal="center" shrinkToFit="0" vertical="center" wrapText="0"/>
    </xf>
    <xf borderId="18" fillId="0" fontId="2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horizontal="center" shrinkToFit="0" vertical="center" wrapText="1"/>
    </xf>
    <xf borderId="17" fillId="0" fontId="2" numFmtId="3" xfId="0" applyAlignment="1" applyBorder="1" applyFont="1" applyNumberForma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0"/>
    </xf>
    <xf borderId="18" fillId="0" fontId="1" numFmtId="0" xfId="0" applyAlignment="1" applyBorder="1" applyFont="1">
      <alignment shrinkToFit="0" vertical="center" wrapText="0"/>
    </xf>
    <xf borderId="18" fillId="0" fontId="1" numFmtId="3" xfId="0" applyAlignment="1" applyBorder="1" applyFont="1" applyNumberFormat="1">
      <alignment shrinkToFit="0" vertical="center" wrapText="0"/>
    </xf>
    <xf borderId="18" fillId="0" fontId="1" numFmtId="3" xfId="0" applyAlignment="1" applyBorder="1" applyFont="1" applyNumberFormat="1">
      <alignment shrinkToFit="0" vertical="bottom" wrapText="0"/>
    </xf>
    <xf borderId="18" fillId="0" fontId="1" numFmtId="165" xfId="0" applyAlignment="1" applyBorder="1" applyFont="1" applyNumberForma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8" fillId="0" fontId="1" numFmtId="4" xfId="0" applyAlignment="1" applyBorder="1" applyFont="1" applyNumberFormat="1">
      <alignment shrinkToFit="0" vertical="center" wrapText="0"/>
    </xf>
    <xf borderId="18" fillId="0" fontId="1" numFmtId="4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8" fillId="0" fontId="2" numFmtId="4" xfId="0" applyAlignment="1" applyBorder="1" applyFont="1" applyNumberFormat="1">
      <alignment shrinkToFit="0" vertical="bottom" wrapText="0"/>
    </xf>
    <xf borderId="18" fillId="0" fontId="2" numFmtId="3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0"/>
    </xf>
    <xf borderId="19" fillId="0" fontId="1" numFmtId="165" xfId="0" applyAlignment="1" applyBorder="1" applyFont="1" applyNumberFormat="1">
      <alignment shrinkToFit="0" vertical="bottom" wrapText="0"/>
    </xf>
    <xf borderId="19" fillId="0" fontId="1" numFmtId="164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166" xfId="0" applyAlignment="1" applyFont="1" applyNumberFormat="1">
      <alignment horizontal="right" shrinkToFit="0" vertical="center" wrapText="1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164" xfId="0" applyAlignment="1" applyFont="1" applyNumberFormat="1">
      <alignment shrinkToFit="0" vertical="bottom" wrapText="0"/>
    </xf>
    <xf borderId="20" fillId="2" fontId="4" numFmtId="0" xfId="0" applyAlignment="1" applyBorder="1" applyFill="1" applyFont="1">
      <alignment shrinkToFit="0" vertical="bottom" wrapText="0"/>
    </xf>
    <xf borderId="21" fillId="2" fontId="5" numFmtId="0" xfId="0" applyAlignment="1" applyBorder="1" applyFont="1">
      <alignment horizontal="center" shrinkToFit="0" vertical="bottom" wrapText="0"/>
    </xf>
    <xf borderId="22" fillId="0" fontId="3" numFmtId="0" xfId="0" applyBorder="1" applyFont="1"/>
    <xf borderId="23" fillId="0" fontId="3" numFmtId="0" xfId="0" applyBorder="1" applyFont="1"/>
    <xf borderId="20" fillId="2" fontId="4" numFmtId="4" xfId="0" applyAlignment="1" applyBorder="1" applyFont="1" applyNumberFormat="1">
      <alignment shrinkToFit="0" vertical="bottom" wrapText="0"/>
    </xf>
    <xf borderId="20" fillId="2" fontId="4" numFmtId="164" xfId="0" applyAlignment="1" applyBorder="1" applyFont="1" applyNumberFormat="1">
      <alignment shrinkToFit="0" vertical="bottom" wrapText="0"/>
    </xf>
    <xf borderId="20" fillId="2" fontId="4" numFmtId="0" xfId="0" applyAlignment="1" applyBorder="1" applyFont="1">
      <alignment horizontal="center" shrinkToFit="0" vertical="bottom" wrapText="0"/>
    </xf>
    <xf borderId="13" fillId="2" fontId="6" numFmtId="0" xfId="0" applyAlignment="1" applyBorder="1" applyFont="1">
      <alignment horizontal="center" shrinkToFit="0" vertical="center" wrapText="0"/>
    </xf>
    <xf borderId="13" fillId="2" fontId="6" numFmtId="0" xfId="0" applyAlignment="1" applyBorder="1" applyFont="1">
      <alignment horizontal="center" shrinkToFit="0" vertical="center" wrapText="1"/>
    </xf>
    <xf borderId="18" fillId="2" fontId="4" numFmtId="0" xfId="0" applyAlignment="1" applyBorder="1" applyFont="1">
      <alignment shrinkToFit="0" vertical="bottom" wrapText="0"/>
    </xf>
    <xf borderId="14" fillId="2" fontId="6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horizontal="center" shrinkToFit="0" vertical="center" wrapText="0"/>
    </xf>
    <xf borderId="13" fillId="2" fontId="6" numFmtId="4" xfId="0" applyAlignment="1" applyBorder="1" applyFont="1" applyNumberFormat="1">
      <alignment horizontal="center" shrinkToFit="0" vertical="center" wrapText="1"/>
    </xf>
    <xf borderId="20" fillId="2" fontId="6" numFmtId="0" xfId="0" applyAlignment="1" applyBorder="1" applyFont="1">
      <alignment shrinkToFit="0" vertical="center" wrapText="0"/>
    </xf>
    <xf borderId="20" fillId="2" fontId="6" numFmtId="4" xfId="0" applyAlignment="1" applyBorder="1" applyFont="1" applyNumberFormat="1">
      <alignment shrinkToFit="0" vertical="center" wrapText="0"/>
    </xf>
    <xf borderId="20" fillId="2" fontId="6" numFmtId="164" xfId="0" applyAlignment="1" applyBorder="1" applyFont="1" applyNumberFormat="1">
      <alignment shrinkToFit="0" vertical="center" wrapText="0"/>
    </xf>
    <xf borderId="20" fillId="2" fontId="4" numFmtId="164" xfId="0" applyAlignment="1" applyBorder="1" applyFont="1" applyNumberFormat="1">
      <alignment shrinkToFit="0" vertical="center" wrapText="0"/>
    </xf>
    <xf borderId="20" fillId="2" fontId="4" numFmtId="0" xfId="0" applyAlignment="1" applyBorder="1" applyFont="1">
      <alignment shrinkToFit="0" vertical="center" wrapText="0"/>
    </xf>
    <xf borderId="24" fillId="0" fontId="3" numFmtId="0" xfId="0" applyBorder="1" applyFont="1"/>
    <xf borderId="18" fillId="2" fontId="6" numFmtId="0" xfId="0" applyAlignment="1" applyBorder="1" applyFont="1">
      <alignment horizontal="center" shrinkToFit="0" vertical="center" wrapText="0"/>
    </xf>
    <xf borderId="18" fillId="2" fontId="6" numFmtId="167" xfId="0" applyAlignment="1" applyBorder="1" applyFont="1" applyNumberFormat="1">
      <alignment horizontal="center" shrinkToFit="0" vertical="center" wrapText="1"/>
    </xf>
    <xf borderId="18" fillId="2" fontId="6" numFmtId="167" xfId="0" applyAlignment="1" applyBorder="1" applyFont="1" applyNumberFormat="1">
      <alignment horizontal="center" shrinkToFit="0" vertical="center" wrapText="0"/>
    </xf>
    <xf borderId="20" fillId="2" fontId="6" numFmtId="167" xfId="0" applyAlignment="1" applyBorder="1" applyFont="1" applyNumberFormat="1">
      <alignment shrinkToFit="0" vertical="center" wrapText="0"/>
    </xf>
    <xf borderId="20" fillId="2" fontId="4" numFmtId="167" xfId="0" applyAlignment="1" applyBorder="1" applyFont="1" applyNumberFormat="1">
      <alignment shrinkToFit="0" vertical="center" wrapText="0"/>
    </xf>
    <xf borderId="18" fillId="2" fontId="4" numFmtId="0" xfId="0" applyAlignment="1" applyBorder="1" applyFont="1">
      <alignment horizontal="center" shrinkToFit="0" vertical="center" wrapText="0"/>
    </xf>
    <xf borderId="18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shrinkToFit="0" vertical="center" wrapText="0"/>
    </xf>
    <xf borderId="3" fillId="2" fontId="4" numFmtId="4" xfId="0" applyAlignment="1" applyBorder="1" applyFont="1" applyNumberFormat="1">
      <alignment shrinkToFit="0" vertical="bottom" wrapText="0"/>
    </xf>
    <xf borderId="25" fillId="2" fontId="4" numFmtId="0" xfId="0" applyAlignment="1" applyBorder="1" applyFont="1">
      <alignment shrinkToFit="0" vertical="bottom" wrapText="0"/>
    </xf>
    <xf borderId="20" fillId="2" fontId="4" numFmtId="4" xfId="0" applyAlignment="1" applyBorder="1" applyFont="1" applyNumberFormat="1">
      <alignment shrinkToFit="0" vertical="center" wrapText="0"/>
    </xf>
    <xf borderId="7" fillId="2" fontId="4" numFmtId="0" xfId="0" applyAlignment="1" applyBorder="1" applyFont="1">
      <alignment horizontal="center" shrinkToFit="0" vertical="center" wrapText="0"/>
    </xf>
    <xf borderId="7" fillId="2" fontId="4" numFmtId="0" xfId="0" applyAlignment="1" applyBorder="1" applyFont="1">
      <alignment shrinkToFit="0" vertical="center" wrapText="0"/>
    </xf>
    <xf borderId="7" fillId="2" fontId="4" numFmtId="168" xfId="0" applyAlignment="1" applyBorder="1" applyFont="1" applyNumberFormat="1">
      <alignment horizontal="right" shrinkToFit="0" vertical="center" wrapText="0"/>
    </xf>
    <xf borderId="7" fillId="2" fontId="4" numFmtId="169" xfId="0" applyAlignment="1" applyBorder="1" applyFont="1" applyNumberFormat="1">
      <alignment horizontal="right" shrinkToFit="0" vertical="center" wrapText="0"/>
    </xf>
    <xf borderId="7" fillId="0" fontId="4" numFmtId="169" xfId="0" applyAlignment="1" applyBorder="1" applyFont="1" applyNumberFormat="1">
      <alignment horizontal="right" shrinkToFit="0" vertical="bottom" wrapText="0"/>
    </xf>
    <xf borderId="7" fillId="2" fontId="7" numFmtId="2" xfId="0" applyAlignment="1" applyBorder="1" applyFont="1" applyNumberFormat="1">
      <alignment shrinkToFit="0" vertical="bottom" wrapText="0"/>
    </xf>
    <xf borderId="7" fillId="2" fontId="4" numFmtId="170" xfId="0" applyAlignment="1" applyBorder="1" applyFont="1" applyNumberFormat="1">
      <alignment horizontal="right" shrinkToFit="0" vertical="bottom" wrapText="0"/>
    </xf>
    <xf borderId="7" fillId="2" fontId="4" numFmtId="164" xfId="0" applyAlignment="1" applyBorder="1" applyFont="1" applyNumberFormat="1">
      <alignment horizontal="right" shrinkToFit="0" vertical="bottom" wrapText="0"/>
    </xf>
    <xf borderId="20" fillId="2" fontId="4" numFmtId="170" xfId="0" applyAlignment="1" applyBorder="1" applyFont="1" applyNumberFormat="1">
      <alignment horizontal="right" shrinkToFit="0" vertical="center" wrapText="0"/>
    </xf>
    <xf borderId="20" fillId="2" fontId="4" numFmtId="4" xfId="0" applyAlignment="1" applyBorder="1" applyFont="1" applyNumberFormat="1">
      <alignment horizontal="right" shrinkToFit="0" vertical="center" wrapText="0"/>
    </xf>
    <xf borderId="20" fillId="2" fontId="4" numFmtId="164" xfId="0" applyAlignment="1" applyBorder="1" applyFont="1" applyNumberFormat="1">
      <alignment horizontal="right" shrinkToFit="0" vertical="center" wrapText="0"/>
    </xf>
    <xf borderId="20" fillId="2" fontId="4" numFmtId="0" xfId="0" applyAlignment="1" applyBorder="1" applyFont="1">
      <alignment horizontal="right" shrinkToFit="0" vertical="center" wrapText="0"/>
    </xf>
    <xf borderId="20" fillId="2" fontId="6" numFmtId="0" xfId="0" applyAlignment="1" applyBorder="1" applyFont="1">
      <alignment shrinkToFit="0" vertical="bottom" wrapText="0"/>
    </xf>
    <xf borderId="7" fillId="2" fontId="6" numFmtId="0" xfId="0" applyAlignment="1" applyBorder="1" applyFont="1">
      <alignment horizontal="center" shrinkToFit="0" vertical="center" wrapText="0"/>
    </xf>
    <xf borderId="7" fillId="2" fontId="6" numFmtId="168" xfId="0" applyAlignment="1" applyBorder="1" applyFont="1" applyNumberFormat="1">
      <alignment horizontal="right" shrinkToFit="0" vertical="center" wrapText="0"/>
    </xf>
    <xf borderId="7" fillId="2" fontId="6" numFmtId="169" xfId="0" applyAlignment="1" applyBorder="1" applyFont="1" applyNumberFormat="1">
      <alignment horizontal="right" shrinkToFit="0" vertical="center" wrapText="0"/>
    </xf>
    <xf borderId="7" fillId="2" fontId="6" numFmtId="170" xfId="0" applyAlignment="1" applyBorder="1" applyFont="1" applyNumberFormat="1">
      <alignment horizontal="right" shrinkToFit="0" vertical="center" wrapText="0"/>
    </xf>
    <xf borderId="20" fillId="2" fontId="6" numFmtId="164" xfId="0" applyAlignment="1" applyBorder="1" applyFont="1" applyNumberFormat="1">
      <alignment horizontal="right" shrinkToFit="0" vertical="center" wrapText="0"/>
    </xf>
    <xf borderId="20" fillId="2" fontId="6" numFmtId="4" xfId="0" applyAlignment="1" applyBorder="1" applyFont="1" applyNumberFormat="1">
      <alignment horizontal="right" shrinkToFit="0" vertical="center" wrapText="0"/>
    </xf>
    <xf borderId="20" fillId="2" fontId="6" numFmtId="0" xfId="0" applyAlignment="1" applyBorder="1" applyFont="1">
      <alignment horizontal="right" shrinkToFit="0" vertical="center" wrapText="0"/>
    </xf>
    <xf borderId="7" fillId="2" fontId="6" numFmtId="0" xfId="0" applyAlignment="1" applyBorder="1" applyFont="1">
      <alignment shrinkToFit="0" vertical="center" wrapText="0"/>
    </xf>
    <xf borderId="7" fillId="2" fontId="4" numFmtId="169" xfId="0" applyAlignment="1" applyBorder="1" applyFont="1" applyNumberFormat="1">
      <alignment horizontal="right" shrinkToFit="0" vertical="bottom" wrapText="0"/>
    </xf>
    <xf borderId="0" fillId="0" fontId="4" numFmtId="3" xfId="0" applyAlignment="1" applyFont="1" applyNumberFormat="1">
      <alignment shrinkToFit="0" vertical="bottom" wrapText="0"/>
    </xf>
    <xf borderId="6" fillId="0" fontId="4" numFmtId="3" xfId="0" applyAlignment="1" applyBorder="1" applyFont="1" applyNumberFormat="1">
      <alignment shrinkToFit="0" vertical="bottom" wrapText="0"/>
    </xf>
    <xf borderId="26" fillId="2" fontId="4" numFmtId="0" xfId="0" applyAlignment="1" applyBorder="1" applyFont="1">
      <alignment horizontal="center" shrinkToFit="0" vertical="center" wrapText="0"/>
    </xf>
    <xf borderId="26" fillId="2" fontId="4" numFmtId="0" xfId="0" applyAlignment="1" applyBorder="1" applyFont="1">
      <alignment shrinkToFit="0" vertical="center" wrapText="0"/>
    </xf>
    <xf borderId="26" fillId="2" fontId="4" numFmtId="169" xfId="0" applyAlignment="1" applyBorder="1" applyFont="1" applyNumberFormat="1">
      <alignment horizontal="right" shrinkToFit="0" vertical="center" wrapText="0"/>
    </xf>
    <xf borderId="26" fillId="2" fontId="4" numFmtId="168" xfId="0" applyAlignment="1" applyBorder="1" applyFont="1" applyNumberFormat="1">
      <alignment horizontal="right" shrinkToFit="0" vertical="center" wrapText="0"/>
    </xf>
    <xf borderId="27" fillId="2" fontId="7" numFmtId="2" xfId="0" applyAlignment="1" applyBorder="1" applyFont="1" applyNumberFormat="1">
      <alignment shrinkToFit="0" vertical="bottom" wrapText="0"/>
    </xf>
    <xf borderId="28" fillId="2" fontId="6" numFmtId="0" xfId="0" applyAlignment="1" applyBorder="1" applyFont="1">
      <alignment horizontal="center" shrinkToFit="0" vertical="center" wrapText="0"/>
    </xf>
    <xf borderId="28" fillId="2" fontId="6" numFmtId="168" xfId="0" applyAlignment="1" applyBorder="1" applyFont="1" applyNumberFormat="1">
      <alignment horizontal="right" shrinkToFit="0" vertical="center" wrapText="0"/>
    </xf>
    <xf borderId="28" fillId="2" fontId="6" numFmtId="169" xfId="0" applyAlignment="1" applyBorder="1" applyFont="1" applyNumberFormat="1">
      <alignment horizontal="right" shrinkToFit="0" vertical="center" wrapText="0"/>
    </xf>
    <xf borderId="28" fillId="2" fontId="6" numFmtId="170" xfId="0" applyAlignment="1" applyBorder="1" applyFont="1" applyNumberFormat="1">
      <alignment horizontal="right" shrinkToFit="0" vertical="center" wrapText="0"/>
    </xf>
    <xf borderId="18" fillId="2" fontId="6" numFmtId="168" xfId="0" applyAlignment="1" applyBorder="1" applyFont="1" applyNumberFormat="1">
      <alignment horizontal="right" shrinkToFit="0" vertical="center" wrapText="0"/>
    </xf>
    <xf borderId="18" fillId="2" fontId="6" numFmtId="169" xfId="0" applyAlignment="1" applyBorder="1" applyFont="1" applyNumberFormat="1">
      <alignment horizontal="right" shrinkToFit="0" vertical="center" wrapText="0"/>
    </xf>
    <xf borderId="18" fillId="2" fontId="6" numFmtId="170" xfId="0" applyAlignment="1" applyBorder="1" applyFont="1" applyNumberFormat="1">
      <alignment horizontal="right" shrinkToFit="0" vertical="center" wrapText="0"/>
    </xf>
    <xf borderId="29" fillId="2" fontId="6" numFmtId="0" xfId="0" applyAlignment="1" applyBorder="1" applyFont="1">
      <alignment horizontal="left" shrinkToFit="0" vertical="center" wrapText="0"/>
    </xf>
    <xf borderId="30" fillId="2" fontId="4" numFmtId="0" xfId="0" applyAlignment="1" applyBorder="1" applyFont="1">
      <alignment horizontal="center" shrinkToFit="0" vertical="center" wrapText="0"/>
    </xf>
    <xf borderId="31" fillId="2" fontId="4" numFmtId="171" xfId="0" applyAlignment="1" applyBorder="1" applyFont="1" applyNumberFormat="1">
      <alignment shrinkToFit="0" vertical="center" wrapText="0"/>
    </xf>
    <xf borderId="31" fillId="2" fontId="4" numFmtId="0" xfId="0" applyAlignment="1" applyBorder="1" applyFont="1">
      <alignment horizontal="right" shrinkToFit="0" vertical="center" wrapText="0"/>
    </xf>
    <xf borderId="31" fillId="2" fontId="4" numFmtId="172" xfId="0" applyAlignment="1" applyBorder="1" applyFont="1" applyNumberFormat="1">
      <alignment shrinkToFit="0" vertical="center" wrapText="0"/>
    </xf>
    <xf borderId="31" fillId="2" fontId="4" numFmtId="3" xfId="0" applyAlignment="1" applyBorder="1" applyFont="1" applyNumberFormat="1">
      <alignment horizontal="right" shrinkToFit="0" vertical="center" wrapText="0"/>
    </xf>
    <xf borderId="31" fillId="2" fontId="4" numFmtId="172" xfId="0" applyAlignment="1" applyBorder="1" applyFont="1" applyNumberFormat="1">
      <alignment horizontal="right" shrinkToFit="0" vertical="center" wrapText="0"/>
    </xf>
    <xf borderId="32" fillId="2" fontId="4" numFmtId="3" xfId="0" applyAlignment="1" applyBorder="1" applyFont="1" applyNumberFormat="1">
      <alignment horizontal="right" shrinkToFit="0" vertical="center" wrapText="0"/>
    </xf>
    <xf borderId="32" fillId="2" fontId="4" numFmtId="172" xfId="0" applyAlignment="1" applyBorder="1" applyFont="1" applyNumberFormat="1">
      <alignment horizontal="right" shrinkToFit="0" vertical="center" wrapText="0"/>
    </xf>
    <xf borderId="20" fillId="2" fontId="4" numFmtId="0" xfId="0" applyAlignment="1" applyBorder="1" applyFont="1">
      <alignment horizontal="center" shrinkToFit="0" vertical="center" wrapText="0"/>
    </xf>
    <xf borderId="20" fillId="2" fontId="4" numFmtId="0" xfId="0" applyAlignment="1" applyBorder="1" applyFont="1">
      <alignment horizontal="left" shrinkToFit="0" vertical="center" wrapText="0"/>
    </xf>
    <xf borderId="21" fillId="2" fontId="4" numFmtId="164" xfId="0" applyAlignment="1" applyBorder="1" applyFont="1" applyNumberFormat="1">
      <alignment horizontal="right" shrinkToFit="0" vertical="center" wrapText="0"/>
    </xf>
    <xf borderId="21" fillId="2" fontId="4" numFmtId="164" xfId="0" applyAlignment="1" applyBorder="1" applyFont="1" applyNumberFormat="1">
      <alignment shrinkToFit="0" vertical="center" wrapText="0"/>
    </xf>
    <xf borderId="20" fillId="2" fontId="4" numFmtId="0" xfId="0" applyAlignment="1" applyBorder="1" applyFont="1">
      <alignment horizontal="right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13" fillId="0" fontId="2" numFmtId="165" xfId="0" applyAlignment="1" applyBorder="1" applyFont="1" applyNumberFormat="1">
      <alignment horizontal="center" shrinkToFit="0" vertical="center" wrapText="0"/>
    </xf>
    <xf borderId="13" fillId="0" fontId="2" numFmtId="164" xfId="0" applyAlignment="1" applyBorder="1" applyFont="1" applyNumberFormat="1">
      <alignment horizontal="center" shrinkToFit="0" vertical="center" wrapText="1"/>
    </xf>
    <xf borderId="33" fillId="0" fontId="2" numFmtId="0" xfId="0" applyAlignment="1" applyBorder="1" applyFont="1">
      <alignment horizontal="center" shrinkToFit="0" vertical="center" wrapText="0"/>
    </xf>
    <xf borderId="19" fillId="0" fontId="3" numFmtId="0" xfId="0" applyBorder="1" applyFont="1"/>
    <xf borderId="34" fillId="0" fontId="3" numFmtId="0" xfId="0" applyBorder="1" applyFont="1"/>
    <xf borderId="35" fillId="0" fontId="2" numFmtId="0" xfId="0" applyAlignment="1" applyBorder="1" applyFont="1">
      <alignment horizontal="center" shrinkToFit="0" vertical="center" wrapText="0"/>
    </xf>
    <xf borderId="0" fillId="0" fontId="2" numFmtId="164" xfId="0" applyAlignment="1" applyFont="1" applyNumberFormat="1">
      <alignment shrinkToFit="0" vertical="center" wrapText="0"/>
    </xf>
    <xf borderId="36" fillId="0" fontId="2" numFmtId="0" xfId="0" applyAlignment="1" applyBorder="1" applyFont="1">
      <alignment horizontal="center" shrinkToFit="0" vertical="center" wrapText="0"/>
    </xf>
    <xf borderId="37" fillId="0" fontId="3" numFmtId="0" xfId="0" applyBorder="1" applyFont="1"/>
    <xf borderId="38" fillId="0" fontId="3" numFmtId="0" xfId="0" applyBorder="1" applyFont="1"/>
    <xf borderId="33" fillId="0" fontId="2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17" fillId="0" fontId="2" numFmtId="165" xfId="0" applyAlignment="1" applyBorder="1" applyFont="1" applyNumberFormat="1">
      <alignment horizontal="center" shrinkToFit="0" vertical="center" wrapText="0"/>
    </xf>
    <xf borderId="17" fillId="0" fontId="2" numFmtId="164" xfId="0" applyAlignment="1" applyBorder="1" applyFont="1" applyNumberForma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0"/>
    </xf>
    <xf borderId="18" fillId="0" fontId="1" numFmtId="0" xfId="0" applyAlignment="1" applyBorder="1" applyFont="1">
      <alignment horizontal="left" shrinkToFit="0" vertical="center" wrapText="0"/>
    </xf>
    <xf borderId="18" fillId="0" fontId="9" numFmtId="4" xfId="0" applyAlignment="1" applyBorder="1" applyFont="1" applyNumberFormat="1">
      <alignment horizontal="center" shrinkToFit="0" vertical="center" wrapText="0"/>
    </xf>
    <xf borderId="0" fillId="0" fontId="1" numFmtId="4" xfId="0" applyAlignment="1" applyFont="1" applyNumberFormat="1">
      <alignment shrinkToFit="0" vertical="center" wrapText="0"/>
    </xf>
    <xf borderId="18" fillId="0" fontId="1" numFmtId="164" xfId="0" applyAlignment="1" applyBorder="1" applyFont="1" applyNumberFormat="1">
      <alignment shrinkToFit="0" vertical="center" wrapText="0"/>
    </xf>
    <xf borderId="18" fillId="3" fontId="1" numFmtId="164" xfId="0" applyAlignment="1" applyBorder="1" applyFill="1" applyFont="1" applyNumberFormat="1">
      <alignment shrinkToFit="0" vertical="center" wrapText="0"/>
    </xf>
    <xf borderId="18" fillId="0" fontId="1" numFmtId="164" xfId="0" applyAlignment="1" applyBorder="1" applyFont="1" applyNumberFormat="1">
      <alignment horizontal="left" shrinkToFit="0" vertical="center" wrapText="0"/>
    </xf>
    <xf borderId="20" fillId="2" fontId="1" numFmtId="0" xfId="0" applyAlignment="1" applyBorder="1" applyFont="1">
      <alignment shrinkToFit="0" vertical="center" wrapText="0"/>
    </xf>
    <xf borderId="18" fillId="2" fontId="1" numFmtId="0" xfId="0" applyAlignment="1" applyBorder="1" applyFont="1">
      <alignment horizontal="center" shrinkToFit="0" vertical="center" wrapText="0"/>
    </xf>
    <xf borderId="18" fillId="2" fontId="1" numFmtId="164" xfId="0" applyAlignment="1" applyBorder="1" applyFont="1" applyNumberFormat="1">
      <alignment shrinkToFit="0" vertical="center" wrapText="0"/>
    </xf>
    <xf borderId="20" fillId="2" fontId="1" numFmtId="4" xfId="0" applyAlignment="1" applyBorder="1" applyFont="1" applyNumberFormat="1">
      <alignment shrinkToFit="0" vertical="center" wrapText="0"/>
    </xf>
    <xf borderId="20" fillId="2" fontId="1" numFmtId="164" xfId="0" applyAlignment="1" applyBorder="1" applyFont="1" applyNumberFormat="1">
      <alignment shrinkToFit="0" vertical="center" wrapText="0"/>
    </xf>
    <xf borderId="18" fillId="0" fontId="2" numFmtId="4" xfId="0" applyAlignment="1" applyBorder="1" applyFont="1" applyNumberFormat="1">
      <alignment shrinkToFit="0" vertical="center" wrapText="0"/>
    </xf>
    <xf borderId="35" fillId="0" fontId="2" numFmtId="4" xfId="0" applyAlignment="1" applyBorder="1" applyFont="1" applyNumberFormat="1">
      <alignment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18" fillId="0" fontId="1" numFmtId="4" xfId="0" applyAlignment="1" applyBorder="1" applyFont="1" applyNumberFormat="1">
      <alignment shrinkToFit="0" vertical="center" wrapText="1"/>
    </xf>
    <xf borderId="18" fillId="0" fontId="1" numFmtId="173" xfId="0" applyAlignment="1" applyBorder="1" applyFont="1" applyNumberFormat="1">
      <alignment shrinkToFit="0" vertical="center" wrapText="0"/>
    </xf>
    <xf borderId="17" fillId="0" fontId="1" numFmtId="4" xfId="0" applyAlignment="1" applyBorder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4" xfId="0" applyAlignment="1" applyFont="1" applyNumberFormat="1">
      <alignment horizontal="left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0" fillId="0" fontId="10" numFmtId="164" xfId="0" applyAlignment="1" applyFont="1" applyNumberFormat="1">
      <alignment horizontal="center" shrinkToFit="0" vertical="center" wrapText="0"/>
    </xf>
    <xf borderId="37" fillId="0" fontId="10" numFmtId="0" xfId="0" applyAlignment="1" applyBorder="1" applyFont="1">
      <alignment horizontal="center" shrinkToFit="0" vertical="center" wrapText="0"/>
    </xf>
    <xf borderId="13" fillId="0" fontId="10" numFmtId="165" xfId="0" applyAlignment="1" applyBorder="1" applyFont="1" applyNumberFormat="1">
      <alignment horizontal="center" shrinkToFit="0" vertical="center" wrapText="0"/>
    </xf>
    <xf borderId="13" fillId="0" fontId="10" numFmtId="164" xfId="0" applyAlignment="1" applyBorder="1" applyFont="1" applyNumberFormat="1">
      <alignment horizontal="center" shrinkToFit="0" vertical="center" wrapText="1"/>
    </xf>
    <xf borderId="33" fillId="0" fontId="10" numFmtId="0" xfId="0" applyAlignment="1" applyBorder="1" applyFont="1">
      <alignment horizontal="center" shrinkToFit="0" vertical="center" wrapText="0"/>
    </xf>
    <xf borderId="35" fillId="0" fontId="10" numFmtId="0" xfId="0" applyAlignment="1" applyBorder="1" applyFont="1">
      <alignment horizontal="center" shrinkToFit="0" vertical="center" wrapText="0"/>
    </xf>
    <xf borderId="36" fillId="0" fontId="10" numFmtId="0" xfId="0" applyAlignment="1" applyBorder="1" applyFont="1">
      <alignment horizontal="center" shrinkToFit="0" vertical="center" wrapText="0"/>
    </xf>
    <xf borderId="24" fillId="0" fontId="10" numFmtId="164" xfId="0" applyAlignment="1" applyBorder="1" applyFont="1" applyNumberFormat="1">
      <alignment horizontal="center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35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8" fillId="0" fontId="10" numFmtId="0" xfId="0" applyAlignment="1" applyBorder="1" applyFont="1">
      <alignment horizontal="center" shrinkToFit="0" vertical="center" wrapText="0"/>
    </xf>
    <xf borderId="18" fillId="0" fontId="10" numFmtId="3" xfId="0" applyAlignment="1" applyBorder="1" applyFont="1" applyNumberFormat="1">
      <alignment horizontal="center" shrinkToFit="0" vertical="center" wrapText="0"/>
    </xf>
    <xf borderId="0" fillId="0" fontId="10" numFmtId="3" xfId="0" applyAlignment="1" applyFont="1" applyNumberFormat="1">
      <alignment horizontal="center" shrinkToFit="0" vertical="center" wrapText="0"/>
    </xf>
    <xf borderId="18" fillId="0" fontId="10" numFmtId="0" xfId="0" applyAlignment="1" applyBorder="1" applyFont="1">
      <alignment horizontal="left" shrinkToFit="0" vertical="center" wrapText="0"/>
    </xf>
    <xf borderId="18" fillId="0" fontId="10" numFmtId="4" xfId="0" applyAlignment="1" applyBorder="1" applyFont="1" applyNumberFormat="1">
      <alignment shrinkToFit="0" vertical="center" wrapText="0"/>
    </xf>
    <xf borderId="18" fillId="0" fontId="11" numFmtId="4" xfId="0" applyAlignment="1" applyBorder="1" applyFont="1" applyNumberFormat="1">
      <alignment horizontal="center" shrinkToFit="0" vertical="center" wrapText="0"/>
    </xf>
    <xf borderId="0" fillId="0" fontId="10" numFmtId="4" xfId="0" applyAlignment="1" applyFont="1" applyNumberFormat="1">
      <alignment shrinkToFit="0" vertical="center" wrapText="0"/>
    </xf>
    <xf borderId="18" fillId="0" fontId="10" numFmtId="164" xfId="0" applyAlignment="1" applyBorder="1" applyFont="1" applyNumberFormat="1">
      <alignment shrinkToFit="0" vertical="center" wrapText="0"/>
    </xf>
    <xf borderId="18" fillId="0" fontId="10" numFmtId="165" xfId="0" applyAlignment="1" applyBorder="1" applyFont="1" applyNumberFormat="1">
      <alignment shrinkToFit="0" vertical="center" wrapText="0"/>
    </xf>
    <xf borderId="18" fillId="3" fontId="10" numFmtId="164" xfId="0" applyAlignment="1" applyBorder="1" applyFont="1" applyNumberFormat="1">
      <alignment shrinkToFit="0" vertical="center" wrapText="0"/>
    </xf>
    <xf borderId="18" fillId="0" fontId="10" numFmtId="164" xfId="0" applyAlignment="1" applyBorder="1" applyFont="1" applyNumberFormat="1">
      <alignment horizontal="left" shrinkToFit="0" vertical="center" wrapText="0"/>
    </xf>
    <xf borderId="18" fillId="2" fontId="10" numFmtId="0" xfId="0" applyAlignment="1" applyBorder="1" applyFont="1">
      <alignment horizontal="center" shrinkToFit="0" vertical="center" wrapText="0"/>
    </xf>
    <xf borderId="18" fillId="2" fontId="10" numFmtId="164" xfId="0" applyAlignment="1" applyBorder="1" applyFont="1" applyNumberFormat="1">
      <alignment shrinkToFit="0" vertical="center" wrapText="0"/>
    </xf>
    <xf borderId="20" fillId="2" fontId="10" numFmtId="4" xfId="0" applyAlignment="1" applyBorder="1" applyFont="1" applyNumberFormat="1">
      <alignment shrinkToFit="0" vertical="center" wrapText="0"/>
    </xf>
    <xf borderId="20" fillId="2" fontId="10" numFmtId="164" xfId="0" applyAlignment="1" applyBorder="1" applyFont="1" applyNumberFormat="1">
      <alignment shrinkToFit="0" vertical="center" wrapText="0"/>
    </xf>
    <xf borderId="20" fillId="2" fontId="10" numFmtId="0" xfId="0" applyAlignment="1" applyBorder="1" applyFont="1">
      <alignment shrinkToFit="0" vertical="center" wrapText="0"/>
    </xf>
    <xf borderId="14" fillId="0" fontId="10" numFmtId="165" xfId="0" applyAlignment="1" applyBorder="1" applyFont="1" applyNumberFormat="1">
      <alignment horizontal="center" shrinkToFit="0" vertical="center" wrapText="0"/>
    </xf>
    <xf borderId="35" fillId="0" fontId="10" numFmtId="4" xfId="0" applyAlignment="1" applyBorder="1" applyFont="1" applyNumberFormat="1">
      <alignment shrinkToFit="0" vertical="center" wrapText="0"/>
    </xf>
    <xf borderId="0" fillId="0" fontId="10" numFmtId="165" xfId="0" applyAlignment="1" applyFont="1" applyNumberFormat="1">
      <alignment horizontal="center"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2" numFmtId="164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horizontal="left" shrinkToFit="0" vertical="center" wrapText="0"/>
    </xf>
    <xf borderId="0" fillId="0" fontId="10" numFmtId="0" xfId="0" applyAlignment="1" applyFont="1">
      <alignment horizontal="right" shrinkToFit="0" vertical="center" wrapText="0"/>
    </xf>
    <xf borderId="0" fillId="0" fontId="10" numFmtId="4" xfId="0" applyAlignment="1" applyFont="1" applyNumberFormat="1">
      <alignment horizontal="center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8" fillId="0" fontId="5" numFmtId="9" xfId="0" applyAlignment="1" applyBorder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center" shrinkToFit="0" vertical="center" wrapText="0"/>
    </xf>
    <xf borderId="18" fillId="0" fontId="13" numFmtId="0" xfId="0" applyAlignment="1" applyBorder="1" applyFont="1">
      <alignment shrinkToFit="0" vertical="center" wrapText="0"/>
    </xf>
    <xf borderId="18" fillId="0" fontId="13" numFmtId="169" xfId="0" applyAlignment="1" applyBorder="1" applyFont="1" applyNumberFormat="1">
      <alignment shrinkToFit="0" vertical="center" wrapText="0"/>
    </xf>
    <xf borderId="18" fillId="0" fontId="13" numFmtId="4" xfId="0" applyAlignment="1" applyBorder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18" fillId="0" fontId="5" numFmtId="0" xfId="0" applyAlignment="1" applyBorder="1" applyFont="1">
      <alignment shrinkToFit="0" vertical="center" wrapText="0"/>
    </xf>
    <xf borderId="18" fillId="0" fontId="5" numFmtId="169" xfId="0" applyAlignment="1" applyBorder="1" applyFont="1" applyNumberFormat="1">
      <alignment shrinkToFit="0" vertical="center" wrapText="0"/>
    </xf>
    <xf borderId="18" fillId="0" fontId="5" numFmtId="4" xfId="0" applyAlignment="1" applyBorder="1" applyFont="1" applyNumberFormat="1">
      <alignment shrinkToFit="0" vertical="center" wrapText="0"/>
    </xf>
    <xf borderId="14" fillId="0" fontId="13" numFmtId="0" xfId="0" applyAlignment="1" applyBorder="1" applyFont="1">
      <alignment shrinkToFit="0" vertical="center" wrapText="0"/>
    </xf>
    <xf borderId="15" fillId="0" fontId="13" numFmtId="0" xfId="0" applyAlignment="1" applyBorder="1" applyFont="1">
      <alignment shrinkToFit="0" vertical="center" wrapText="0"/>
    </xf>
    <xf borderId="14" fillId="0" fontId="5" numFmtId="0" xfId="0" applyAlignment="1" applyBorder="1" applyFont="1">
      <alignment shrinkToFit="0" vertical="center" wrapText="0"/>
    </xf>
    <xf borderId="15" fillId="0" fontId="5" numFmtId="0" xfId="0" applyAlignment="1" applyBorder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4" xfId="0" applyAlignment="1" applyFont="1" applyNumberFormat="1">
      <alignment shrinkToFit="0" vertical="center" wrapText="0"/>
    </xf>
    <xf borderId="0" fillId="0" fontId="13" numFmtId="0" xfId="0" applyAlignment="1" applyFont="1">
      <alignment horizontal="left" shrinkToFit="0" vertical="center" wrapText="0"/>
    </xf>
    <xf borderId="18" fillId="0" fontId="13" numFmtId="173" xfId="0" applyAlignment="1" applyBorder="1" applyFont="1" applyNumberFormat="1">
      <alignment shrinkToFit="0" vertical="center" wrapText="0"/>
    </xf>
    <xf borderId="0" fillId="0" fontId="13" numFmtId="173" xfId="0" applyAlignment="1" applyFont="1" applyNumberFormat="1">
      <alignment shrinkToFit="0" vertical="center" wrapText="0"/>
    </xf>
    <xf borderId="18" fillId="0" fontId="5" numFmtId="0" xfId="0" applyAlignment="1" applyBorder="1" applyFont="1">
      <alignment horizontal="center" shrinkToFit="0" vertical="center" wrapText="0"/>
    </xf>
    <xf borderId="18" fillId="0" fontId="5" numFmtId="173" xfId="0" applyAlignment="1" applyBorder="1" applyFont="1" applyNumberFormat="1">
      <alignment shrinkToFit="0" vertical="center" wrapText="0"/>
    </xf>
    <xf borderId="0" fillId="0" fontId="5" numFmtId="173" xfId="0" applyAlignment="1" applyFont="1" applyNumberForma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37" fillId="0" fontId="1" numFmtId="0" xfId="0" applyAlignment="1" applyBorder="1" applyFont="1">
      <alignment horizontal="center" shrinkToFit="0" vertical="center" wrapText="0"/>
    </xf>
    <xf borderId="33" fillId="0" fontId="2" numFmtId="164" xfId="0" applyAlignment="1" applyBorder="1" applyFont="1" applyNumberForma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39" fillId="0" fontId="3" numFmtId="0" xfId="0" applyBorder="1" applyFont="1"/>
    <xf borderId="34" fillId="0" fontId="2" numFmtId="3" xfId="0" applyAlignment="1" applyBorder="1" applyFont="1" applyNumberFormat="1">
      <alignment horizontal="center" shrinkToFit="0" vertical="center" wrapText="0"/>
    </xf>
    <xf borderId="39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2" numFmtId="3" xfId="0" applyAlignment="1" applyBorder="1" applyFont="1" applyNumberFormat="1">
      <alignment horizontal="center" shrinkToFit="0" vertical="center" wrapText="0"/>
    </xf>
    <xf borderId="18" fillId="0" fontId="1" numFmtId="4" xfId="0" applyAlignment="1" applyBorder="1" applyFont="1" applyNumberFormat="1">
      <alignment horizontal="center" shrinkToFit="0" vertical="center" wrapText="0"/>
    </xf>
    <xf borderId="16" fillId="0" fontId="1" numFmtId="0" xfId="0" applyAlignment="1" applyBorder="1" applyFont="1">
      <alignment shrinkToFit="0" vertical="center" wrapText="0"/>
    </xf>
    <xf borderId="7" fillId="2" fontId="4" numFmtId="173" xfId="0" applyAlignment="1" applyBorder="1" applyFont="1" applyNumberFormat="1">
      <alignment horizontal="right" shrinkToFit="0" vertical="bottom" wrapText="0"/>
    </xf>
    <xf borderId="18" fillId="0" fontId="1" numFmtId="173" xfId="0" applyAlignment="1" applyBorder="1" applyFont="1" applyNumberFormat="1">
      <alignment horizontal="center" shrinkToFit="0" vertical="center" wrapText="0"/>
    </xf>
    <xf borderId="18" fillId="4" fontId="1" numFmtId="173" xfId="0" applyAlignment="1" applyBorder="1" applyFill="1" applyFont="1" applyNumberFormat="1">
      <alignment shrinkToFit="0" vertical="center" wrapText="0"/>
    </xf>
    <xf borderId="40" fillId="4" fontId="1" numFmtId="0" xfId="0" applyAlignment="1" applyBorder="1" applyFont="1">
      <alignment horizontal="center" shrinkToFit="0" vertical="center" wrapText="0"/>
    </xf>
    <xf borderId="16" fillId="0" fontId="1" numFmtId="173" xfId="0" applyAlignment="1" applyBorder="1" applyFont="1" applyNumberFormat="1">
      <alignment horizontal="right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8" fillId="0" fontId="7" numFmtId="173" xfId="0" applyAlignment="1" applyBorder="1" applyFont="1" applyNumberFormat="1">
      <alignment shrinkToFit="0" vertical="bottom" wrapText="0"/>
    </xf>
    <xf borderId="18" fillId="2" fontId="1" numFmtId="173" xfId="0" applyAlignment="1" applyBorder="1" applyFont="1" applyNumberFormat="1">
      <alignment shrinkToFit="0" vertical="center" wrapText="0"/>
    </xf>
    <xf borderId="40" fillId="2" fontId="1" numFmtId="173" xfId="0" applyAlignment="1" applyBorder="1" applyFont="1" applyNumberFormat="1">
      <alignment horizontal="right" shrinkToFit="0" vertical="center" wrapText="0"/>
    </xf>
    <xf borderId="18" fillId="0" fontId="2" numFmtId="173" xfId="0" applyAlignment="1" applyBorder="1" applyFont="1" applyNumberFormat="1">
      <alignment shrinkToFit="0" vertical="center" wrapText="0"/>
    </xf>
    <xf borderId="18" fillId="0" fontId="2" numFmtId="173" xfId="0" applyAlignment="1" applyBorder="1" applyFont="1" applyNumberFormat="1">
      <alignment horizontal="center" shrinkToFit="0" vertical="center" wrapText="0"/>
    </xf>
    <xf borderId="16" fillId="0" fontId="2" numFmtId="173" xfId="0" applyAlignment="1" applyBorder="1" applyFont="1" applyNumberFormat="1">
      <alignment shrinkToFit="0" vertical="center" wrapText="0"/>
    </xf>
    <xf borderId="0" fillId="0" fontId="1" numFmtId="165" xfId="0" applyAlignment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3" numFmtId="3" xfId="0" applyAlignment="1" applyFont="1" applyNumberFormat="1">
      <alignment shrinkToFit="0" vertical="bottom" wrapText="0"/>
    </xf>
    <xf borderId="0" fillId="0" fontId="15" numFmtId="3" xfId="0" applyAlignment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3" numFmtId="10" xfId="0" applyAlignment="1" applyFont="1" applyNumberFormat="1">
      <alignment shrinkToFit="0" vertical="bottom" wrapText="0"/>
    </xf>
    <xf borderId="0" fillId="0" fontId="13" numFmtId="0" xfId="0" applyAlignment="1" applyFont="1">
      <alignment horizontal="center" shrinkToFit="0" vertical="bottom" wrapText="0"/>
    </xf>
    <xf borderId="0" fillId="0" fontId="15" numFmtId="0" xfId="0" applyAlignment="1" applyFont="1">
      <alignment horizontal="center" shrinkToFit="0" vertical="bottom" wrapText="1"/>
    </xf>
    <xf borderId="0" fillId="0" fontId="13" numFmtId="1" xfId="0" applyAlignment="1" applyFont="1" applyNumberFormat="1">
      <alignment horizontal="center" shrinkToFit="0" vertical="bottom" wrapText="0"/>
    </xf>
    <xf borderId="0" fillId="0" fontId="13" numFmtId="49" xfId="0" applyAlignment="1" applyFont="1" applyNumberFormat="1">
      <alignment horizontal="center" shrinkToFit="0" vertical="bottom" wrapText="0"/>
    </xf>
    <xf borderId="0" fillId="0" fontId="13" numFmtId="164" xfId="0" applyAlignment="1" applyFont="1" applyNumberFormat="1">
      <alignment horizontal="center" shrinkToFit="0" vertical="bottom" wrapText="1"/>
    </xf>
    <xf borderId="0" fillId="0" fontId="13" numFmtId="10" xfId="0" applyAlignment="1" applyFont="1" applyNumberFormat="1">
      <alignment horizontal="center"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5" numFmtId="10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0</xdr:row>
      <xdr:rowOff>0</xdr:rowOff>
    </xdr:from>
    <xdr:ext cx="4124325" cy="685800"/>
    <xdr:grpSp>
      <xdr:nvGrpSpPr>
        <xdr:cNvPr id="2" name="Shape 2"/>
        <xdr:cNvGrpSpPr/>
      </xdr:nvGrpSpPr>
      <xdr:grpSpPr>
        <a:xfrm>
          <a:off x="3283838" y="3437100"/>
          <a:ext cx="4124325" cy="685800"/>
          <a:chOff x="3283838" y="3437100"/>
          <a:chExt cx="4124325" cy="685800"/>
        </a:xfrm>
      </xdr:grpSpPr>
      <xdr:grpSp>
        <xdr:nvGrpSpPr>
          <xdr:cNvPr id="3" name="Shape 3"/>
          <xdr:cNvGrpSpPr/>
        </xdr:nvGrpSpPr>
        <xdr:grpSpPr>
          <a:xfrm>
            <a:off x="3283838" y="3437100"/>
            <a:ext cx="4124325" cy="685800"/>
            <a:chOff x="707" y="0"/>
            <a:chExt cx="418" cy="76"/>
          </a:xfrm>
        </xdr:grpSpPr>
        <xdr:sp>
          <xdr:nvSpPr>
            <xdr:cNvPr id="4" name="Shape 4"/>
            <xdr:cNvSpPr/>
          </xdr:nvSpPr>
          <xdr:spPr>
            <a:xfrm>
              <a:off x="707" y="0"/>
              <a:ext cx="400" cy="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707" y="0"/>
              <a:ext cx="418" cy="76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708" y="1"/>
              <a:ext cx="417" cy="7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711" y="5"/>
              <a:ext cx="67" cy="1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00"/>
                  </a:solidFill>
                  <a:latin typeface="Bookman Old Style"/>
                  <a:ea typeface="Bookman Old Style"/>
                  <a:cs typeface="Bookman Old Style"/>
                  <a:sym typeface="Bookman Old Style"/>
                </a:rPr>
                <a:t>LAMPIRAN</a:t>
              </a:r>
              <a:endParaRPr sz="1400"/>
            </a:p>
          </xdr:txBody>
        </xdr:sp>
        <xdr:sp>
          <xdr:nvSpPr>
            <xdr:cNvPr id="8" name="Shape 8"/>
            <xdr:cNvSpPr/>
          </xdr:nvSpPr>
          <xdr:spPr>
            <a:xfrm>
              <a:off x="810" y="8"/>
              <a:ext cx="190" cy="1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00"/>
                  </a:solidFill>
                  <a:latin typeface="Bookman Old Style"/>
                  <a:ea typeface="Bookman Old Style"/>
                  <a:cs typeface="Bookman Old Style"/>
                  <a:sym typeface="Bookman Old Style"/>
                </a:rPr>
                <a:t>KEPUTUSAN BUPATI SLEMAN</a:t>
              </a:r>
              <a:endParaRPr sz="1400"/>
            </a:p>
          </xdr:txBody>
        </xdr:sp>
        <xdr:sp>
          <xdr:nvSpPr>
            <xdr:cNvPr id="9" name="Shape 9"/>
            <xdr:cNvSpPr/>
          </xdr:nvSpPr>
          <xdr:spPr>
            <a:xfrm>
              <a:off x="810" y="28"/>
              <a:ext cx="50" cy="1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00"/>
                  </a:solidFill>
                  <a:latin typeface="Bookman Old Style"/>
                  <a:ea typeface="Bookman Old Style"/>
                  <a:cs typeface="Bookman Old Style"/>
                  <a:sym typeface="Bookman Old Style"/>
                </a:rPr>
                <a:t>NOMOR</a:t>
              </a:r>
              <a:endParaRPr sz="1400"/>
            </a:p>
          </xdr:txBody>
        </xdr:sp>
        <xdr:sp>
          <xdr:nvSpPr>
            <xdr:cNvPr id="10" name="Shape 10"/>
            <xdr:cNvSpPr/>
          </xdr:nvSpPr>
          <xdr:spPr>
            <a:xfrm>
              <a:off x="896" y="28"/>
              <a:ext cx="141" cy="1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00"/>
                  </a:solidFill>
                  <a:latin typeface="Bookman Old Style"/>
                  <a:ea typeface="Bookman Old Style"/>
                  <a:cs typeface="Bookman Old Style"/>
                  <a:sym typeface="Bookman Old Style"/>
                </a:rPr>
                <a:t>:         /Kep.KDH/A/20</a:t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810" y="55"/>
              <a:ext cx="63" cy="1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00"/>
                  </a:solidFill>
                  <a:latin typeface="Bookman Old Style"/>
                  <a:ea typeface="Bookman Old Style"/>
                  <a:cs typeface="Bookman Old Style"/>
                  <a:sym typeface="Bookman Old Style"/>
                </a:rPr>
                <a:t>TANGGAL</a:t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896" y="54"/>
              <a:ext cx="4" cy="1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00" u="none" strike="noStrike">
                  <a:solidFill>
                    <a:srgbClr val="000000"/>
                  </a:solidFill>
                  <a:latin typeface="Bookman Old Style"/>
                  <a:ea typeface="Bookman Old Style"/>
                  <a:cs typeface="Bookman Old Style"/>
                  <a:sym typeface="Bookman Old Style"/>
                </a:rPr>
                <a:t>:</a:t>
              </a:r>
              <a:endParaRPr sz="1400"/>
            </a:p>
          </xdr:txBody>
        </xdr: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1. Kertas Kerja Simulasi ADD 2026-010825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itung siltap"/>
      <sheetName val="hitung kewenangan"/>
      <sheetName val="hitung lengkap"/>
      <sheetName val="hitung premi dpa pmk"/>
      <sheetName val="checklist notdin add &amp; premi 26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8.0" topLeftCell="D19" activePane="bottomRight" state="frozen"/>
      <selection activeCell="D1" sqref="D1" pane="topRight"/>
      <selection activeCell="A19" sqref="A19" pane="bottomLeft"/>
      <selection activeCell="D19" sqref="D19" pane="bottomRight"/>
    </sheetView>
  </sheetViews>
  <sheetFormatPr customHeight="1" defaultColWidth="14.43" defaultRowHeight="15.0"/>
  <cols>
    <col customWidth="1" min="1" max="1" width="8.86"/>
    <col customWidth="1" min="2" max="2" width="4.71"/>
    <col customWidth="1" min="3" max="3" width="24.71"/>
    <col customWidth="1" min="4" max="24" width="16.71"/>
    <col customWidth="1" min="25" max="26" width="8.0"/>
  </cols>
  <sheetData>
    <row r="1" ht="15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3" t="s">
        <v>0</v>
      </c>
      <c r="Y2" s="1"/>
      <c r="Z2" s="1"/>
    </row>
    <row r="3" ht="15.75" customHeight="1">
      <c r="A3" s="1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3" t="s">
        <v>4</v>
      </c>
      <c r="Y7" s="1"/>
      <c r="Z7" s="1"/>
    </row>
    <row r="8" ht="15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5" t="s">
        <v>5</v>
      </c>
      <c r="C9" s="6"/>
      <c r="D9" s="6"/>
      <c r="E9" s="6"/>
      <c r="F9" s="6"/>
      <c r="G9" s="6"/>
      <c r="H9" s="6"/>
      <c r="I9" s="6"/>
      <c r="J9" s="7"/>
      <c r="K9" s="6"/>
      <c r="L9" s="6"/>
      <c r="M9" s="8"/>
      <c r="N9" s="1"/>
      <c r="O9" s="1"/>
      <c r="P9" s="1"/>
      <c r="Q9" s="1"/>
      <c r="R9" s="1"/>
      <c r="S9" s="1"/>
      <c r="T9" s="1"/>
      <c r="U9" s="1"/>
      <c r="V9" s="1"/>
      <c r="W9" s="1"/>
      <c r="X9" s="9"/>
      <c r="Y9" s="1"/>
      <c r="Z9" s="1"/>
    </row>
    <row r="10" ht="15.75" customHeight="1">
      <c r="A10" s="1"/>
      <c r="B10" s="10" t="s">
        <v>6</v>
      </c>
      <c r="C10" s="11" t="s">
        <v>7</v>
      </c>
      <c r="D10" s="11"/>
      <c r="E10" s="11"/>
      <c r="F10" s="11"/>
      <c r="G10" s="11"/>
      <c r="H10" s="11"/>
      <c r="I10" s="11"/>
      <c r="J10" s="12"/>
      <c r="K10" s="11"/>
      <c r="L10" s="11"/>
      <c r="M10" s="13"/>
      <c r="N10" s="1"/>
      <c r="O10" s="1"/>
      <c r="P10" s="1"/>
      <c r="Q10" s="1"/>
      <c r="R10" s="1"/>
      <c r="S10" s="1"/>
      <c r="T10" s="1"/>
      <c r="U10" s="1"/>
      <c r="V10" s="1"/>
      <c r="W10" s="1"/>
      <c r="X10" s="9"/>
      <c r="Y10" s="1"/>
      <c r="Z10" s="1"/>
    </row>
    <row r="11" ht="15.75" customHeight="1">
      <c r="A11" s="1"/>
      <c r="B11" s="10"/>
      <c r="C11" s="11" t="s">
        <v>8</v>
      </c>
      <c r="D11" s="14">
        <v>3625000.0</v>
      </c>
      <c r="E11" s="15" t="s">
        <v>9</v>
      </c>
      <c r="F11" s="14">
        <v>650000.0</v>
      </c>
      <c r="G11" s="15" t="s">
        <v>10</v>
      </c>
      <c r="H11" s="14">
        <f t="shared" ref="H11:H14" si="1">D11+F11</f>
        <v>4275000</v>
      </c>
      <c r="I11" s="16"/>
      <c r="J11" s="12"/>
      <c r="K11" s="17"/>
      <c r="L11" s="15"/>
      <c r="M11" s="18"/>
      <c r="N11" s="1"/>
      <c r="O11" s="1"/>
      <c r="P11" s="1"/>
      <c r="Q11" s="1"/>
      <c r="R11" s="1"/>
      <c r="S11" s="1"/>
      <c r="T11" s="1"/>
      <c r="U11" s="1"/>
      <c r="V11" s="1"/>
      <c r="W11" s="1"/>
      <c r="X11" s="9"/>
      <c r="Y11" s="1"/>
      <c r="Z11" s="1"/>
    </row>
    <row r="12" ht="15.75" customHeight="1">
      <c r="A12" s="1"/>
      <c r="B12" s="10"/>
      <c r="C12" s="11" t="s">
        <v>11</v>
      </c>
      <c r="D12" s="14">
        <v>2675000.0</v>
      </c>
      <c r="E12" s="15" t="s">
        <v>9</v>
      </c>
      <c r="F12" s="14">
        <v>625000.0</v>
      </c>
      <c r="G12" s="15" t="s">
        <v>10</v>
      </c>
      <c r="H12" s="14">
        <f t="shared" si="1"/>
        <v>3300000</v>
      </c>
      <c r="I12" s="16"/>
      <c r="J12" s="12"/>
      <c r="K12" s="17"/>
      <c r="L12" s="15"/>
      <c r="M12" s="18"/>
      <c r="N12" s="1"/>
      <c r="O12" s="1"/>
      <c r="P12" s="1"/>
      <c r="Q12" s="1"/>
      <c r="R12" s="1"/>
      <c r="S12" s="1"/>
      <c r="T12" s="1"/>
      <c r="U12" s="1"/>
      <c r="V12" s="1"/>
      <c r="W12" s="1"/>
      <c r="X12" s="9"/>
      <c r="Y12" s="1"/>
      <c r="Z12" s="1"/>
    </row>
    <row r="13" ht="15.75" customHeight="1">
      <c r="A13" s="1"/>
      <c r="B13" s="10"/>
      <c r="C13" s="11" t="s">
        <v>12</v>
      </c>
      <c r="D13" s="14">
        <v>2375000.0</v>
      </c>
      <c r="E13" s="15" t="s">
        <v>9</v>
      </c>
      <c r="F13" s="14">
        <v>625000.0</v>
      </c>
      <c r="G13" s="15" t="s">
        <v>10</v>
      </c>
      <c r="H13" s="14">
        <f t="shared" si="1"/>
        <v>3000000</v>
      </c>
      <c r="I13" s="16"/>
      <c r="J13" s="12"/>
      <c r="K13" s="17"/>
      <c r="L13" s="15"/>
      <c r="M13" s="18"/>
      <c r="N13" s="1"/>
      <c r="O13" s="1"/>
      <c r="P13" s="1"/>
      <c r="Q13" s="1"/>
      <c r="R13" s="1"/>
      <c r="S13" s="1"/>
      <c r="T13" s="1"/>
      <c r="U13" s="1"/>
      <c r="V13" s="1"/>
      <c r="W13" s="1"/>
      <c r="X13" s="9"/>
      <c r="Y13" s="1"/>
      <c r="Z13" s="1"/>
    </row>
    <row r="14" ht="15.75" customHeight="1">
      <c r="A14" s="1"/>
      <c r="B14" s="10"/>
      <c r="C14" s="11" t="s">
        <v>13</v>
      </c>
      <c r="D14" s="14">
        <v>2275000.0</v>
      </c>
      <c r="E14" s="15" t="s">
        <v>9</v>
      </c>
      <c r="F14" s="14">
        <v>625000.0</v>
      </c>
      <c r="G14" s="15" t="s">
        <v>10</v>
      </c>
      <c r="H14" s="14">
        <f t="shared" si="1"/>
        <v>2900000</v>
      </c>
      <c r="I14" s="16"/>
      <c r="J14" s="12"/>
      <c r="K14" s="17"/>
      <c r="L14" s="15"/>
      <c r="M14" s="18"/>
      <c r="N14" s="1"/>
      <c r="O14" s="1"/>
      <c r="P14" s="1"/>
      <c r="Q14" s="1"/>
      <c r="R14" s="1"/>
      <c r="S14" s="1"/>
      <c r="T14" s="1"/>
      <c r="U14" s="1"/>
      <c r="V14" s="1"/>
      <c r="W14" s="1"/>
      <c r="X14" s="9"/>
      <c r="Y14" s="1"/>
      <c r="Z14" s="1"/>
    </row>
    <row r="15" ht="15.75" customHeight="1">
      <c r="A15" s="1"/>
      <c r="B15" s="10"/>
      <c r="C15" s="11"/>
      <c r="D15" s="14"/>
      <c r="E15" s="15"/>
      <c r="F15" s="14"/>
      <c r="G15" s="15"/>
      <c r="H15" s="14"/>
      <c r="I15" s="16"/>
      <c r="J15" s="12"/>
      <c r="K15" s="17"/>
      <c r="L15" s="15"/>
      <c r="M15" s="18"/>
      <c r="N15" s="1"/>
      <c r="O15" s="1"/>
      <c r="P15" s="1"/>
      <c r="Q15" s="1"/>
      <c r="R15" s="1"/>
      <c r="S15" s="1"/>
      <c r="T15" s="1"/>
      <c r="U15" s="1"/>
      <c r="V15" s="1"/>
      <c r="W15" s="1"/>
      <c r="X15" s="9"/>
      <c r="Y15" s="1"/>
      <c r="Z15" s="1"/>
    </row>
    <row r="16" ht="15.75" customHeight="1">
      <c r="A16" s="1"/>
      <c r="B16" s="19" t="s">
        <v>14</v>
      </c>
      <c r="C16" s="20" t="s">
        <v>15</v>
      </c>
      <c r="D16" s="21">
        <v>2624400.0</v>
      </c>
      <c r="E16" s="22"/>
      <c r="F16" s="21"/>
      <c r="G16" s="23"/>
      <c r="H16" s="21"/>
      <c r="I16" s="24"/>
      <c r="J16" s="25"/>
      <c r="K16" s="26"/>
      <c r="L16" s="23"/>
      <c r="M16" s="27"/>
      <c r="N16" s="1"/>
      <c r="O16" s="1"/>
      <c r="P16" s="1"/>
      <c r="Q16" s="1"/>
      <c r="R16" s="1"/>
      <c r="S16" s="1"/>
      <c r="T16" s="1"/>
      <c r="U16" s="1"/>
      <c r="V16" s="1"/>
      <c r="W16" s="1"/>
      <c r="X16" s="9"/>
      <c r="Y16" s="1"/>
      <c r="Z16" s="1"/>
    </row>
    <row r="17" ht="15.75" customHeight="1">
      <c r="A17" s="1"/>
      <c r="B17" s="2"/>
      <c r="C17" s="1"/>
      <c r="D17" s="1"/>
      <c r="E17" s="2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6.0" customHeight="1">
      <c r="A18" s="29"/>
      <c r="B18" s="30" t="s">
        <v>16</v>
      </c>
      <c r="C18" s="31" t="s">
        <v>17</v>
      </c>
      <c r="D18" s="32" t="s">
        <v>18</v>
      </c>
      <c r="E18" s="33"/>
      <c r="F18" s="33"/>
      <c r="G18" s="34"/>
      <c r="H18" s="35" t="s">
        <v>19</v>
      </c>
      <c r="I18" s="36" t="s">
        <v>20</v>
      </c>
      <c r="J18" s="33"/>
      <c r="K18" s="33"/>
      <c r="L18" s="33"/>
      <c r="M18" s="34"/>
      <c r="N18" s="37" t="s">
        <v>21</v>
      </c>
      <c r="O18" s="33"/>
      <c r="P18" s="34"/>
      <c r="Q18" s="37" t="s">
        <v>22</v>
      </c>
      <c r="R18" s="33"/>
      <c r="S18" s="33"/>
      <c r="T18" s="33"/>
      <c r="U18" s="34"/>
      <c r="V18" s="31" t="s">
        <v>23</v>
      </c>
      <c r="W18" s="31" t="s">
        <v>24</v>
      </c>
      <c r="X18" s="31" t="s">
        <v>25</v>
      </c>
      <c r="Y18" s="29"/>
      <c r="Z18" s="29"/>
    </row>
    <row r="19" ht="36.0" customHeight="1">
      <c r="A19" s="29"/>
      <c r="B19" s="38"/>
      <c r="C19" s="38"/>
      <c r="D19" s="39" t="s">
        <v>26</v>
      </c>
      <c r="E19" s="39" t="s">
        <v>27</v>
      </c>
      <c r="F19" s="39" t="s">
        <v>28</v>
      </c>
      <c r="G19" s="39" t="s">
        <v>29</v>
      </c>
      <c r="H19" s="38"/>
      <c r="I19" s="39" t="s">
        <v>26</v>
      </c>
      <c r="J19" s="39" t="s">
        <v>27</v>
      </c>
      <c r="K19" s="39" t="s">
        <v>28</v>
      </c>
      <c r="L19" s="39" t="s">
        <v>29</v>
      </c>
      <c r="M19" s="40" t="s">
        <v>30</v>
      </c>
      <c r="N19" s="41" t="s">
        <v>31</v>
      </c>
      <c r="O19" s="41" t="s">
        <v>32</v>
      </c>
      <c r="P19" s="41" t="s">
        <v>33</v>
      </c>
      <c r="Q19" s="39" t="s">
        <v>26</v>
      </c>
      <c r="R19" s="39" t="s">
        <v>27</v>
      </c>
      <c r="S19" s="39" t="s">
        <v>28</v>
      </c>
      <c r="T19" s="39" t="s">
        <v>29</v>
      </c>
      <c r="U19" s="41" t="s">
        <v>30</v>
      </c>
      <c r="V19" s="38"/>
      <c r="W19" s="38"/>
      <c r="X19" s="38"/>
      <c r="Y19" s="29"/>
      <c r="Z19" s="29"/>
    </row>
    <row r="20" ht="36.0" customHeight="1">
      <c r="A20" s="29"/>
      <c r="B20" s="41">
        <v>1.0</v>
      </c>
      <c r="C20" s="42">
        <v>2.0</v>
      </c>
      <c r="D20" s="39">
        <v>3.0</v>
      </c>
      <c r="E20" s="39">
        <v>4.0</v>
      </c>
      <c r="F20" s="39">
        <v>5.0</v>
      </c>
      <c r="G20" s="39">
        <v>6.0</v>
      </c>
      <c r="H20" s="43">
        <v>7.0</v>
      </c>
      <c r="I20" s="39" t="s">
        <v>34</v>
      </c>
      <c r="J20" s="39" t="s">
        <v>35</v>
      </c>
      <c r="K20" s="39" t="s">
        <v>36</v>
      </c>
      <c r="L20" s="39" t="s">
        <v>37</v>
      </c>
      <c r="M20" s="40" t="s">
        <v>38</v>
      </c>
      <c r="N20" s="41" t="s">
        <v>39</v>
      </c>
      <c r="O20" s="41" t="s">
        <v>40</v>
      </c>
      <c r="P20" s="41" t="s">
        <v>41</v>
      </c>
      <c r="Q20" s="39" t="s">
        <v>42</v>
      </c>
      <c r="R20" s="39" t="s">
        <v>43</v>
      </c>
      <c r="S20" s="39" t="s">
        <v>44</v>
      </c>
      <c r="T20" s="39" t="s">
        <v>45</v>
      </c>
      <c r="U20" s="41" t="s">
        <v>46</v>
      </c>
      <c r="V20" s="44" t="s">
        <v>47</v>
      </c>
      <c r="W20" s="44" t="s">
        <v>48</v>
      </c>
      <c r="X20" s="42" t="s">
        <v>49</v>
      </c>
      <c r="Y20" s="29"/>
      <c r="Z20" s="29"/>
    </row>
    <row r="21" ht="15.75" customHeight="1">
      <c r="A21" s="1"/>
      <c r="B21" s="45" t="s">
        <v>50</v>
      </c>
      <c r="C21" s="46" t="s">
        <v>51</v>
      </c>
      <c r="D21" s="47"/>
      <c r="E21" s="48"/>
      <c r="F21" s="48"/>
      <c r="G21" s="48"/>
      <c r="H21" s="48"/>
      <c r="I21" s="49"/>
      <c r="J21" s="49"/>
      <c r="K21" s="49"/>
      <c r="L21" s="49"/>
      <c r="M21" s="49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1"/>
      <c r="Z21" s="1"/>
    </row>
    <row r="22" ht="15.75" customHeight="1">
      <c r="A22" s="1"/>
      <c r="B22" s="45">
        <v>1.0</v>
      </c>
      <c r="C22" s="46" t="s">
        <v>52</v>
      </c>
      <c r="D22" s="51">
        <f t="shared" ref="D22:D26" si="4">$H$11</f>
        <v>4275000</v>
      </c>
      <c r="E22" s="52">
        <f t="shared" ref="E22:E26" si="5">$H$12</f>
        <v>3300000</v>
      </c>
      <c r="F22" s="52">
        <f t="shared" ref="F22:F26" si="6">$H$13</f>
        <v>3000000</v>
      </c>
      <c r="G22" s="52">
        <f t="shared" ref="G22:G26" si="7">$H$14</f>
        <v>2900000</v>
      </c>
      <c r="H22" s="53">
        <v>18.0</v>
      </c>
      <c r="I22" s="52">
        <f t="shared" ref="I22:J22" si="2">D22*12</f>
        <v>51300000</v>
      </c>
      <c r="J22" s="52">
        <f t="shared" si="2"/>
        <v>39600000</v>
      </c>
      <c r="K22" s="52">
        <f t="shared" ref="K22:K26" si="9">F22*6*12</f>
        <v>216000000</v>
      </c>
      <c r="L22" s="52">
        <f t="shared" ref="L22:L26" si="10">G22*H22*12</f>
        <v>626400000</v>
      </c>
      <c r="M22" s="52">
        <f t="shared" ref="M22:M26" si="11">SUM(I22:L22)</f>
        <v>933300000</v>
      </c>
      <c r="N22" s="52">
        <f t="shared" ref="N22:N26" si="12">$E$135*$E$137</f>
        <v>104976</v>
      </c>
      <c r="O22" s="52">
        <f t="shared" ref="O22:O26" si="13">N22*8</f>
        <v>839808</v>
      </c>
      <c r="P22" s="52">
        <f t="shared" ref="P22:P26" si="14">O22*12</f>
        <v>10077696</v>
      </c>
      <c r="Q22" s="52">
        <f t="shared" ref="Q22:R22" si="3">SUM(D22*$E$143)*12</f>
        <v>3201120</v>
      </c>
      <c r="R22" s="52">
        <f t="shared" si="3"/>
        <v>2471040</v>
      </c>
      <c r="S22" s="52">
        <f t="shared" ref="S22:S26" si="16">SUM(F22*$E$143*6)*12</f>
        <v>13478400</v>
      </c>
      <c r="T22" s="52">
        <f t="shared" ref="T22:T26" si="17">SUM(G22*$E$143*H22)*12</f>
        <v>39087360</v>
      </c>
      <c r="U22" s="52">
        <f t="shared" ref="U22:U26" si="18">SUM(Q22:T22)</f>
        <v>58237920</v>
      </c>
      <c r="V22" s="52">
        <f t="shared" ref="V22:V26" si="19">SUM($E$135*$E$143*8)*12</f>
        <v>15721205.76</v>
      </c>
      <c r="W22" s="52">
        <f t="shared" ref="W22:W26" si="20">SUM(U22+V22)</f>
        <v>73959125.76</v>
      </c>
      <c r="X22" s="52">
        <f t="shared" ref="X22:X26" si="21">SUM(D22*2)+(E22*2)+(F22*6*2)+(G22*H22*2)</f>
        <v>155550000</v>
      </c>
      <c r="Y22" s="1"/>
      <c r="Z22" s="1"/>
    </row>
    <row r="23" ht="15.75" customHeight="1">
      <c r="A23" s="1"/>
      <c r="B23" s="45">
        <v>2.0</v>
      </c>
      <c r="C23" s="46" t="s">
        <v>53</v>
      </c>
      <c r="D23" s="51">
        <f t="shared" si="4"/>
        <v>4275000</v>
      </c>
      <c r="E23" s="52">
        <f t="shared" si="5"/>
        <v>3300000</v>
      </c>
      <c r="F23" s="52">
        <f t="shared" si="6"/>
        <v>3000000</v>
      </c>
      <c r="G23" s="52">
        <f t="shared" si="7"/>
        <v>2900000</v>
      </c>
      <c r="H23" s="53">
        <v>13.0</v>
      </c>
      <c r="I23" s="52">
        <f t="shared" ref="I23:J23" si="8">D23*12</f>
        <v>51300000</v>
      </c>
      <c r="J23" s="52">
        <f t="shared" si="8"/>
        <v>39600000</v>
      </c>
      <c r="K23" s="52">
        <f t="shared" si="9"/>
        <v>216000000</v>
      </c>
      <c r="L23" s="52">
        <f t="shared" si="10"/>
        <v>452400000</v>
      </c>
      <c r="M23" s="52">
        <f t="shared" si="11"/>
        <v>759300000</v>
      </c>
      <c r="N23" s="52">
        <f t="shared" si="12"/>
        <v>104976</v>
      </c>
      <c r="O23" s="52">
        <f t="shared" si="13"/>
        <v>839808</v>
      </c>
      <c r="P23" s="52">
        <f t="shared" si="14"/>
        <v>10077696</v>
      </c>
      <c r="Q23" s="52">
        <f t="shared" ref="Q23:R23" si="15">SUM(D23*$E$143)*12</f>
        <v>3201120</v>
      </c>
      <c r="R23" s="52">
        <f t="shared" si="15"/>
        <v>2471040</v>
      </c>
      <c r="S23" s="52">
        <f t="shared" si="16"/>
        <v>13478400</v>
      </c>
      <c r="T23" s="52">
        <f t="shared" si="17"/>
        <v>28229760</v>
      </c>
      <c r="U23" s="52">
        <f t="shared" si="18"/>
        <v>47380320</v>
      </c>
      <c r="V23" s="52">
        <f t="shared" si="19"/>
        <v>15721205.76</v>
      </c>
      <c r="W23" s="52">
        <f t="shared" si="20"/>
        <v>63101525.76</v>
      </c>
      <c r="X23" s="52">
        <f t="shared" si="21"/>
        <v>126550000</v>
      </c>
      <c r="Y23" s="1"/>
      <c r="Z23" s="1"/>
    </row>
    <row r="24" ht="15.75" customHeight="1">
      <c r="A24" s="1"/>
      <c r="B24" s="45">
        <v>3.0</v>
      </c>
      <c r="C24" s="46" t="s">
        <v>54</v>
      </c>
      <c r="D24" s="51">
        <f t="shared" si="4"/>
        <v>4275000</v>
      </c>
      <c r="E24" s="52">
        <f t="shared" si="5"/>
        <v>3300000</v>
      </c>
      <c r="F24" s="52">
        <f t="shared" si="6"/>
        <v>3000000</v>
      </c>
      <c r="G24" s="52">
        <f t="shared" si="7"/>
        <v>2900000</v>
      </c>
      <c r="H24" s="53">
        <v>8.0</v>
      </c>
      <c r="I24" s="52">
        <f t="shared" ref="I24:J24" si="22">D24*12</f>
        <v>51300000</v>
      </c>
      <c r="J24" s="52">
        <f t="shared" si="22"/>
        <v>39600000</v>
      </c>
      <c r="K24" s="52">
        <f t="shared" si="9"/>
        <v>216000000</v>
      </c>
      <c r="L24" s="52">
        <f t="shared" si="10"/>
        <v>278400000</v>
      </c>
      <c r="M24" s="52">
        <f t="shared" si="11"/>
        <v>585300000</v>
      </c>
      <c r="N24" s="52">
        <f t="shared" si="12"/>
        <v>104976</v>
      </c>
      <c r="O24" s="52">
        <f t="shared" si="13"/>
        <v>839808</v>
      </c>
      <c r="P24" s="52">
        <f t="shared" si="14"/>
        <v>10077696</v>
      </c>
      <c r="Q24" s="52">
        <f t="shared" ref="Q24:R24" si="23">SUM(D24*$E$143)*12</f>
        <v>3201120</v>
      </c>
      <c r="R24" s="52">
        <f t="shared" si="23"/>
        <v>2471040</v>
      </c>
      <c r="S24" s="52">
        <f t="shared" si="16"/>
        <v>13478400</v>
      </c>
      <c r="T24" s="52">
        <f t="shared" si="17"/>
        <v>17372160</v>
      </c>
      <c r="U24" s="52">
        <f t="shared" si="18"/>
        <v>36522720</v>
      </c>
      <c r="V24" s="52">
        <f t="shared" si="19"/>
        <v>15721205.76</v>
      </c>
      <c r="W24" s="52">
        <f t="shared" si="20"/>
        <v>52243925.76</v>
      </c>
      <c r="X24" s="52">
        <f t="shared" si="21"/>
        <v>97550000</v>
      </c>
      <c r="Y24" s="1"/>
      <c r="Z24" s="1"/>
    </row>
    <row r="25" ht="15.75" customHeight="1">
      <c r="A25" s="1"/>
      <c r="B25" s="45">
        <v>4.0</v>
      </c>
      <c r="C25" s="46" t="s">
        <v>55</v>
      </c>
      <c r="D25" s="51">
        <f t="shared" si="4"/>
        <v>4275000</v>
      </c>
      <c r="E25" s="52">
        <f t="shared" si="5"/>
        <v>3300000</v>
      </c>
      <c r="F25" s="52">
        <f t="shared" si="6"/>
        <v>3000000</v>
      </c>
      <c r="G25" s="52">
        <f t="shared" si="7"/>
        <v>2900000</v>
      </c>
      <c r="H25" s="53">
        <v>8.0</v>
      </c>
      <c r="I25" s="52">
        <f t="shared" ref="I25:J25" si="24">D25*12</f>
        <v>51300000</v>
      </c>
      <c r="J25" s="52">
        <f t="shared" si="24"/>
        <v>39600000</v>
      </c>
      <c r="K25" s="52">
        <f t="shared" si="9"/>
        <v>216000000</v>
      </c>
      <c r="L25" s="52">
        <f t="shared" si="10"/>
        <v>278400000</v>
      </c>
      <c r="M25" s="52">
        <f t="shared" si="11"/>
        <v>585300000</v>
      </c>
      <c r="N25" s="52">
        <f t="shared" si="12"/>
        <v>104976</v>
      </c>
      <c r="O25" s="52">
        <f t="shared" si="13"/>
        <v>839808</v>
      </c>
      <c r="P25" s="52">
        <f t="shared" si="14"/>
        <v>10077696</v>
      </c>
      <c r="Q25" s="52">
        <f t="shared" ref="Q25:R25" si="25">SUM(D25*$E$143)*12</f>
        <v>3201120</v>
      </c>
      <c r="R25" s="52">
        <f t="shared" si="25"/>
        <v>2471040</v>
      </c>
      <c r="S25" s="52">
        <f t="shared" si="16"/>
        <v>13478400</v>
      </c>
      <c r="T25" s="52">
        <f t="shared" si="17"/>
        <v>17372160</v>
      </c>
      <c r="U25" s="52">
        <f t="shared" si="18"/>
        <v>36522720</v>
      </c>
      <c r="V25" s="52">
        <f t="shared" si="19"/>
        <v>15721205.76</v>
      </c>
      <c r="W25" s="52">
        <f t="shared" si="20"/>
        <v>52243925.76</v>
      </c>
      <c r="X25" s="52">
        <f t="shared" si="21"/>
        <v>97550000</v>
      </c>
      <c r="Y25" s="1"/>
      <c r="Z25" s="1"/>
    </row>
    <row r="26" ht="15.75" customHeight="1">
      <c r="A26" s="1"/>
      <c r="B26" s="45">
        <v>5.0</v>
      </c>
      <c r="C26" s="46" t="s">
        <v>56</v>
      </c>
      <c r="D26" s="51">
        <f t="shared" si="4"/>
        <v>4275000</v>
      </c>
      <c r="E26" s="52">
        <f t="shared" si="5"/>
        <v>3300000</v>
      </c>
      <c r="F26" s="52">
        <f t="shared" si="6"/>
        <v>3000000</v>
      </c>
      <c r="G26" s="52">
        <f t="shared" si="7"/>
        <v>2900000</v>
      </c>
      <c r="H26" s="53">
        <v>12.0</v>
      </c>
      <c r="I26" s="52">
        <f t="shared" ref="I26:J26" si="26">D26*12</f>
        <v>51300000</v>
      </c>
      <c r="J26" s="52">
        <f t="shared" si="26"/>
        <v>39600000</v>
      </c>
      <c r="K26" s="52">
        <f t="shared" si="9"/>
        <v>216000000</v>
      </c>
      <c r="L26" s="52">
        <f t="shared" si="10"/>
        <v>417600000</v>
      </c>
      <c r="M26" s="52">
        <f t="shared" si="11"/>
        <v>724500000</v>
      </c>
      <c r="N26" s="52">
        <f t="shared" si="12"/>
        <v>104976</v>
      </c>
      <c r="O26" s="52">
        <f t="shared" si="13"/>
        <v>839808</v>
      </c>
      <c r="P26" s="52">
        <f t="shared" si="14"/>
        <v>10077696</v>
      </c>
      <c r="Q26" s="52">
        <f t="shared" ref="Q26:R26" si="27">SUM(D26*$E$143)*12</f>
        <v>3201120</v>
      </c>
      <c r="R26" s="52">
        <f t="shared" si="27"/>
        <v>2471040</v>
      </c>
      <c r="S26" s="52">
        <f t="shared" si="16"/>
        <v>13478400</v>
      </c>
      <c r="T26" s="52">
        <f t="shared" si="17"/>
        <v>26058240</v>
      </c>
      <c r="U26" s="52">
        <f t="shared" si="18"/>
        <v>45208800</v>
      </c>
      <c r="V26" s="52">
        <f t="shared" si="19"/>
        <v>15721205.76</v>
      </c>
      <c r="W26" s="52">
        <f t="shared" si="20"/>
        <v>60930005.76</v>
      </c>
      <c r="X26" s="52">
        <f t="shared" si="21"/>
        <v>120750000</v>
      </c>
      <c r="Y26" s="1"/>
      <c r="Z26" s="1"/>
    </row>
    <row r="27" ht="15.75" customHeight="1">
      <c r="A27" s="1"/>
      <c r="B27" s="45" t="s">
        <v>57</v>
      </c>
      <c r="C27" s="46" t="s">
        <v>58</v>
      </c>
      <c r="D27" s="51"/>
      <c r="E27" s="52"/>
      <c r="F27" s="52"/>
      <c r="G27" s="52"/>
      <c r="H27" s="48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1"/>
      <c r="Z27" s="1"/>
    </row>
    <row r="28" ht="15.75" customHeight="1">
      <c r="A28" s="1"/>
      <c r="B28" s="45">
        <v>6.0</v>
      </c>
      <c r="C28" s="46" t="s">
        <v>59</v>
      </c>
      <c r="D28" s="51">
        <f t="shared" ref="D28:D34" si="30">$H$11</f>
        <v>4275000</v>
      </c>
      <c r="E28" s="52">
        <f t="shared" ref="E28:E34" si="31">$H$12</f>
        <v>3300000</v>
      </c>
      <c r="F28" s="52">
        <f t="shared" ref="F28:F34" si="32">$H$13</f>
        <v>3000000</v>
      </c>
      <c r="G28" s="52">
        <f t="shared" ref="G28:G34" si="33">$H$14</f>
        <v>2900000</v>
      </c>
      <c r="H28" s="53">
        <v>13.0</v>
      </c>
      <c r="I28" s="52">
        <f t="shared" ref="I28:J28" si="28">D28*12</f>
        <v>51300000</v>
      </c>
      <c r="J28" s="52">
        <f t="shared" si="28"/>
        <v>39600000</v>
      </c>
      <c r="K28" s="52">
        <f t="shared" ref="K28:K34" si="35">F28*6*12</f>
        <v>216000000</v>
      </c>
      <c r="L28" s="52">
        <f t="shared" ref="L28:L34" si="36">G28*H28*12</f>
        <v>452400000</v>
      </c>
      <c r="M28" s="52">
        <f t="shared" ref="M28:M34" si="37">SUM(I28:L28)</f>
        <v>759300000</v>
      </c>
      <c r="N28" s="52">
        <f t="shared" ref="N28:N34" si="38">$E$135*$E$137</f>
        <v>104976</v>
      </c>
      <c r="O28" s="52">
        <f t="shared" ref="O28:O34" si="39">N28*8</f>
        <v>839808</v>
      </c>
      <c r="P28" s="52">
        <f t="shared" ref="P28:P34" si="40">O28*12</f>
        <v>10077696</v>
      </c>
      <c r="Q28" s="52">
        <f t="shared" ref="Q28:R28" si="29">SUM(D28*$E$143)*12</f>
        <v>3201120</v>
      </c>
      <c r="R28" s="52">
        <f t="shared" si="29"/>
        <v>2471040</v>
      </c>
      <c r="S28" s="52">
        <f t="shared" ref="S28:S34" si="42">SUM(F28*$E$143*6)*12</f>
        <v>13478400</v>
      </c>
      <c r="T28" s="52">
        <f t="shared" ref="T28:T34" si="43">SUM(G28*$E$143*H28)*12</f>
        <v>28229760</v>
      </c>
      <c r="U28" s="52">
        <f t="shared" ref="U28:U34" si="44">SUM(Q28:T28)</f>
        <v>47380320</v>
      </c>
      <c r="V28" s="52">
        <f t="shared" ref="V28:V34" si="45">SUM($E$135*$E$143*8)*12</f>
        <v>15721205.76</v>
      </c>
      <c r="W28" s="52">
        <f t="shared" ref="W28:W34" si="46">SUM(U28+V28)</f>
        <v>63101525.76</v>
      </c>
      <c r="X28" s="52">
        <f t="shared" ref="X28:X34" si="47">SUM(D28*2)+(E28*2)+(F28*6*2)+(G28*H28*2)</f>
        <v>126550000</v>
      </c>
      <c r="Y28" s="1"/>
      <c r="Z28" s="1"/>
    </row>
    <row r="29" ht="15.75" customHeight="1">
      <c r="A29" s="1"/>
      <c r="B29" s="45">
        <v>7.0</v>
      </c>
      <c r="C29" s="46" t="s">
        <v>60</v>
      </c>
      <c r="D29" s="51">
        <f t="shared" si="30"/>
        <v>4275000</v>
      </c>
      <c r="E29" s="52">
        <f t="shared" si="31"/>
        <v>3300000</v>
      </c>
      <c r="F29" s="52">
        <f t="shared" si="32"/>
        <v>3000000</v>
      </c>
      <c r="G29" s="52">
        <f t="shared" si="33"/>
        <v>2900000</v>
      </c>
      <c r="H29" s="53">
        <v>15.0</v>
      </c>
      <c r="I29" s="52">
        <f t="shared" ref="I29:J29" si="34">D29*12</f>
        <v>51300000</v>
      </c>
      <c r="J29" s="52">
        <f t="shared" si="34"/>
        <v>39600000</v>
      </c>
      <c r="K29" s="52">
        <f t="shared" si="35"/>
        <v>216000000</v>
      </c>
      <c r="L29" s="52">
        <f t="shared" si="36"/>
        <v>522000000</v>
      </c>
      <c r="M29" s="52">
        <f t="shared" si="37"/>
        <v>828900000</v>
      </c>
      <c r="N29" s="52">
        <f t="shared" si="38"/>
        <v>104976</v>
      </c>
      <c r="O29" s="52">
        <f t="shared" si="39"/>
        <v>839808</v>
      </c>
      <c r="P29" s="52">
        <f t="shared" si="40"/>
        <v>10077696</v>
      </c>
      <c r="Q29" s="52">
        <f t="shared" ref="Q29:R29" si="41">SUM(D29*$E$143)*12</f>
        <v>3201120</v>
      </c>
      <c r="R29" s="52">
        <f t="shared" si="41"/>
        <v>2471040</v>
      </c>
      <c r="S29" s="52">
        <f t="shared" si="42"/>
        <v>13478400</v>
      </c>
      <c r="T29" s="52">
        <f t="shared" si="43"/>
        <v>32572800</v>
      </c>
      <c r="U29" s="52">
        <f t="shared" si="44"/>
        <v>51723360</v>
      </c>
      <c r="V29" s="52">
        <f t="shared" si="45"/>
        <v>15721205.76</v>
      </c>
      <c r="W29" s="52">
        <f t="shared" si="46"/>
        <v>67444565.76</v>
      </c>
      <c r="X29" s="52">
        <f t="shared" si="47"/>
        <v>138150000</v>
      </c>
      <c r="Y29" s="1"/>
      <c r="Z29" s="1"/>
    </row>
    <row r="30" ht="15.75" customHeight="1">
      <c r="A30" s="1"/>
      <c r="B30" s="45">
        <v>8.0</v>
      </c>
      <c r="C30" s="46" t="s">
        <v>61</v>
      </c>
      <c r="D30" s="51">
        <f t="shared" si="30"/>
        <v>4275000</v>
      </c>
      <c r="E30" s="52">
        <f t="shared" si="31"/>
        <v>3300000</v>
      </c>
      <c r="F30" s="52">
        <f t="shared" si="32"/>
        <v>3000000</v>
      </c>
      <c r="G30" s="52">
        <f t="shared" si="33"/>
        <v>2900000</v>
      </c>
      <c r="H30" s="53">
        <v>8.0</v>
      </c>
      <c r="I30" s="52">
        <f t="shared" ref="I30:J30" si="48">D30*12</f>
        <v>51300000</v>
      </c>
      <c r="J30" s="52">
        <f t="shared" si="48"/>
        <v>39600000</v>
      </c>
      <c r="K30" s="52">
        <f t="shared" si="35"/>
        <v>216000000</v>
      </c>
      <c r="L30" s="52">
        <f t="shared" si="36"/>
        <v>278400000</v>
      </c>
      <c r="M30" s="52">
        <f t="shared" si="37"/>
        <v>585300000</v>
      </c>
      <c r="N30" s="52">
        <f t="shared" si="38"/>
        <v>104976</v>
      </c>
      <c r="O30" s="52">
        <f t="shared" si="39"/>
        <v>839808</v>
      </c>
      <c r="P30" s="52">
        <f t="shared" si="40"/>
        <v>10077696</v>
      </c>
      <c r="Q30" s="52">
        <f t="shared" ref="Q30:R30" si="49">SUM(D30*$E$143)*12</f>
        <v>3201120</v>
      </c>
      <c r="R30" s="52">
        <f t="shared" si="49"/>
        <v>2471040</v>
      </c>
      <c r="S30" s="52">
        <f t="shared" si="42"/>
        <v>13478400</v>
      </c>
      <c r="T30" s="52">
        <f t="shared" si="43"/>
        <v>17372160</v>
      </c>
      <c r="U30" s="52">
        <f t="shared" si="44"/>
        <v>36522720</v>
      </c>
      <c r="V30" s="52">
        <f t="shared" si="45"/>
        <v>15721205.76</v>
      </c>
      <c r="W30" s="52">
        <f t="shared" si="46"/>
        <v>52243925.76</v>
      </c>
      <c r="X30" s="52">
        <f t="shared" si="47"/>
        <v>97550000</v>
      </c>
      <c r="Y30" s="1"/>
      <c r="Z30" s="1"/>
    </row>
    <row r="31" ht="15.75" customHeight="1">
      <c r="A31" s="1"/>
      <c r="B31" s="45">
        <v>9.0</v>
      </c>
      <c r="C31" s="46" t="s">
        <v>62</v>
      </c>
      <c r="D31" s="51">
        <f t="shared" si="30"/>
        <v>4275000</v>
      </c>
      <c r="E31" s="52">
        <f t="shared" si="31"/>
        <v>3300000</v>
      </c>
      <c r="F31" s="52">
        <f t="shared" si="32"/>
        <v>3000000</v>
      </c>
      <c r="G31" s="52">
        <f t="shared" si="33"/>
        <v>2900000</v>
      </c>
      <c r="H31" s="53">
        <v>8.0</v>
      </c>
      <c r="I31" s="52">
        <f t="shared" ref="I31:J31" si="50">D31*12</f>
        <v>51300000</v>
      </c>
      <c r="J31" s="52">
        <f t="shared" si="50"/>
        <v>39600000</v>
      </c>
      <c r="K31" s="52">
        <f t="shared" si="35"/>
        <v>216000000</v>
      </c>
      <c r="L31" s="52">
        <f t="shared" si="36"/>
        <v>278400000</v>
      </c>
      <c r="M31" s="52">
        <f t="shared" si="37"/>
        <v>585300000</v>
      </c>
      <c r="N31" s="52">
        <f t="shared" si="38"/>
        <v>104976</v>
      </c>
      <c r="O31" s="52">
        <f t="shared" si="39"/>
        <v>839808</v>
      </c>
      <c r="P31" s="52">
        <f t="shared" si="40"/>
        <v>10077696</v>
      </c>
      <c r="Q31" s="52">
        <f t="shared" ref="Q31:R31" si="51">SUM(D31*$E$143)*12</f>
        <v>3201120</v>
      </c>
      <c r="R31" s="52">
        <f t="shared" si="51"/>
        <v>2471040</v>
      </c>
      <c r="S31" s="52">
        <f t="shared" si="42"/>
        <v>13478400</v>
      </c>
      <c r="T31" s="52">
        <f t="shared" si="43"/>
        <v>17372160</v>
      </c>
      <c r="U31" s="52">
        <f t="shared" si="44"/>
        <v>36522720</v>
      </c>
      <c r="V31" s="52">
        <f t="shared" si="45"/>
        <v>15721205.76</v>
      </c>
      <c r="W31" s="52">
        <f t="shared" si="46"/>
        <v>52243925.76</v>
      </c>
      <c r="X31" s="52">
        <f t="shared" si="47"/>
        <v>97550000</v>
      </c>
      <c r="Y31" s="1"/>
      <c r="Z31" s="1"/>
    </row>
    <row r="32" ht="15.75" customHeight="1">
      <c r="A32" s="1"/>
      <c r="B32" s="45">
        <v>10.0</v>
      </c>
      <c r="C32" s="46" t="s">
        <v>63</v>
      </c>
      <c r="D32" s="51">
        <f t="shared" si="30"/>
        <v>4275000</v>
      </c>
      <c r="E32" s="52">
        <f t="shared" si="31"/>
        <v>3300000</v>
      </c>
      <c r="F32" s="52">
        <f t="shared" si="32"/>
        <v>3000000</v>
      </c>
      <c r="G32" s="52">
        <f t="shared" si="33"/>
        <v>2900000</v>
      </c>
      <c r="H32" s="53">
        <v>14.0</v>
      </c>
      <c r="I32" s="52">
        <f t="shared" ref="I32:J32" si="52">D32*12</f>
        <v>51300000</v>
      </c>
      <c r="J32" s="52">
        <f t="shared" si="52"/>
        <v>39600000</v>
      </c>
      <c r="K32" s="52">
        <f t="shared" si="35"/>
        <v>216000000</v>
      </c>
      <c r="L32" s="52">
        <f t="shared" si="36"/>
        <v>487200000</v>
      </c>
      <c r="M32" s="52">
        <f t="shared" si="37"/>
        <v>794100000</v>
      </c>
      <c r="N32" s="52">
        <f t="shared" si="38"/>
        <v>104976</v>
      </c>
      <c r="O32" s="52">
        <f t="shared" si="39"/>
        <v>839808</v>
      </c>
      <c r="P32" s="52">
        <f t="shared" si="40"/>
        <v>10077696</v>
      </c>
      <c r="Q32" s="52">
        <f t="shared" ref="Q32:R32" si="53">SUM(D32*$E$143)*12</f>
        <v>3201120</v>
      </c>
      <c r="R32" s="52">
        <f t="shared" si="53"/>
        <v>2471040</v>
      </c>
      <c r="S32" s="52">
        <f t="shared" si="42"/>
        <v>13478400</v>
      </c>
      <c r="T32" s="52">
        <f t="shared" si="43"/>
        <v>30401280</v>
      </c>
      <c r="U32" s="52">
        <f t="shared" si="44"/>
        <v>49551840</v>
      </c>
      <c r="V32" s="52">
        <f t="shared" si="45"/>
        <v>15721205.76</v>
      </c>
      <c r="W32" s="52">
        <f t="shared" si="46"/>
        <v>65273045.76</v>
      </c>
      <c r="X32" s="52">
        <f t="shared" si="47"/>
        <v>132350000</v>
      </c>
      <c r="Y32" s="1"/>
      <c r="Z32" s="1"/>
    </row>
    <row r="33" ht="15.75" customHeight="1">
      <c r="A33" s="1"/>
      <c r="B33" s="45">
        <v>11.0</v>
      </c>
      <c r="C33" s="46" t="s">
        <v>64</v>
      </c>
      <c r="D33" s="51">
        <f t="shared" si="30"/>
        <v>4275000</v>
      </c>
      <c r="E33" s="52">
        <f t="shared" si="31"/>
        <v>3300000</v>
      </c>
      <c r="F33" s="52">
        <f t="shared" si="32"/>
        <v>3000000</v>
      </c>
      <c r="G33" s="52">
        <f t="shared" si="33"/>
        <v>2900000</v>
      </c>
      <c r="H33" s="53">
        <v>8.0</v>
      </c>
      <c r="I33" s="52">
        <f t="shared" ref="I33:J33" si="54">D33*12</f>
        <v>51300000</v>
      </c>
      <c r="J33" s="52">
        <f t="shared" si="54"/>
        <v>39600000</v>
      </c>
      <c r="K33" s="52">
        <f t="shared" si="35"/>
        <v>216000000</v>
      </c>
      <c r="L33" s="52">
        <f t="shared" si="36"/>
        <v>278400000</v>
      </c>
      <c r="M33" s="52">
        <f t="shared" si="37"/>
        <v>585300000</v>
      </c>
      <c r="N33" s="52">
        <f t="shared" si="38"/>
        <v>104976</v>
      </c>
      <c r="O33" s="52">
        <f t="shared" si="39"/>
        <v>839808</v>
      </c>
      <c r="P33" s="52">
        <f t="shared" si="40"/>
        <v>10077696</v>
      </c>
      <c r="Q33" s="52">
        <f t="shared" ref="Q33:R33" si="55">SUM(D33*$E$143)*12</f>
        <v>3201120</v>
      </c>
      <c r="R33" s="52">
        <f t="shared" si="55"/>
        <v>2471040</v>
      </c>
      <c r="S33" s="52">
        <f t="shared" si="42"/>
        <v>13478400</v>
      </c>
      <c r="T33" s="52">
        <f t="shared" si="43"/>
        <v>17372160</v>
      </c>
      <c r="U33" s="52">
        <f t="shared" si="44"/>
        <v>36522720</v>
      </c>
      <c r="V33" s="52">
        <f t="shared" si="45"/>
        <v>15721205.76</v>
      </c>
      <c r="W33" s="52">
        <f t="shared" si="46"/>
        <v>52243925.76</v>
      </c>
      <c r="X33" s="52">
        <f t="shared" si="47"/>
        <v>97550000</v>
      </c>
      <c r="Y33" s="1"/>
      <c r="Z33" s="1"/>
    </row>
    <row r="34" ht="15.75" customHeight="1">
      <c r="A34" s="1"/>
      <c r="B34" s="45">
        <v>12.0</v>
      </c>
      <c r="C34" s="46" t="s">
        <v>65</v>
      </c>
      <c r="D34" s="51">
        <f t="shared" si="30"/>
        <v>4275000</v>
      </c>
      <c r="E34" s="52">
        <f t="shared" si="31"/>
        <v>3300000</v>
      </c>
      <c r="F34" s="52">
        <f t="shared" si="32"/>
        <v>3000000</v>
      </c>
      <c r="G34" s="52">
        <f t="shared" si="33"/>
        <v>2900000</v>
      </c>
      <c r="H34" s="53">
        <v>11.0</v>
      </c>
      <c r="I34" s="52">
        <f t="shared" ref="I34:J34" si="56">D34*12</f>
        <v>51300000</v>
      </c>
      <c r="J34" s="52">
        <f t="shared" si="56"/>
        <v>39600000</v>
      </c>
      <c r="K34" s="52">
        <f t="shared" si="35"/>
        <v>216000000</v>
      </c>
      <c r="L34" s="52">
        <f t="shared" si="36"/>
        <v>382800000</v>
      </c>
      <c r="M34" s="52">
        <f t="shared" si="37"/>
        <v>689700000</v>
      </c>
      <c r="N34" s="52">
        <f t="shared" si="38"/>
        <v>104976</v>
      </c>
      <c r="O34" s="52">
        <f t="shared" si="39"/>
        <v>839808</v>
      </c>
      <c r="P34" s="52">
        <f t="shared" si="40"/>
        <v>10077696</v>
      </c>
      <c r="Q34" s="52">
        <f t="shared" ref="Q34:R34" si="57">SUM(D34*$E$143)*12</f>
        <v>3201120</v>
      </c>
      <c r="R34" s="52">
        <f t="shared" si="57"/>
        <v>2471040</v>
      </c>
      <c r="S34" s="52">
        <f t="shared" si="42"/>
        <v>13478400</v>
      </c>
      <c r="T34" s="52">
        <f t="shared" si="43"/>
        <v>23886720</v>
      </c>
      <c r="U34" s="52">
        <f t="shared" si="44"/>
        <v>43037280</v>
      </c>
      <c r="V34" s="52">
        <f t="shared" si="45"/>
        <v>15721205.76</v>
      </c>
      <c r="W34" s="52">
        <f t="shared" si="46"/>
        <v>58758485.76</v>
      </c>
      <c r="X34" s="52">
        <f t="shared" si="47"/>
        <v>114950000</v>
      </c>
      <c r="Y34" s="1"/>
      <c r="Z34" s="1"/>
    </row>
    <row r="35" ht="15.75" customHeight="1">
      <c r="A35" s="1"/>
      <c r="B35" s="45" t="s">
        <v>66</v>
      </c>
      <c r="C35" s="46" t="s">
        <v>67</v>
      </c>
      <c r="D35" s="51"/>
      <c r="E35" s="52"/>
      <c r="F35" s="52"/>
      <c r="G35" s="52"/>
      <c r="H35" s="48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1"/>
      <c r="Z35" s="1"/>
    </row>
    <row r="36" ht="15.75" customHeight="1">
      <c r="A36" s="1"/>
      <c r="B36" s="45">
        <v>13.0</v>
      </c>
      <c r="C36" s="46" t="s">
        <v>68</v>
      </c>
      <c r="D36" s="51">
        <f t="shared" ref="D36:D39" si="60">$H$11</f>
        <v>4275000</v>
      </c>
      <c r="E36" s="52">
        <f t="shared" ref="E36:E39" si="61">$H$12</f>
        <v>3300000</v>
      </c>
      <c r="F36" s="52">
        <f t="shared" ref="F36:F39" si="62">$H$13</f>
        <v>3000000</v>
      </c>
      <c r="G36" s="52">
        <f t="shared" ref="G36:G39" si="63">$H$14</f>
        <v>2900000</v>
      </c>
      <c r="H36" s="53">
        <v>15.0</v>
      </c>
      <c r="I36" s="52">
        <f t="shared" ref="I36:J36" si="58">D36*12</f>
        <v>51300000</v>
      </c>
      <c r="J36" s="52">
        <f t="shared" si="58"/>
        <v>39600000</v>
      </c>
      <c r="K36" s="52">
        <f t="shared" ref="K36:K39" si="65">F36*6*12</f>
        <v>216000000</v>
      </c>
      <c r="L36" s="52">
        <f t="shared" ref="L36:L39" si="66">G36*H36*12</f>
        <v>522000000</v>
      </c>
      <c r="M36" s="52">
        <f t="shared" ref="M36:M39" si="67">SUM(I36:L36)</f>
        <v>828900000</v>
      </c>
      <c r="N36" s="52">
        <f t="shared" ref="N36:N39" si="68">$E$135*$E$137</f>
        <v>104976</v>
      </c>
      <c r="O36" s="52">
        <f t="shared" ref="O36:O39" si="69">N36*8</f>
        <v>839808</v>
      </c>
      <c r="P36" s="52">
        <f t="shared" ref="P36:P39" si="70">O36*12</f>
        <v>10077696</v>
      </c>
      <c r="Q36" s="52">
        <f t="shared" ref="Q36:R36" si="59">SUM(D36*$E$143)*12</f>
        <v>3201120</v>
      </c>
      <c r="R36" s="52">
        <f t="shared" si="59"/>
        <v>2471040</v>
      </c>
      <c r="S36" s="52">
        <f t="shared" ref="S36:S39" si="72">SUM(F36*$E$143*6)*12</f>
        <v>13478400</v>
      </c>
      <c r="T36" s="52">
        <f t="shared" ref="T36:T39" si="73">SUM(G36*$E$143*H36)*12</f>
        <v>32572800</v>
      </c>
      <c r="U36" s="52">
        <f t="shared" ref="U36:U39" si="74">SUM(Q36:T36)</f>
        <v>51723360</v>
      </c>
      <c r="V36" s="52">
        <f t="shared" ref="V36:V39" si="75">SUM($E$135*$E$143*8)*12</f>
        <v>15721205.76</v>
      </c>
      <c r="W36" s="52">
        <f t="shared" ref="W36:W39" si="76">SUM(U36+V36)</f>
        <v>67444565.76</v>
      </c>
      <c r="X36" s="52">
        <f t="shared" ref="X36:X39" si="77">SUM(D36*2)+(E36*2)+(F36*6*2)+(G36*H36*2)</f>
        <v>138150000</v>
      </c>
      <c r="Y36" s="1"/>
      <c r="Z36" s="1"/>
    </row>
    <row r="37" ht="15.75" customHeight="1">
      <c r="A37" s="1"/>
      <c r="B37" s="45">
        <v>14.0</v>
      </c>
      <c r="C37" s="46" t="s">
        <v>69</v>
      </c>
      <c r="D37" s="51">
        <f t="shared" si="60"/>
        <v>4275000</v>
      </c>
      <c r="E37" s="52">
        <f t="shared" si="61"/>
        <v>3300000</v>
      </c>
      <c r="F37" s="52">
        <f t="shared" si="62"/>
        <v>3000000</v>
      </c>
      <c r="G37" s="52">
        <f t="shared" si="63"/>
        <v>2900000</v>
      </c>
      <c r="H37" s="53">
        <v>13.0</v>
      </c>
      <c r="I37" s="52">
        <f t="shared" ref="I37:J37" si="64">D37*12</f>
        <v>51300000</v>
      </c>
      <c r="J37" s="52">
        <f t="shared" si="64"/>
        <v>39600000</v>
      </c>
      <c r="K37" s="52">
        <f t="shared" si="65"/>
        <v>216000000</v>
      </c>
      <c r="L37" s="52">
        <f t="shared" si="66"/>
        <v>452400000</v>
      </c>
      <c r="M37" s="52">
        <f t="shared" si="67"/>
        <v>759300000</v>
      </c>
      <c r="N37" s="52">
        <f t="shared" si="68"/>
        <v>104976</v>
      </c>
      <c r="O37" s="52">
        <f t="shared" si="69"/>
        <v>839808</v>
      </c>
      <c r="P37" s="52">
        <f t="shared" si="70"/>
        <v>10077696</v>
      </c>
      <c r="Q37" s="52">
        <f t="shared" ref="Q37:R37" si="71">SUM(D37*$E$143)*12</f>
        <v>3201120</v>
      </c>
      <c r="R37" s="52">
        <f t="shared" si="71"/>
        <v>2471040</v>
      </c>
      <c r="S37" s="52">
        <f t="shared" si="72"/>
        <v>13478400</v>
      </c>
      <c r="T37" s="52">
        <f t="shared" si="73"/>
        <v>28229760</v>
      </c>
      <c r="U37" s="52">
        <f t="shared" si="74"/>
        <v>47380320</v>
      </c>
      <c r="V37" s="52">
        <f t="shared" si="75"/>
        <v>15721205.76</v>
      </c>
      <c r="W37" s="52">
        <f t="shared" si="76"/>
        <v>63101525.76</v>
      </c>
      <c r="X37" s="52">
        <f t="shared" si="77"/>
        <v>126550000</v>
      </c>
      <c r="Y37" s="1"/>
      <c r="Z37" s="1"/>
    </row>
    <row r="38" ht="15.75" customHeight="1">
      <c r="A38" s="1"/>
      <c r="B38" s="45">
        <v>15.0</v>
      </c>
      <c r="C38" s="46" t="s">
        <v>70</v>
      </c>
      <c r="D38" s="51">
        <f t="shared" si="60"/>
        <v>4275000</v>
      </c>
      <c r="E38" s="52">
        <f t="shared" si="61"/>
        <v>3300000</v>
      </c>
      <c r="F38" s="52">
        <f t="shared" si="62"/>
        <v>3000000</v>
      </c>
      <c r="G38" s="52">
        <f t="shared" si="63"/>
        <v>2900000</v>
      </c>
      <c r="H38" s="53">
        <v>21.0</v>
      </c>
      <c r="I38" s="52">
        <f t="shared" ref="I38:J38" si="78">D38*12</f>
        <v>51300000</v>
      </c>
      <c r="J38" s="52">
        <f t="shared" si="78"/>
        <v>39600000</v>
      </c>
      <c r="K38" s="52">
        <f t="shared" si="65"/>
        <v>216000000</v>
      </c>
      <c r="L38" s="52">
        <f t="shared" si="66"/>
        <v>730800000</v>
      </c>
      <c r="M38" s="52">
        <f t="shared" si="67"/>
        <v>1037700000</v>
      </c>
      <c r="N38" s="52">
        <f t="shared" si="68"/>
        <v>104976</v>
      </c>
      <c r="O38" s="52">
        <f t="shared" si="69"/>
        <v>839808</v>
      </c>
      <c r="P38" s="52">
        <f t="shared" si="70"/>
        <v>10077696</v>
      </c>
      <c r="Q38" s="52">
        <f t="shared" ref="Q38:R38" si="79">SUM(D38*$E$143)*12</f>
        <v>3201120</v>
      </c>
      <c r="R38" s="52">
        <f t="shared" si="79"/>
        <v>2471040</v>
      </c>
      <c r="S38" s="52">
        <f t="shared" si="72"/>
        <v>13478400</v>
      </c>
      <c r="T38" s="52">
        <f t="shared" si="73"/>
        <v>45601920</v>
      </c>
      <c r="U38" s="52">
        <f t="shared" si="74"/>
        <v>64752480</v>
      </c>
      <c r="V38" s="52">
        <f t="shared" si="75"/>
        <v>15721205.76</v>
      </c>
      <c r="W38" s="52">
        <f t="shared" si="76"/>
        <v>80473685.76</v>
      </c>
      <c r="X38" s="52">
        <f t="shared" si="77"/>
        <v>172950000</v>
      </c>
      <c r="Y38" s="1"/>
      <c r="Z38" s="1"/>
    </row>
    <row r="39" ht="15.75" customHeight="1">
      <c r="A39" s="1"/>
      <c r="B39" s="45">
        <v>16.0</v>
      </c>
      <c r="C39" s="46" t="s">
        <v>71</v>
      </c>
      <c r="D39" s="51">
        <f t="shared" si="60"/>
        <v>4275000</v>
      </c>
      <c r="E39" s="52">
        <f t="shared" si="61"/>
        <v>3300000</v>
      </c>
      <c r="F39" s="52">
        <f t="shared" si="62"/>
        <v>3000000</v>
      </c>
      <c r="G39" s="52">
        <f t="shared" si="63"/>
        <v>2900000</v>
      </c>
      <c r="H39" s="53">
        <v>16.0</v>
      </c>
      <c r="I39" s="52">
        <f t="shared" ref="I39:J39" si="80">D39*12</f>
        <v>51300000</v>
      </c>
      <c r="J39" s="52">
        <f t="shared" si="80"/>
        <v>39600000</v>
      </c>
      <c r="K39" s="52">
        <f t="shared" si="65"/>
        <v>216000000</v>
      </c>
      <c r="L39" s="52">
        <f t="shared" si="66"/>
        <v>556800000</v>
      </c>
      <c r="M39" s="52">
        <f t="shared" si="67"/>
        <v>863700000</v>
      </c>
      <c r="N39" s="52">
        <f t="shared" si="68"/>
        <v>104976</v>
      </c>
      <c r="O39" s="52">
        <f t="shared" si="69"/>
        <v>839808</v>
      </c>
      <c r="P39" s="52">
        <f t="shared" si="70"/>
        <v>10077696</v>
      </c>
      <c r="Q39" s="52">
        <f t="shared" ref="Q39:R39" si="81">SUM(D39*$E$143)*12</f>
        <v>3201120</v>
      </c>
      <c r="R39" s="52">
        <f t="shared" si="81"/>
        <v>2471040</v>
      </c>
      <c r="S39" s="52">
        <f t="shared" si="72"/>
        <v>13478400</v>
      </c>
      <c r="T39" s="52">
        <f t="shared" si="73"/>
        <v>34744320</v>
      </c>
      <c r="U39" s="52">
        <f t="shared" si="74"/>
        <v>53894880</v>
      </c>
      <c r="V39" s="52">
        <f t="shared" si="75"/>
        <v>15721205.76</v>
      </c>
      <c r="W39" s="52">
        <f t="shared" si="76"/>
        <v>69616085.76</v>
      </c>
      <c r="X39" s="52">
        <f t="shared" si="77"/>
        <v>143950000</v>
      </c>
      <c r="Y39" s="1"/>
      <c r="Z39" s="1"/>
    </row>
    <row r="40" ht="15.75" customHeight="1">
      <c r="A40" s="1"/>
      <c r="B40" s="45" t="s">
        <v>72</v>
      </c>
      <c r="C40" s="46" t="s">
        <v>73</v>
      </c>
      <c r="D40" s="51"/>
      <c r="E40" s="52"/>
      <c r="F40" s="52"/>
      <c r="G40" s="52"/>
      <c r="H40" s="48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1"/>
      <c r="Z40" s="1"/>
    </row>
    <row r="41" ht="15.75" customHeight="1">
      <c r="A41" s="1"/>
      <c r="B41" s="45">
        <v>17.0</v>
      </c>
      <c r="C41" s="46" t="s">
        <v>74</v>
      </c>
      <c r="D41" s="51">
        <f t="shared" ref="D41:D45" si="84">$H$11</f>
        <v>4275000</v>
      </c>
      <c r="E41" s="52">
        <f t="shared" ref="E41:E45" si="85">$H$12</f>
        <v>3300000</v>
      </c>
      <c r="F41" s="52">
        <f t="shared" ref="F41:F45" si="86">$H$13</f>
        <v>3000000</v>
      </c>
      <c r="G41" s="52">
        <f t="shared" ref="G41:G45" si="87">$H$14</f>
        <v>2900000</v>
      </c>
      <c r="H41" s="53">
        <v>9.0</v>
      </c>
      <c r="I41" s="52">
        <f t="shared" ref="I41:J41" si="82">D41*12</f>
        <v>51300000</v>
      </c>
      <c r="J41" s="52">
        <f t="shared" si="82"/>
        <v>39600000</v>
      </c>
      <c r="K41" s="52">
        <f t="shared" ref="K41:K45" si="89">F41*6*12</f>
        <v>216000000</v>
      </c>
      <c r="L41" s="52">
        <f t="shared" ref="L41:L45" si="90">G41*H41*12</f>
        <v>313200000</v>
      </c>
      <c r="M41" s="52">
        <f t="shared" ref="M41:M45" si="91">SUM(I41:L41)</f>
        <v>620100000</v>
      </c>
      <c r="N41" s="52">
        <f t="shared" ref="N41:N45" si="92">$E$135*$E$137</f>
        <v>104976</v>
      </c>
      <c r="O41" s="52">
        <f t="shared" ref="O41:O45" si="93">N41*8</f>
        <v>839808</v>
      </c>
      <c r="P41" s="52">
        <f t="shared" ref="P41:P45" si="94">O41*12</f>
        <v>10077696</v>
      </c>
      <c r="Q41" s="52">
        <f t="shared" ref="Q41:R41" si="83">SUM(D41*$E$143)*12</f>
        <v>3201120</v>
      </c>
      <c r="R41" s="52">
        <f t="shared" si="83"/>
        <v>2471040</v>
      </c>
      <c r="S41" s="52">
        <f t="shared" ref="S41:S45" si="96">SUM(F41*$E$143*6)*12</f>
        <v>13478400</v>
      </c>
      <c r="T41" s="52">
        <f t="shared" ref="T41:T45" si="97">SUM(G41*$E$143*H41)*12</f>
        <v>19543680</v>
      </c>
      <c r="U41" s="52">
        <f t="shared" ref="U41:U45" si="98">SUM(Q41:T41)</f>
        <v>38694240</v>
      </c>
      <c r="V41" s="52">
        <f t="shared" ref="V41:V45" si="99">SUM($E$135*$E$143*8)*12</f>
        <v>15721205.76</v>
      </c>
      <c r="W41" s="52">
        <f t="shared" ref="W41:W45" si="100">SUM(U41+V41)</f>
        <v>54415445.76</v>
      </c>
      <c r="X41" s="52">
        <f t="shared" ref="X41:X45" si="101">SUM(D41*2)+(E41*2)+(F41*6*2)+(G41*H41*2)</f>
        <v>103350000</v>
      </c>
      <c r="Y41" s="1"/>
      <c r="Z41" s="1"/>
    </row>
    <row r="42" ht="15.75" customHeight="1">
      <c r="A42" s="1"/>
      <c r="B42" s="45">
        <v>18.0</v>
      </c>
      <c r="C42" s="46" t="s">
        <v>75</v>
      </c>
      <c r="D42" s="51">
        <f t="shared" si="84"/>
        <v>4275000</v>
      </c>
      <c r="E42" s="52">
        <f t="shared" si="85"/>
        <v>3300000</v>
      </c>
      <c r="F42" s="52">
        <f t="shared" si="86"/>
        <v>3000000</v>
      </c>
      <c r="G42" s="52">
        <f t="shared" si="87"/>
        <v>2900000</v>
      </c>
      <c r="H42" s="53">
        <v>16.0</v>
      </c>
      <c r="I42" s="52">
        <f t="shared" ref="I42:J42" si="88">D42*12</f>
        <v>51300000</v>
      </c>
      <c r="J42" s="52">
        <f t="shared" si="88"/>
        <v>39600000</v>
      </c>
      <c r="K42" s="52">
        <f t="shared" si="89"/>
        <v>216000000</v>
      </c>
      <c r="L42" s="52">
        <f t="shared" si="90"/>
        <v>556800000</v>
      </c>
      <c r="M42" s="52">
        <f t="shared" si="91"/>
        <v>863700000</v>
      </c>
      <c r="N42" s="52">
        <f t="shared" si="92"/>
        <v>104976</v>
      </c>
      <c r="O42" s="52">
        <f t="shared" si="93"/>
        <v>839808</v>
      </c>
      <c r="P42" s="52">
        <f t="shared" si="94"/>
        <v>10077696</v>
      </c>
      <c r="Q42" s="52">
        <f t="shared" ref="Q42:R42" si="95">SUM(D42*$E$143)*12</f>
        <v>3201120</v>
      </c>
      <c r="R42" s="52">
        <f t="shared" si="95"/>
        <v>2471040</v>
      </c>
      <c r="S42" s="52">
        <f t="shared" si="96"/>
        <v>13478400</v>
      </c>
      <c r="T42" s="52">
        <f t="shared" si="97"/>
        <v>34744320</v>
      </c>
      <c r="U42" s="52">
        <f t="shared" si="98"/>
        <v>53894880</v>
      </c>
      <c r="V42" s="52">
        <f t="shared" si="99"/>
        <v>15721205.76</v>
      </c>
      <c r="W42" s="52">
        <f t="shared" si="100"/>
        <v>69616085.76</v>
      </c>
      <c r="X42" s="52">
        <f t="shared" si="101"/>
        <v>143950000</v>
      </c>
      <c r="Y42" s="1"/>
      <c r="Z42" s="1"/>
    </row>
    <row r="43" ht="15.75" customHeight="1">
      <c r="A43" s="1"/>
      <c r="B43" s="45">
        <v>19.0</v>
      </c>
      <c r="C43" s="46" t="s">
        <v>76</v>
      </c>
      <c r="D43" s="51">
        <f t="shared" si="84"/>
        <v>4275000</v>
      </c>
      <c r="E43" s="52">
        <f t="shared" si="85"/>
        <v>3300000</v>
      </c>
      <c r="F43" s="52">
        <f t="shared" si="86"/>
        <v>3000000</v>
      </c>
      <c r="G43" s="52">
        <f t="shared" si="87"/>
        <v>2900000</v>
      </c>
      <c r="H43" s="53">
        <v>15.0</v>
      </c>
      <c r="I43" s="52">
        <f t="shared" ref="I43:J43" si="102">D43*12</f>
        <v>51300000</v>
      </c>
      <c r="J43" s="52">
        <f t="shared" si="102"/>
        <v>39600000</v>
      </c>
      <c r="K43" s="52">
        <f t="shared" si="89"/>
        <v>216000000</v>
      </c>
      <c r="L43" s="52">
        <f t="shared" si="90"/>
        <v>522000000</v>
      </c>
      <c r="M43" s="52">
        <f t="shared" si="91"/>
        <v>828900000</v>
      </c>
      <c r="N43" s="52">
        <f t="shared" si="92"/>
        <v>104976</v>
      </c>
      <c r="O43" s="52">
        <f t="shared" si="93"/>
        <v>839808</v>
      </c>
      <c r="P43" s="52">
        <f t="shared" si="94"/>
        <v>10077696</v>
      </c>
      <c r="Q43" s="52">
        <f t="shared" ref="Q43:R43" si="103">SUM(D43*$E$143)*12</f>
        <v>3201120</v>
      </c>
      <c r="R43" s="52">
        <f t="shared" si="103"/>
        <v>2471040</v>
      </c>
      <c r="S43" s="52">
        <f t="shared" si="96"/>
        <v>13478400</v>
      </c>
      <c r="T43" s="52">
        <f t="shared" si="97"/>
        <v>32572800</v>
      </c>
      <c r="U43" s="52">
        <f t="shared" si="98"/>
        <v>51723360</v>
      </c>
      <c r="V43" s="52">
        <f t="shared" si="99"/>
        <v>15721205.76</v>
      </c>
      <c r="W43" s="52">
        <f t="shared" si="100"/>
        <v>67444565.76</v>
      </c>
      <c r="X43" s="52">
        <f t="shared" si="101"/>
        <v>138150000</v>
      </c>
      <c r="Y43" s="1"/>
      <c r="Z43" s="1"/>
    </row>
    <row r="44" ht="15.75" customHeight="1">
      <c r="A44" s="1"/>
      <c r="B44" s="45">
        <v>20.0</v>
      </c>
      <c r="C44" s="46" t="s">
        <v>77</v>
      </c>
      <c r="D44" s="51">
        <f t="shared" si="84"/>
        <v>4275000</v>
      </c>
      <c r="E44" s="52">
        <f t="shared" si="85"/>
        <v>3300000</v>
      </c>
      <c r="F44" s="52">
        <f t="shared" si="86"/>
        <v>3000000</v>
      </c>
      <c r="G44" s="52">
        <f t="shared" si="87"/>
        <v>2900000</v>
      </c>
      <c r="H44" s="53">
        <v>12.0</v>
      </c>
      <c r="I44" s="52">
        <f t="shared" ref="I44:J44" si="104">D44*12</f>
        <v>51300000</v>
      </c>
      <c r="J44" s="52">
        <f t="shared" si="104"/>
        <v>39600000</v>
      </c>
      <c r="K44" s="52">
        <f t="shared" si="89"/>
        <v>216000000</v>
      </c>
      <c r="L44" s="52">
        <f t="shared" si="90"/>
        <v>417600000</v>
      </c>
      <c r="M44" s="52">
        <f t="shared" si="91"/>
        <v>724500000</v>
      </c>
      <c r="N44" s="52">
        <f t="shared" si="92"/>
        <v>104976</v>
      </c>
      <c r="O44" s="52">
        <f t="shared" si="93"/>
        <v>839808</v>
      </c>
      <c r="P44" s="52">
        <f t="shared" si="94"/>
        <v>10077696</v>
      </c>
      <c r="Q44" s="52">
        <f t="shared" ref="Q44:R44" si="105">SUM(D44*$E$143)*12</f>
        <v>3201120</v>
      </c>
      <c r="R44" s="52">
        <f t="shared" si="105"/>
        <v>2471040</v>
      </c>
      <c r="S44" s="52">
        <f t="shared" si="96"/>
        <v>13478400</v>
      </c>
      <c r="T44" s="52">
        <f t="shared" si="97"/>
        <v>26058240</v>
      </c>
      <c r="U44" s="52">
        <f t="shared" si="98"/>
        <v>45208800</v>
      </c>
      <c r="V44" s="52">
        <f t="shared" si="99"/>
        <v>15721205.76</v>
      </c>
      <c r="W44" s="52">
        <f t="shared" si="100"/>
        <v>60930005.76</v>
      </c>
      <c r="X44" s="52">
        <f t="shared" si="101"/>
        <v>120750000</v>
      </c>
      <c r="Y44" s="1"/>
      <c r="Z44" s="1"/>
    </row>
    <row r="45" ht="15.75" customHeight="1">
      <c r="A45" s="1"/>
      <c r="B45" s="45">
        <v>21.0</v>
      </c>
      <c r="C45" s="46" t="s">
        <v>78</v>
      </c>
      <c r="D45" s="51">
        <f t="shared" si="84"/>
        <v>4275000</v>
      </c>
      <c r="E45" s="52">
        <f t="shared" si="85"/>
        <v>3300000</v>
      </c>
      <c r="F45" s="52">
        <f t="shared" si="86"/>
        <v>3000000</v>
      </c>
      <c r="G45" s="52">
        <f t="shared" si="87"/>
        <v>2900000</v>
      </c>
      <c r="H45" s="53">
        <v>16.0</v>
      </c>
      <c r="I45" s="52">
        <f t="shared" ref="I45:J45" si="106">D45*12</f>
        <v>51300000</v>
      </c>
      <c r="J45" s="52">
        <f t="shared" si="106"/>
        <v>39600000</v>
      </c>
      <c r="K45" s="52">
        <f t="shared" si="89"/>
        <v>216000000</v>
      </c>
      <c r="L45" s="52">
        <f t="shared" si="90"/>
        <v>556800000</v>
      </c>
      <c r="M45" s="52">
        <f t="shared" si="91"/>
        <v>863700000</v>
      </c>
      <c r="N45" s="52">
        <f t="shared" si="92"/>
        <v>104976</v>
      </c>
      <c r="O45" s="52">
        <f t="shared" si="93"/>
        <v>839808</v>
      </c>
      <c r="P45" s="52">
        <f t="shared" si="94"/>
        <v>10077696</v>
      </c>
      <c r="Q45" s="52">
        <f t="shared" ref="Q45:R45" si="107">SUM(D45*$E$143)*12</f>
        <v>3201120</v>
      </c>
      <c r="R45" s="52">
        <f t="shared" si="107"/>
        <v>2471040</v>
      </c>
      <c r="S45" s="52">
        <f t="shared" si="96"/>
        <v>13478400</v>
      </c>
      <c r="T45" s="52">
        <f t="shared" si="97"/>
        <v>34744320</v>
      </c>
      <c r="U45" s="52">
        <f t="shared" si="98"/>
        <v>53894880</v>
      </c>
      <c r="V45" s="52">
        <f t="shared" si="99"/>
        <v>15721205.76</v>
      </c>
      <c r="W45" s="52">
        <f t="shared" si="100"/>
        <v>69616085.76</v>
      </c>
      <c r="X45" s="52">
        <f t="shared" si="101"/>
        <v>143950000</v>
      </c>
      <c r="Y45" s="1"/>
      <c r="Z45" s="1"/>
    </row>
    <row r="46" ht="15.75" customHeight="1">
      <c r="A46" s="1"/>
      <c r="B46" s="45" t="s">
        <v>79</v>
      </c>
      <c r="C46" s="46" t="s">
        <v>80</v>
      </c>
      <c r="D46" s="51"/>
      <c r="E46" s="52"/>
      <c r="F46" s="52"/>
      <c r="G46" s="52"/>
      <c r="H46" s="48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1"/>
      <c r="Z46" s="1"/>
    </row>
    <row r="47" ht="15.75" customHeight="1">
      <c r="A47" s="1"/>
      <c r="B47" s="45">
        <v>22.0</v>
      </c>
      <c r="C47" s="46" t="s">
        <v>81</v>
      </c>
      <c r="D47" s="51">
        <f t="shared" ref="D47:D51" si="110">$H$11</f>
        <v>4275000</v>
      </c>
      <c r="E47" s="52">
        <f t="shared" ref="E47:E51" si="111">$H$12</f>
        <v>3300000</v>
      </c>
      <c r="F47" s="52">
        <f t="shared" ref="F47:F51" si="112">$H$13</f>
        <v>3000000</v>
      </c>
      <c r="G47" s="52">
        <f t="shared" ref="G47:G51" si="113">$H$14</f>
        <v>2900000</v>
      </c>
      <c r="H47" s="53">
        <v>14.0</v>
      </c>
      <c r="I47" s="52">
        <f t="shared" ref="I47:J47" si="108">D47*12</f>
        <v>51300000</v>
      </c>
      <c r="J47" s="52">
        <f t="shared" si="108"/>
        <v>39600000</v>
      </c>
      <c r="K47" s="52">
        <f t="shared" ref="K47:K51" si="115">F47*6*12</f>
        <v>216000000</v>
      </c>
      <c r="L47" s="52">
        <f t="shared" ref="L47:L51" si="116">G47*H47*12</f>
        <v>487200000</v>
      </c>
      <c r="M47" s="52">
        <f t="shared" ref="M47:M51" si="117">SUM(I47:L47)</f>
        <v>794100000</v>
      </c>
      <c r="N47" s="52">
        <f t="shared" ref="N47:N51" si="118">$E$135*$E$137</f>
        <v>104976</v>
      </c>
      <c r="O47" s="52">
        <f t="shared" ref="O47:O51" si="119">N47*8</f>
        <v>839808</v>
      </c>
      <c r="P47" s="52">
        <f t="shared" ref="P47:P51" si="120">O47*12</f>
        <v>10077696</v>
      </c>
      <c r="Q47" s="52">
        <f t="shared" ref="Q47:R47" si="109">SUM(D47*$E$143)*12</f>
        <v>3201120</v>
      </c>
      <c r="R47" s="52">
        <f t="shared" si="109"/>
        <v>2471040</v>
      </c>
      <c r="S47" s="52">
        <f t="shared" ref="S47:S51" si="122">SUM(F47*$E$143*6)*12</f>
        <v>13478400</v>
      </c>
      <c r="T47" s="52">
        <f t="shared" ref="T47:T51" si="123">SUM(G47*$E$143*H47)*12</f>
        <v>30401280</v>
      </c>
      <c r="U47" s="52">
        <f t="shared" ref="U47:U51" si="124">SUM(Q47:T47)</f>
        <v>49551840</v>
      </c>
      <c r="V47" s="52">
        <f t="shared" ref="V47:V51" si="125">SUM($E$135*$E$143*8)*12</f>
        <v>15721205.76</v>
      </c>
      <c r="W47" s="52">
        <f t="shared" ref="W47:W51" si="126">SUM(U47+V47)</f>
        <v>65273045.76</v>
      </c>
      <c r="X47" s="52">
        <f t="shared" ref="X47:X51" si="127">SUM(D47*2)+(E47*2)+(F47*6*2)+(G47*H47*2)</f>
        <v>132350000</v>
      </c>
      <c r="Y47" s="1"/>
      <c r="Z47" s="1"/>
    </row>
    <row r="48" ht="15.75" customHeight="1">
      <c r="A48" s="1"/>
      <c r="B48" s="45">
        <v>23.0</v>
      </c>
      <c r="C48" s="46" t="s">
        <v>82</v>
      </c>
      <c r="D48" s="51">
        <f t="shared" si="110"/>
        <v>4275000</v>
      </c>
      <c r="E48" s="52">
        <f t="shared" si="111"/>
        <v>3300000</v>
      </c>
      <c r="F48" s="52">
        <f t="shared" si="112"/>
        <v>3000000</v>
      </c>
      <c r="G48" s="52">
        <f t="shared" si="113"/>
        <v>2900000</v>
      </c>
      <c r="H48" s="53">
        <v>16.0</v>
      </c>
      <c r="I48" s="52">
        <f t="shared" ref="I48:J48" si="114">D48*12</f>
        <v>51300000</v>
      </c>
      <c r="J48" s="52">
        <f t="shared" si="114"/>
        <v>39600000</v>
      </c>
      <c r="K48" s="52">
        <f t="shared" si="115"/>
        <v>216000000</v>
      </c>
      <c r="L48" s="52">
        <f t="shared" si="116"/>
        <v>556800000</v>
      </c>
      <c r="M48" s="52">
        <f t="shared" si="117"/>
        <v>863700000</v>
      </c>
      <c r="N48" s="52">
        <f t="shared" si="118"/>
        <v>104976</v>
      </c>
      <c r="O48" s="52">
        <f t="shared" si="119"/>
        <v>839808</v>
      </c>
      <c r="P48" s="52">
        <f t="shared" si="120"/>
        <v>10077696</v>
      </c>
      <c r="Q48" s="52">
        <f t="shared" ref="Q48:R48" si="121">SUM(D48*$E$143)*12</f>
        <v>3201120</v>
      </c>
      <c r="R48" s="52">
        <f t="shared" si="121"/>
        <v>2471040</v>
      </c>
      <c r="S48" s="52">
        <f t="shared" si="122"/>
        <v>13478400</v>
      </c>
      <c r="T48" s="52">
        <f t="shared" si="123"/>
        <v>34744320</v>
      </c>
      <c r="U48" s="52">
        <f t="shared" si="124"/>
        <v>53894880</v>
      </c>
      <c r="V48" s="52">
        <f t="shared" si="125"/>
        <v>15721205.76</v>
      </c>
      <c r="W48" s="52">
        <f t="shared" si="126"/>
        <v>69616085.76</v>
      </c>
      <c r="X48" s="52">
        <f t="shared" si="127"/>
        <v>143950000</v>
      </c>
      <c r="Y48" s="1"/>
      <c r="Z48" s="1"/>
    </row>
    <row r="49" ht="15.75" customHeight="1">
      <c r="A49" s="1"/>
      <c r="B49" s="45">
        <v>24.0</v>
      </c>
      <c r="C49" s="46" t="s">
        <v>83</v>
      </c>
      <c r="D49" s="51">
        <f t="shared" si="110"/>
        <v>4275000</v>
      </c>
      <c r="E49" s="52">
        <f t="shared" si="111"/>
        <v>3300000</v>
      </c>
      <c r="F49" s="52">
        <f t="shared" si="112"/>
        <v>3000000</v>
      </c>
      <c r="G49" s="52">
        <f t="shared" si="113"/>
        <v>2900000</v>
      </c>
      <c r="H49" s="53">
        <v>12.0</v>
      </c>
      <c r="I49" s="52">
        <f t="shared" ref="I49:J49" si="128">D49*12</f>
        <v>51300000</v>
      </c>
      <c r="J49" s="52">
        <f t="shared" si="128"/>
        <v>39600000</v>
      </c>
      <c r="K49" s="52">
        <f t="shared" si="115"/>
        <v>216000000</v>
      </c>
      <c r="L49" s="52">
        <f t="shared" si="116"/>
        <v>417600000</v>
      </c>
      <c r="M49" s="52">
        <f t="shared" si="117"/>
        <v>724500000</v>
      </c>
      <c r="N49" s="52">
        <f t="shared" si="118"/>
        <v>104976</v>
      </c>
      <c r="O49" s="52">
        <f t="shared" si="119"/>
        <v>839808</v>
      </c>
      <c r="P49" s="52">
        <f t="shared" si="120"/>
        <v>10077696</v>
      </c>
      <c r="Q49" s="52">
        <f t="shared" ref="Q49:R49" si="129">SUM(D49*$E$143)*12</f>
        <v>3201120</v>
      </c>
      <c r="R49" s="52">
        <f t="shared" si="129"/>
        <v>2471040</v>
      </c>
      <c r="S49" s="52">
        <f t="shared" si="122"/>
        <v>13478400</v>
      </c>
      <c r="T49" s="52">
        <f t="shared" si="123"/>
        <v>26058240</v>
      </c>
      <c r="U49" s="52">
        <f t="shared" si="124"/>
        <v>45208800</v>
      </c>
      <c r="V49" s="52">
        <f t="shared" si="125"/>
        <v>15721205.76</v>
      </c>
      <c r="W49" s="52">
        <f t="shared" si="126"/>
        <v>60930005.76</v>
      </c>
      <c r="X49" s="52">
        <f t="shared" si="127"/>
        <v>120750000</v>
      </c>
      <c r="Y49" s="1"/>
      <c r="Z49" s="1"/>
    </row>
    <row r="50" ht="15.75" customHeight="1">
      <c r="A50" s="1"/>
      <c r="B50" s="45">
        <v>25.0</v>
      </c>
      <c r="C50" s="46" t="s">
        <v>84</v>
      </c>
      <c r="D50" s="51">
        <f t="shared" si="110"/>
        <v>4275000</v>
      </c>
      <c r="E50" s="52">
        <f t="shared" si="111"/>
        <v>3300000</v>
      </c>
      <c r="F50" s="52">
        <f t="shared" si="112"/>
        <v>3000000</v>
      </c>
      <c r="G50" s="52">
        <f t="shared" si="113"/>
        <v>2900000</v>
      </c>
      <c r="H50" s="53">
        <v>13.0</v>
      </c>
      <c r="I50" s="52">
        <f t="shared" ref="I50:J50" si="130">D50*12</f>
        <v>51300000</v>
      </c>
      <c r="J50" s="52">
        <f t="shared" si="130"/>
        <v>39600000</v>
      </c>
      <c r="K50" s="52">
        <f t="shared" si="115"/>
        <v>216000000</v>
      </c>
      <c r="L50" s="52">
        <f t="shared" si="116"/>
        <v>452400000</v>
      </c>
      <c r="M50" s="52">
        <f t="shared" si="117"/>
        <v>759300000</v>
      </c>
      <c r="N50" s="52">
        <f t="shared" si="118"/>
        <v>104976</v>
      </c>
      <c r="O50" s="52">
        <f t="shared" si="119"/>
        <v>839808</v>
      </c>
      <c r="P50" s="52">
        <f t="shared" si="120"/>
        <v>10077696</v>
      </c>
      <c r="Q50" s="52">
        <f t="shared" ref="Q50:R50" si="131">SUM(D50*$E$143)*12</f>
        <v>3201120</v>
      </c>
      <c r="R50" s="52">
        <f t="shared" si="131"/>
        <v>2471040</v>
      </c>
      <c r="S50" s="52">
        <f t="shared" si="122"/>
        <v>13478400</v>
      </c>
      <c r="T50" s="52">
        <f t="shared" si="123"/>
        <v>28229760</v>
      </c>
      <c r="U50" s="52">
        <f t="shared" si="124"/>
        <v>47380320</v>
      </c>
      <c r="V50" s="52">
        <f t="shared" si="125"/>
        <v>15721205.76</v>
      </c>
      <c r="W50" s="52">
        <f t="shared" si="126"/>
        <v>63101525.76</v>
      </c>
      <c r="X50" s="52">
        <f t="shared" si="127"/>
        <v>126550000</v>
      </c>
      <c r="Y50" s="1"/>
      <c r="Z50" s="1"/>
    </row>
    <row r="51" ht="15.75" customHeight="1">
      <c r="A51" s="1"/>
      <c r="B51" s="45">
        <v>26.0</v>
      </c>
      <c r="C51" s="46" t="s">
        <v>85</v>
      </c>
      <c r="D51" s="51">
        <f t="shared" si="110"/>
        <v>4275000</v>
      </c>
      <c r="E51" s="52">
        <f t="shared" si="111"/>
        <v>3300000</v>
      </c>
      <c r="F51" s="52">
        <f t="shared" si="112"/>
        <v>3000000</v>
      </c>
      <c r="G51" s="52">
        <f t="shared" si="113"/>
        <v>2900000</v>
      </c>
      <c r="H51" s="53">
        <v>12.0</v>
      </c>
      <c r="I51" s="52">
        <f t="shared" ref="I51:J51" si="132">D51*12</f>
        <v>51300000</v>
      </c>
      <c r="J51" s="52">
        <f t="shared" si="132"/>
        <v>39600000</v>
      </c>
      <c r="K51" s="52">
        <f t="shared" si="115"/>
        <v>216000000</v>
      </c>
      <c r="L51" s="52">
        <f t="shared" si="116"/>
        <v>417600000</v>
      </c>
      <c r="M51" s="52">
        <f t="shared" si="117"/>
        <v>724500000</v>
      </c>
      <c r="N51" s="52">
        <f t="shared" si="118"/>
        <v>104976</v>
      </c>
      <c r="O51" s="52">
        <f t="shared" si="119"/>
        <v>839808</v>
      </c>
      <c r="P51" s="52">
        <f t="shared" si="120"/>
        <v>10077696</v>
      </c>
      <c r="Q51" s="52">
        <f t="shared" ref="Q51:R51" si="133">SUM(D51*$E$143)*12</f>
        <v>3201120</v>
      </c>
      <c r="R51" s="52">
        <f t="shared" si="133"/>
        <v>2471040</v>
      </c>
      <c r="S51" s="52">
        <f t="shared" si="122"/>
        <v>13478400</v>
      </c>
      <c r="T51" s="52">
        <f t="shared" si="123"/>
        <v>26058240</v>
      </c>
      <c r="U51" s="52">
        <f t="shared" si="124"/>
        <v>45208800</v>
      </c>
      <c r="V51" s="52">
        <f t="shared" si="125"/>
        <v>15721205.76</v>
      </c>
      <c r="W51" s="52">
        <f t="shared" si="126"/>
        <v>60930005.76</v>
      </c>
      <c r="X51" s="52">
        <f t="shared" si="127"/>
        <v>120750000</v>
      </c>
      <c r="Y51" s="1"/>
      <c r="Z51" s="1"/>
    </row>
    <row r="52" ht="15.75" customHeight="1">
      <c r="A52" s="1"/>
      <c r="B52" s="45" t="s">
        <v>86</v>
      </c>
      <c r="C52" s="46" t="s">
        <v>87</v>
      </c>
      <c r="D52" s="51"/>
      <c r="E52" s="52"/>
      <c r="F52" s="52"/>
      <c r="G52" s="52"/>
      <c r="H52" s="48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1"/>
      <c r="Z52" s="1"/>
    </row>
    <row r="53" ht="15.75" customHeight="1">
      <c r="A53" s="1"/>
      <c r="B53" s="45">
        <v>27.0</v>
      </c>
      <c r="C53" s="46" t="s">
        <v>88</v>
      </c>
      <c r="D53" s="51">
        <f t="shared" ref="D53:D57" si="136">$H$11</f>
        <v>4275000</v>
      </c>
      <c r="E53" s="52">
        <f t="shared" ref="E53:E57" si="137">$H$12</f>
        <v>3300000</v>
      </c>
      <c r="F53" s="52">
        <f t="shared" ref="F53:F57" si="138">$H$13</f>
        <v>3000000</v>
      </c>
      <c r="G53" s="52">
        <f t="shared" ref="G53:G57" si="139">$H$14</f>
        <v>2900000</v>
      </c>
      <c r="H53" s="53">
        <v>18.0</v>
      </c>
      <c r="I53" s="52">
        <f t="shared" ref="I53:J53" si="134">D53*12</f>
        <v>51300000</v>
      </c>
      <c r="J53" s="52">
        <f t="shared" si="134"/>
        <v>39600000</v>
      </c>
      <c r="K53" s="52">
        <f t="shared" ref="K53:K57" si="141">F53*6*12</f>
        <v>216000000</v>
      </c>
      <c r="L53" s="52">
        <f t="shared" ref="L53:L57" si="142">G53*H53*12</f>
        <v>626400000</v>
      </c>
      <c r="M53" s="52">
        <f t="shared" ref="M53:M57" si="143">SUM(I53:L53)</f>
        <v>933300000</v>
      </c>
      <c r="N53" s="52">
        <f t="shared" ref="N53:N57" si="144">$E$135*$E$137</f>
        <v>104976</v>
      </c>
      <c r="O53" s="52">
        <f t="shared" ref="O53:O57" si="145">N53*8</f>
        <v>839808</v>
      </c>
      <c r="P53" s="52">
        <f t="shared" ref="P53:P57" si="146">O53*12</f>
        <v>10077696</v>
      </c>
      <c r="Q53" s="52">
        <f t="shared" ref="Q53:R53" si="135">SUM(D53*$E$143)*12</f>
        <v>3201120</v>
      </c>
      <c r="R53" s="52">
        <f t="shared" si="135"/>
        <v>2471040</v>
      </c>
      <c r="S53" s="52">
        <f t="shared" ref="S53:S57" si="148">SUM(F53*$E$143*6)*12</f>
        <v>13478400</v>
      </c>
      <c r="T53" s="52">
        <f t="shared" ref="T53:T57" si="149">SUM(G53*$E$143*H53)*12</f>
        <v>39087360</v>
      </c>
      <c r="U53" s="52">
        <f t="shared" ref="U53:U57" si="150">SUM(Q53:T53)</f>
        <v>58237920</v>
      </c>
      <c r="V53" s="52">
        <f t="shared" ref="V53:V57" si="151">SUM($E$135*$E$143*8)*12</f>
        <v>15721205.76</v>
      </c>
      <c r="W53" s="52">
        <f t="shared" ref="W53:W57" si="152">SUM(U53+V53)</f>
        <v>73959125.76</v>
      </c>
      <c r="X53" s="52">
        <f t="shared" ref="X53:X57" si="153">SUM(D53*2)+(E53*2)+(F53*6*2)+(G53*H53*2)</f>
        <v>155550000</v>
      </c>
      <c r="Y53" s="1"/>
      <c r="Z53" s="1"/>
    </row>
    <row r="54" ht="15.75" customHeight="1">
      <c r="A54" s="1"/>
      <c r="B54" s="45">
        <v>28.0</v>
      </c>
      <c r="C54" s="46" t="s">
        <v>89</v>
      </c>
      <c r="D54" s="51">
        <f t="shared" si="136"/>
        <v>4275000</v>
      </c>
      <c r="E54" s="52">
        <f t="shared" si="137"/>
        <v>3300000</v>
      </c>
      <c r="F54" s="52">
        <f t="shared" si="138"/>
        <v>3000000</v>
      </c>
      <c r="G54" s="52">
        <f t="shared" si="139"/>
        <v>2900000</v>
      </c>
      <c r="H54" s="53">
        <v>14.0</v>
      </c>
      <c r="I54" s="52">
        <f t="shared" ref="I54:J54" si="140">D54*12</f>
        <v>51300000</v>
      </c>
      <c r="J54" s="52">
        <f t="shared" si="140"/>
        <v>39600000</v>
      </c>
      <c r="K54" s="52">
        <f t="shared" si="141"/>
        <v>216000000</v>
      </c>
      <c r="L54" s="52">
        <f t="shared" si="142"/>
        <v>487200000</v>
      </c>
      <c r="M54" s="52">
        <f t="shared" si="143"/>
        <v>794100000</v>
      </c>
      <c r="N54" s="52">
        <f t="shared" si="144"/>
        <v>104976</v>
      </c>
      <c r="O54" s="52">
        <f t="shared" si="145"/>
        <v>839808</v>
      </c>
      <c r="P54" s="52">
        <f t="shared" si="146"/>
        <v>10077696</v>
      </c>
      <c r="Q54" s="52">
        <f t="shared" ref="Q54:R54" si="147">SUM(D54*$E$143)*12</f>
        <v>3201120</v>
      </c>
      <c r="R54" s="52">
        <f t="shared" si="147"/>
        <v>2471040</v>
      </c>
      <c r="S54" s="52">
        <f t="shared" si="148"/>
        <v>13478400</v>
      </c>
      <c r="T54" s="52">
        <f t="shared" si="149"/>
        <v>30401280</v>
      </c>
      <c r="U54" s="52">
        <f t="shared" si="150"/>
        <v>49551840</v>
      </c>
      <c r="V54" s="52">
        <f t="shared" si="151"/>
        <v>15721205.76</v>
      </c>
      <c r="W54" s="52">
        <f t="shared" si="152"/>
        <v>65273045.76</v>
      </c>
      <c r="X54" s="52">
        <f t="shared" si="153"/>
        <v>132350000</v>
      </c>
      <c r="Y54" s="1"/>
      <c r="Z54" s="1"/>
    </row>
    <row r="55" ht="15.75" customHeight="1">
      <c r="A55" s="1"/>
      <c r="B55" s="45">
        <v>29.0</v>
      </c>
      <c r="C55" s="46" t="s">
        <v>90</v>
      </c>
      <c r="D55" s="51">
        <f t="shared" si="136"/>
        <v>4275000</v>
      </c>
      <c r="E55" s="52">
        <f t="shared" si="137"/>
        <v>3300000</v>
      </c>
      <c r="F55" s="52">
        <f t="shared" si="138"/>
        <v>3000000</v>
      </c>
      <c r="G55" s="52">
        <f t="shared" si="139"/>
        <v>2900000</v>
      </c>
      <c r="H55" s="53">
        <v>12.0</v>
      </c>
      <c r="I55" s="52">
        <f t="shared" ref="I55:J55" si="154">D55*12</f>
        <v>51300000</v>
      </c>
      <c r="J55" s="52">
        <f t="shared" si="154"/>
        <v>39600000</v>
      </c>
      <c r="K55" s="52">
        <f t="shared" si="141"/>
        <v>216000000</v>
      </c>
      <c r="L55" s="52">
        <f t="shared" si="142"/>
        <v>417600000</v>
      </c>
      <c r="M55" s="52">
        <f t="shared" si="143"/>
        <v>724500000</v>
      </c>
      <c r="N55" s="52">
        <f t="shared" si="144"/>
        <v>104976</v>
      </c>
      <c r="O55" s="52">
        <f t="shared" si="145"/>
        <v>839808</v>
      </c>
      <c r="P55" s="52">
        <f t="shared" si="146"/>
        <v>10077696</v>
      </c>
      <c r="Q55" s="52">
        <f t="shared" ref="Q55:R55" si="155">SUM(D55*$E$143)*12</f>
        <v>3201120</v>
      </c>
      <c r="R55" s="52">
        <f t="shared" si="155"/>
        <v>2471040</v>
      </c>
      <c r="S55" s="52">
        <f t="shared" si="148"/>
        <v>13478400</v>
      </c>
      <c r="T55" s="52">
        <f t="shared" si="149"/>
        <v>26058240</v>
      </c>
      <c r="U55" s="52">
        <f t="shared" si="150"/>
        <v>45208800</v>
      </c>
      <c r="V55" s="52">
        <f t="shared" si="151"/>
        <v>15721205.76</v>
      </c>
      <c r="W55" s="52">
        <f t="shared" si="152"/>
        <v>60930005.76</v>
      </c>
      <c r="X55" s="52">
        <f t="shared" si="153"/>
        <v>120750000</v>
      </c>
      <c r="Y55" s="1"/>
      <c r="Z55" s="1"/>
    </row>
    <row r="56" ht="15.75" customHeight="1">
      <c r="A56" s="1"/>
      <c r="B56" s="45">
        <v>30.0</v>
      </c>
      <c r="C56" s="46" t="s">
        <v>91</v>
      </c>
      <c r="D56" s="51">
        <f t="shared" si="136"/>
        <v>4275000</v>
      </c>
      <c r="E56" s="52">
        <f t="shared" si="137"/>
        <v>3300000</v>
      </c>
      <c r="F56" s="52">
        <f t="shared" si="138"/>
        <v>3000000</v>
      </c>
      <c r="G56" s="52">
        <f t="shared" si="139"/>
        <v>2900000</v>
      </c>
      <c r="H56" s="53">
        <v>15.0</v>
      </c>
      <c r="I56" s="52">
        <f t="shared" ref="I56:J56" si="156">D56*12</f>
        <v>51300000</v>
      </c>
      <c r="J56" s="52">
        <f t="shared" si="156"/>
        <v>39600000</v>
      </c>
      <c r="K56" s="52">
        <f t="shared" si="141"/>
        <v>216000000</v>
      </c>
      <c r="L56" s="52">
        <f t="shared" si="142"/>
        <v>522000000</v>
      </c>
      <c r="M56" s="52">
        <f t="shared" si="143"/>
        <v>828900000</v>
      </c>
      <c r="N56" s="52">
        <f t="shared" si="144"/>
        <v>104976</v>
      </c>
      <c r="O56" s="52">
        <f t="shared" si="145"/>
        <v>839808</v>
      </c>
      <c r="P56" s="52">
        <f t="shared" si="146"/>
        <v>10077696</v>
      </c>
      <c r="Q56" s="52">
        <f t="shared" ref="Q56:R56" si="157">SUM(D56*$E$143)*12</f>
        <v>3201120</v>
      </c>
      <c r="R56" s="52">
        <f t="shared" si="157"/>
        <v>2471040</v>
      </c>
      <c r="S56" s="52">
        <f t="shared" si="148"/>
        <v>13478400</v>
      </c>
      <c r="T56" s="52">
        <f t="shared" si="149"/>
        <v>32572800</v>
      </c>
      <c r="U56" s="52">
        <f t="shared" si="150"/>
        <v>51723360</v>
      </c>
      <c r="V56" s="52">
        <f t="shared" si="151"/>
        <v>15721205.76</v>
      </c>
      <c r="W56" s="52">
        <f t="shared" si="152"/>
        <v>67444565.76</v>
      </c>
      <c r="X56" s="52">
        <f t="shared" si="153"/>
        <v>138150000</v>
      </c>
      <c r="Y56" s="1"/>
      <c r="Z56" s="1"/>
    </row>
    <row r="57" ht="15.75" customHeight="1">
      <c r="A57" s="1"/>
      <c r="B57" s="45">
        <v>31.0</v>
      </c>
      <c r="C57" s="46" t="s">
        <v>92</v>
      </c>
      <c r="D57" s="51">
        <f t="shared" si="136"/>
        <v>4275000</v>
      </c>
      <c r="E57" s="52">
        <f t="shared" si="137"/>
        <v>3300000</v>
      </c>
      <c r="F57" s="52">
        <f t="shared" si="138"/>
        <v>3000000</v>
      </c>
      <c r="G57" s="52">
        <f t="shared" si="139"/>
        <v>2900000</v>
      </c>
      <c r="H57" s="53">
        <v>15.0</v>
      </c>
      <c r="I57" s="52">
        <f t="shared" ref="I57:J57" si="158">D57*12</f>
        <v>51300000</v>
      </c>
      <c r="J57" s="52">
        <f t="shared" si="158"/>
        <v>39600000</v>
      </c>
      <c r="K57" s="52">
        <f t="shared" si="141"/>
        <v>216000000</v>
      </c>
      <c r="L57" s="52">
        <f t="shared" si="142"/>
        <v>522000000</v>
      </c>
      <c r="M57" s="52">
        <f t="shared" si="143"/>
        <v>828900000</v>
      </c>
      <c r="N57" s="52">
        <f t="shared" si="144"/>
        <v>104976</v>
      </c>
      <c r="O57" s="52">
        <f t="shared" si="145"/>
        <v>839808</v>
      </c>
      <c r="P57" s="52">
        <f t="shared" si="146"/>
        <v>10077696</v>
      </c>
      <c r="Q57" s="52">
        <f t="shared" ref="Q57:R57" si="159">SUM(D57*$E$143)*12</f>
        <v>3201120</v>
      </c>
      <c r="R57" s="52">
        <f t="shared" si="159"/>
        <v>2471040</v>
      </c>
      <c r="S57" s="52">
        <f t="shared" si="148"/>
        <v>13478400</v>
      </c>
      <c r="T57" s="52">
        <f t="shared" si="149"/>
        <v>32572800</v>
      </c>
      <c r="U57" s="52">
        <f t="shared" si="150"/>
        <v>51723360</v>
      </c>
      <c r="V57" s="52">
        <f t="shared" si="151"/>
        <v>15721205.76</v>
      </c>
      <c r="W57" s="52">
        <f t="shared" si="152"/>
        <v>67444565.76</v>
      </c>
      <c r="X57" s="52">
        <f t="shared" si="153"/>
        <v>138150000</v>
      </c>
      <c r="Y57" s="1"/>
      <c r="Z57" s="1"/>
    </row>
    <row r="58" ht="15.75" customHeight="1">
      <c r="A58" s="1"/>
      <c r="B58" s="45" t="s">
        <v>93</v>
      </c>
      <c r="C58" s="46" t="s">
        <v>94</v>
      </c>
      <c r="D58" s="51"/>
      <c r="E58" s="52"/>
      <c r="F58" s="52"/>
      <c r="G58" s="52"/>
      <c r="H58" s="48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1"/>
      <c r="Z58" s="1"/>
    </row>
    <row r="59" ht="15.75" customHeight="1">
      <c r="A59" s="1"/>
      <c r="B59" s="45">
        <v>32.0</v>
      </c>
      <c r="C59" s="46" t="s">
        <v>95</v>
      </c>
      <c r="D59" s="51">
        <f t="shared" ref="D59:D61" si="162">$H$11</f>
        <v>4275000</v>
      </c>
      <c r="E59" s="52">
        <f t="shared" ref="E59:E61" si="163">$H$12</f>
        <v>3300000</v>
      </c>
      <c r="F59" s="52">
        <f t="shared" ref="F59:F61" si="164">$H$13</f>
        <v>3000000</v>
      </c>
      <c r="G59" s="52">
        <f t="shared" ref="G59:G61" si="165">$H$14</f>
        <v>2900000</v>
      </c>
      <c r="H59" s="53">
        <v>20.0</v>
      </c>
      <c r="I59" s="52">
        <f t="shared" ref="I59:J59" si="160">D59*12</f>
        <v>51300000</v>
      </c>
      <c r="J59" s="52">
        <f t="shared" si="160"/>
        <v>39600000</v>
      </c>
      <c r="K59" s="52">
        <f t="shared" ref="K59:K61" si="167">F59*6*12</f>
        <v>216000000</v>
      </c>
      <c r="L59" s="52">
        <f t="shared" ref="L59:L61" si="168">G59*H59*12</f>
        <v>696000000</v>
      </c>
      <c r="M59" s="52">
        <f t="shared" ref="M59:M61" si="169">SUM(I59:L59)</f>
        <v>1002900000</v>
      </c>
      <c r="N59" s="52">
        <f t="shared" ref="N59:N61" si="170">$E$135*$E$137</f>
        <v>104976</v>
      </c>
      <c r="O59" s="52">
        <f t="shared" ref="O59:O61" si="171">N59*8</f>
        <v>839808</v>
      </c>
      <c r="P59" s="52">
        <f t="shared" ref="P59:P61" si="172">O59*12</f>
        <v>10077696</v>
      </c>
      <c r="Q59" s="52">
        <f t="shared" ref="Q59:R59" si="161">SUM(D59*$E$143)*12</f>
        <v>3201120</v>
      </c>
      <c r="R59" s="52">
        <f t="shared" si="161"/>
        <v>2471040</v>
      </c>
      <c r="S59" s="52">
        <f t="shared" ref="S59:S61" si="174">SUM(F59*$E$143*6)*12</f>
        <v>13478400</v>
      </c>
      <c r="T59" s="52">
        <f t="shared" ref="T59:T61" si="175">SUM(G59*$E$143*H59)*12</f>
        <v>43430400</v>
      </c>
      <c r="U59" s="52">
        <f t="shared" ref="U59:U61" si="176">SUM(Q59:T59)</f>
        <v>62580960</v>
      </c>
      <c r="V59" s="52">
        <f t="shared" ref="V59:V61" si="177">SUM($E$135*$E$143*8)*12</f>
        <v>15721205.76</v>
      </c>
      <c r="W59" s="52">
        <f t="shared" ref="W59:W61" si="178">SUM(U59+V59)</f>
        <v>78302165.76</v>
      </c>
      <c r="X59" s="52">
        <f t="shared" ref="X59:X61" si="179">SUM(D59*2)+(E59*2)+(F59*6*2)+(G59*H59*2)</f>
        <v>167150000</v>
      </c>
      <c r="Y59" s="1"/>
      <c r="Z59" s="1"/>
    </row>
    <row r="60" ht="15.75" customHeight="1">
      <c r="A60" s="1"/>
      <c r="B60" s="45">
        <v>33.0</v>
      </c>
      <c r="C60" s="46" t="s">
        <v>96</v>
      </c>
      <c r="D60" s="51">
        <f t="shared" si="162"/>
        <v>4275000</v>
      </c>
      <c r="E60" s="52">
        <f t="shared" si="163"/>
        <v>3300000</v>
      </c>
      <c r="F60" s="52">
        <f t="shared" si="164"/>
        <v>3000000</v>
      </c>
      <c r="G60" s="52">
        <f t="shared" si="165"/>
        <v>2900000</v>
      </c>
      <c r="H60" s="53">
        <v>20.0</v>
      </c>
      <c r="I60" s="52">
        <f t="shared" ref="I60:J60" si="166">D60*12</f>
        <v>51300000</v>
      </c>
      <c r="J60" s="52">
        <f t="shared" si="166"/>
        <v>39600000</v>
      </c>
      <c r="K60" s="52">
        <f t="shared" si="167"/>
        <v>216000000</v>
      </c>
      <c r="L60" s="52">
        <f t="shared" si="168"/>
        <v>696000000</v>
      </c>
      <c r="M60" s="52">
        <f t="shared" si="169"/>
        <v>1002900000</v>
      </c>
      <c r="N60" s="52">
        <f t="shared" si="170"/>
        <v>104976</v>
      </c>
      <c r="O60" s="52">
        <f t="shared" si="171"/>
        <v>839808</v>
      </c>
      <c r="P60" s="52">
        <f t="shared" si="172"/>
        <v>10077696</v>
      </c>
      <c r="Q60" s="52">
        <f t="shared" ref="Q60:R60" si="173">SUM(D60*$E$143)*12</f>
        <v>3201120</v>
      </c>
      <c r="R60" s="52">
        <f t="shared" si="173"/>
        <v>2471040</v>
      </c>
      <c r="S60" s="52">
        <f t="shared" si="174"/>
        <v>13478400</v>
      </c>
      <c r="T60" s="52">
        <f t="shared" si="175"/>
        <v>43430400</v>
      </c>
      <c r="U60" s="52">
        <f t="shared" si="176"/>
        <v>62580960</v>
      </c>
      <c r="V60" s="52">
        <f t="shared" si="177"/>
        <v>15721205.76</v>
      </c>
      <c r="W60" s="52">
        <f t="shared" si="178"/>
        <v>78302165.76</v>
      </c>
      <c r="X60" s="52">
        <f t="shared" si="179"/>
        <v>167150000</v>
      </c>
      <c r="Y60" s="1"/>
      <c r="Z60" s="1"/>
    </row>
    <row r="61" ht="15.75" customHeight="1">
      <c r="A61" s="1"/>
      <c r="B61" s="45">
        <v>34.0</v>
      </c>
      <c r="C61" s="46" t="s">
        <v>97</v>
      </c>
      <c r="D61" s="51">
        <f t="shared" si="162"/>
        <v>4275000</v>
      </c>
      <c r="E61" s="52">
        <f t="shared" si="163"/>
        <v>3300000</v>
      </c>
      <c r="F61" s="52">
        <f t="shared" si="164"/>
        <v>3000000</v>
      </c>
      <c r="G61" s="52">
        <f t="shared" si="165"/>
        <v>2900000</v>
      </c>
      <c r="H61" s="53">
        <v>18.0</v>
      </c>
      <c r="I61" s="52">
        <f t="shared" ref="I61:J61" si="180">D61*12</f>
        <v>51300000</v>
      </c>
      <c r="J61" s="52">
        <f t="shared" si="180"/>
        <v>39600000</v>
      </c>
      <c r="K61" s="52">
        <f t="shared" si="167"/>
        <v>216000000</v>
      </c>
      <c r="L61" s="52">
        <f t="shared" si="168"/>
        <v>626400000</v>
      </c>
      <c r="M61" s="52">
        <f t="shared" si="169"/>
        <v>933300000</v>
      </c>
      <c r="N61" s="52">
        <f t="shared" si="170"/>
        <v>104976</v>
      </c>
      <c r="O61" s="52">
        <f t="shared" si="171"/>
        <v>839808</v>
      </c>
      <c r="P61" s="52">
        <f t="shared" si="172"/>
        <v>10077696</v>
      </c>
      <c r="Q61" s="52">
        <f t="shared" ref="Q61:R61" si="181">SUM(D61*$E$143)*12</f>
        <v>3201120</v>
      </c>
      <c r="R61" s="52">
        <f t="shared" si="181"/>
        <v>2471040</v>
      </c>
      <c r="S61" s="52">
        <f t="shared" si="174"/>
        <v>13478400</v>
      </c>
      <c r="T61" s="52">
        <f t="shared" si="175"/>
        <v>39087360</v>
      </c>
      <c r="U61" s="52">
        <f t="shared" si="176"/>
        <v>58237920</v>
      </c>
      <c r="V61" s="52">
        <f t="shared" si="177"/>
        <v>15721205.76</v>
      </c>
      <c r="W61" s="52">
        <f t="shared" si="178"/>
        <v>73959125.76</v>
      </c>
      <c r="X61" s="52">
        <f t="shared" si="179"/>
        <v>155550000</v>
      </c>
      <c r="Y61" s="1"/>
      <c r="Z61" s="1"/>
    </row>
    <row r="62" ht="15.75" customHeight="1">
      <c r="A62" s="1"/>
      <c r="B62" s="45" t="s">
        <v>98</v>
      </c>
      <c r="C62" s="46" t="s">
        <v>99</v>
      </c>
      <c r="D62" s="51"/>
      <c r="E62" s="52"/>
      <c r="F62" s="52"/>
      <c r="G62" s="52"/>
      <c r="H62" s="48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1"/>
      <c r="Z62" s="1"/>
    </row>
    <row r="63" ht="15.75" customHeight="1">
      <c r="A63" s="1"/>
      <c r="B63" s="45">
        <v>35.0</v>
      </c>
      <c r="C63" s="46" t="s">
        <v>100</v>
      </c>
      <c r="D63" s="51">
        <f t="shared" ref="D63:D66" si="184">$H$11</f>
        <v>4275000</v>
      </c>
      <c r="E63" s="52">
        <f t="shared" ref="E63:E66" si="185">$H$12</f>
        <v>3300000</v>
      </c>
      <c r="F63" s="52">
        <f t="shared" ref="F63:F66" si="186">$H$13</f>
        <v>3000000</v>
      </c>
      <c r="G63" s="52">
        <f t="shared" ref="G63:G66" si="187">$H$14</f>
        <v>2900000</v>
      </c>
      <c r="H63" s="53">
        <v>18.0</v>
      </c>
      <c r="I63" s="52">
        <f t="shared" ref="I63:J63" si="182">D63*12</f>
        <v>51300000</v>
      </c>
      <c r="J63" s="52">
        <f t="shared" si="182"/>
        <v>39600000</v>
      </c>
      <c r="K63" s="52">
        <f t="shared" ref="K63:K66" si="189">F63*6*12</f>
        <v>216000000</v>
      </c>
      <c r="L63" s="52">
        <f t="shared" ref="L63:L66" si="190">G63*H63*12</f>
        <v>626400000</v>
      </c>
      <c r="M63" s="52">
        <f t="shared" ref="M63:M66" si="191">SUM(I63:L63)</f>
        <v>933300000</v>
      </c>
      <c r="N63" s="52">
        <f t="shared" ref="N63:N66" si="192">$E$135*$E$137</f>
        <v>104976</v>
      </c>
      <c r="O63" s="52">
        <f t="shared" ref="O63:O66" si="193">N63*8</f>
        <v>839808</v>
      </c>
      <c r="P63" s="52">
        <f t="shared" ref="P63:P66" si="194">O63*12</f>
        <v>10077696</v>
      </c>
      <c r="Q63" s="52">
        <f t="shared" ref="Q63:R63" si="183">SUM(D63*$E$143)*12</f>
        <v>3201120</v>
      </c>
      <c r="R63" s="52">
        <f t="shared" si="183"/>
        <v>2471040</v>
      </c>
      <c r="S63" s="52">
        <f t="shared" ref="S63:S66" si="196">SUM(F63*$E$143*6)*12</f>
        <v>13478400</v>
      </c>
      <c r="T63" s="52">
        <f t="shared" ref="T63:T66" si="197">SUM(G63*$E$143*H63)*12</f>
        <v>39087360</v>
      </c>
      <c r="U63" s="52">
        <f t="shared" ref="U63:U66" si="198">SUM(Q63:T63)</f>
        <v>58237920</v>
      </c>
      <c r="V63" s="52">
        <f t="shared" ref="V63:V66" si="199">SUM($E$135*$E$143*8)*12</f>
        <v>15721205.76</v>
      </c>
      <c r="W63" s="52">
        <f t="shared" ref="W63:W66" si="200">SUM(U63+V63)</f>
        <v>73959125.76</v>
      </c>
      <c r="X63" s="52">
        <f t="shared" ref="X63:X66" si="201">SUM(D63*2)+(E63*2)+(F63*6*2)+(G63*H63*2)</f>
        <v>155550000</v>
      </c>
      <c r="Y63" s="1"/>
      <c r="Z63" s="1"/>
    </row>
    <row r="64" ht="15.75" customHeight="1">
      <c r="A64" s="1"/>
      <c r="B64" s="45">
        <v>36.0</v>
      </c>
      <c r="C64" s="46" t="s">
        <v>101</v>
      </c>
      <c r="D64" s="51">
        <f t="shared" si="184"/>
        <v>4275000</v>
      </c>
      <c r="E64" s="52">
        <f t="shared" si="185"/>
        <v>3300000</v>
      </c>
      <c r="F64" s="52">
        <f t="shared" si="186"/>
        <v>3000000</v>
      </c>
      <c r="G64" s="52">
        <f t="shared" si="187"/>
        <v>2900000</v>
      </c>
      <c r="H64" s="53">
        <v>14.0</v>
      </c>
      <c r="I64" s="52">
        <f t="shared" ref="I64:J64" si="188">D64*12</f>
        <v>51300000</v>
      </c>
      <c r="J64" s="52">
        <f t="shared" si="188"/>
        <v>39600000</v>
      </c>
      <c r="K64" s="52">
        <f t="shared" si="189"/>
        <v>216000000</v>
      </c>
      <c r="L64" s="52">
        <f t="shared" si="190"/>
        <v>487200000</v>
      </c>
      <c r="M64" s="52">
        <f t="shared" si="191"/>
        <v>794100000</v>
      </c>
      <c r="N64" s="52">
        <f t="shared" si="192"/>
        <v>104976</v>
      </c>
      <c r="O64" s="52">
        <f t="shared" si="193"/>
        <v>839808</v>
      </c>
      <c r="P64" s="52">
        <f t="shared" si="194"/>
        <v>10077696</v>
      </c>
      <c r="Q64" s="52">
        <f t="shared" ref="Q64:R64" si="195">SUM(D64*$E$143)*12</f>
        <v>3201120</v>
      </c>
      <c r="R64" s="52">
        <f t="shared" si="195"/>
        <v>2471040</v>
      </c>
      <c r="S64" s="52">
        <f t="shared" si="196"/>
        <v>13478400</v>
      </c>
      <c r="T64" s="52">
        <f t="shared" si="197"/>
        <v>30401280</v>
      </c>
      <c r="U64" s="52">
        <f t="shared" si="198"/>
        <v>49551840</v>
      </c>
      <c r="V64" s="52">
        <f t="shared" si="199"/>
        <v>15721205.76</v>
      </c>
      <c r="W64" s="52">
        <f t="shared" si="200"/>
        <v>65273045.76</v>
      </c>
      <c r="X64" s="52">
        <f t="shared" si="201"/>
        <v>132350000</v>
      </c>
      <c r="Y64" s="1"/>
      <c r="Z64" s="1"/>
    </row>
    <row r="65" ht="15.75" customHeight="1">
      <c r="A65" s="1"/>
      <c r="B65" s="45">
        <v>37.0</v>
      </c>
      <c r="C65" s="46" t="s">
        <v>102</v>
      </c>
      <c r="D65" s="51">
        <f t="shared" si="184"/>
        <v>4275000</v>
      </c>
      <c r="E65" s="52">
        <f t="shared" si="185"/>
        <v>3300000</v>
      </c>
      <c r="F65" s="52">
        <f t="shared" si="186"/>
        <v>3000000</v>
      </c>
      <c r="G65" s="52">
        <f t="shared" si="187"/>
        <v>2900000</v>
      </c>
      <c r="H65" s="53">
        <v>16.0</v>
      </c>
      <c r="I65" s="52">
        <f t="shared" ref="I65:J65" si="202">D65*12</f>
        <v>51300000</v>
      </c>
      <c r="J65" s="52">
        <f t="shared" si="202"/>
        <v>39600000</v>
      </c>
      <c r="K65" s="52">
        <f t="shared" si="189"/>
        <v>216000000</v>
      </c>
      <c r="L65" s="52">
        <f t="shared" si="190"/>
        <v>556800000</v>
      </c>
      <c r="M65" s="52">
        <f t="shared" si="191"/>
        <v>863700000</v>
      </c>
      <c r="N65" s="52">
        <f t="shared" si="192"/>
        <v>104976</v>
      </c>
      <c r="O65" s="52">
        <f t="shared" si="193"/>
        <v>839808</v>
      </c>
      <c r="P65" s="52">
        <f t="shared" si="194"/>
        <v>10077696</v>
      </c>
      <c r="Q65" s="52">
        <f t="shared" ref="Q65:R65" si="203">SUM(D65*$E$143)*12</f>
        <v>3201120</v>
      </c>
      <c r="R65" s="52">
        <f t="shared" si="203"/>
        <v>2471040</v>
      </c>
      <c r="S65" s="52">
        <f t="shared" si="196"/>
        <v>13478400</v>
      </c>
      <c r="T65" s="52">
        <f t="shared" si="197"/>
        <v>34744320</v>
      </c>
      <c r="U65" s="52">
        <f t="shared" si="198"/>
        <v>53894880</v>
      </c>
      <c r="V65" s="52">
        <f t="shared" si="199"/>
        <v>15721205.76</v>
      </c>
      <c r="W65" s="52">
        <f t="shared" si="200"/>
        <v>69616085.76</v>
      </c>
      <c r="X65" s="52">
        <f t="shared" si="201"/>
        <v>143950000</v>
      </c>
      <c r="Y65" s="1"/>
      <c r="Z65" s="1"/>
    </row>
    <row r="66" ht="15.75" customHeight="1">
      <c r="A66" s="1"/>
      <c r="B66" s="45">
        <v>38.0</v>
      </c>
      <c r="C66" s="46" t="s">
        <v>103</v>
      </c>
      <c r="D66" s="51">
        <f t="shared" si="184"/>
        <v>4275000</v>
      </c>
      <c r="E66" s="52">
        <f t="shared" si="185"/>
        <v>3300000</v>
      </c>
      <c r="F66" s="52">
        <f t="shared" si="186"/>
        <v>3000000</v>
      </c>
      <c r="G66" s="52">
        <f t="shared" si="187"/>
        <v>2900000</v>
      </c>
      <c r="H66" s="53">
        <v>10.0</v>
      </c>
      <c r="I66" s="52">
        <f t="shared" ref="I66:J66" si="204">D66*12</f>
        <v>51300000</v>
      </c>
      <c r="J66" s="52">
        <f t="shared" si="204"/>
        <v>39600000</v>
      </c>
      <c r="K66" s="52">
        <f t="shared" si="189"/>
        <v>216000000</v>
      </c>
      <c r="L66" s="52">
        <f t="shared" si="190"/>
        <v>348000000</v>
      </c>
      <c r="M66" s="52">
        <f t="shared" si="191"/>
        <v>654900000</v>
      </c>
      <c r="N66" s="52">
        <f t="shared" si="192"/>
        <v>104976</v>
      </c>
      <c r="O66" s="52">
        <f t="shared" si="193"/>
        <v>839808</v>
      </c>
      <c r="P66" s="52">
        <f t="shared" si="194"/>
        <v>10077696</v>
      </c>
      <c r="Q66" s="52">
        <f t="shared" ref="Q66:R66" si="205">SUM(D66*$E$143)*12</f>
        <v>3201120</v>
      </c>
      <c r="R66" s="52">
        <f t="shared" si="205"/>
        <v>2471040</v>
      </c>
      <c r="S66" s="52">
        <f t="shared" si="196"/>
        <v>13478400</v>
      </c>
      <c r="T66" s="52">
        <f t="shared" si="197"/>
        <v>21715200</v>
      </c>
      <c r="U66" s="52">
        <f t="shared" si="198"/>
        <v>40865760</v>
      </c>
      <c r="V66" s="52">
        <f t="shared" si="199"/>
        <v>15721205.76</v>
      </c>
      <c r="W66" s="52">
        <f t="shared" si="200"/>
        <v>56586965.76</v>
      </c>
      <c r="X66" s="52">
        <f t="shared" si="201"/>
        <v>109150000</v>
      </c>
      <c r="Y66" s="1"/>
      <c r="Z66" s="1"/>
    </row>
    <row r="67" ht="15.75" customHeight="1">
      <c r="A67" s="1"/>
      <c r="B67" s="45" t="s">
        <v>104</v>
      </c>
      <c r="C67" s="46" t="s">
        <v>105</v>
      </c>
      <c r="D67" s="51"/>
      <c r="E67" s="52"/>
      <c r="F67" s="52"/>
      <c r="G67" s="52"/>
      <c r="H67" s="48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1"/>
      <c r="Z67" s="1"/>
    </row>
    <row r="68" ht="15.75" customHeight="1">
      <c r="A68" s="1"/>
      <c r="B68" s="45">
        <v>39.0</v>
      </c>
      <c r="C68" s="46" t="s">
        <v>106</v>
      </c>
      <c r="D68" s="51">
        <f t="shared" ref="D68:D73" si="208">$H$11</f>
        <v>4275000</v>
      </c>
      <c r="E68" s="52">
        <f t="shared" ref="E68:E73" si="209">$H$12</f>
        <v>3300000</v>
      </c>
      <c r="F68" s="52">
        <f t="shared" ref="F68:F73" si="210">$H$13</f>
        <v>3000000</v>
      </c>
      <c r="G68" s="52">
        <f t="shared" ref="G68:G73" si="211">$H$14</f>
        <v>2900000</v>
      </c>
      <c r="H68" s="53">
        <v>18.0</v>
      </c>
      <c r="I68" s="52">
        <f t="shared" ref="I68:J68" si="206">D68*12</f>
        <v>51300000</v>
      </c>
      <c r="J68" s="52">
        <f t="shared" si="206"/>
        <v>39600000</v>
      </c>
      <c r="K68" s="52">
        <f t="shared" ref="K68:K73" si="213">F68*6*12</f>
        <v>216000000</v>
      </c>
      <c r="L68" s="52">
        <f t="shared" ref="L68:L73" si="214">G68*H68*12</f>
        <v>626400000</v>
      </c>
      <c r="M68" s="52">
        <f t="shared" ref="M68:M73" si="215">SUM(I68:L68)</f>
        <v>933300000</v>
      </c>
      <c r="N68" s="52">
        <f t="shared" ref="N68:N73" si="216">$E$135*$E$137</f>
        <v>104976</v>
      </c>
      <c r="O68" s="52">
        <f t="shared" ref="O68:O73" si="217">N68*8</f>
        <v>839808</v>
      </c>
      <c r="P68" s="52">
        <f t="shared" ref="P68:P73" si="218">O68*12</f>
        <v>10077696</v>
      </c>
      <c r="Q68" s="52">
        <f t="shared" ref="Q68:R68" si="207">SUM(D68*$E$143)*12</f>
        <v>3201120</v>
      </c>
      <c r="R68" s="52">
        <f t="shared" si="207"/>
        <v>2471040</v>
      </c>
      <c r="S68" s="52">
        <f t="shared" ref="S68:S73" si="220">SUM(F68*$E$143*6)*12</f>
        <v>13478400</v>
      </c>
      <c r="T68" s="52">
        <f t="shared" ref="T68:T73" si="221">SUM(G68*$E$143*H68)*12</f>
        <v>39087360</v>
      </c>
      <c r="U68" s="52">
        <f t="shared" ref="U68:U73" si="222">SUM(Q68:T68)</f>
        <v>58237920</v>
      </c>
      <c r="V68" s="52">
        <f t="shared" ref="V68:V73" si="223">SUM($E$135*$E$143*8)*12</f>
        <v>15721205.76</v>
      </c>
      <c r="W68" s="52">
        <f t="shared" ref="W68:W73" si="224">SUM(U68+V68)</f>
        <v>73959125.76</v>
      </c>
      <c r="X68" s="52">
        <f t="shared" ref="X68:X73" si="225">SUM(D68*2)+(E68*2)+(F68*6*2)+(G68*H68*2)</f>
        <v>155550000</v>
      </c>
      <c r="Y68" s="1"/>
      <c r="Z68" s="1"/>
    </row>
    <row r="69" ht="15.75" customHeight="1">
      <c r="A69" s="1"/>
      <c r="B69" s="45">
        <v>40.0</v>
      </c>
      <c r="C69" s="46" t="s">
        <v>107</v>
      </c>
      <c r="D69" s="51">
        <f t="shared" si="208"/>
        <v>4275000</v>
      </c>
      <c r="E69" s="52">
        <f t="shared" si="209"/>
        <v>3300000</v>
      </c>
      <c r="F69" s="52">
        <f t="shared" si="210"/>
        <v>3000000</v>
      </c>
      <c r="G69" s="52">
        <f t="shared" si="211"/>
        <v>2900000</v>
      </c>
      <c r="H69" s="53">
        <v>6.0</v>
      </c>
      <c r="I69" s="52">
        <f t="shared" ref="I69:J69" si="212">D69*12</f>
        <v>51300000</v>
      </c>
      <c r="J69" s="52">
        <f t="shared" si="212"/>
        <v>39600000</v>
      </c>
      <c r="K69" s="52">
        <f t="shared" si="213"/>
        <v>216000000</v>
      </c>
      <c r="L69" s="52">
        <f t="shared" si="214"/>
        <v>208800000</v>
      </c>
      <c r="M69" s="52">
        <f t="shared" si="215"/>
        <v>515700000</v>
      </c>
      <c r="N69" s="52">
        <f t="shared" si="216"/>
        <v>104976</v>
      </c>
      <c r="O69" s="52">
        <f t="shared" si="217"/>
        <v>839808</v>
      </c>
      <c r="P69" s="52">
        <f t="shared" si="218"/>
        <v>10077696</v>
      </c>
      <c r="Q69" s="52">
        <f t="shared" ref="Q69:R69" si="219">SUM(D69*$E$143)*12</f>
        <v>3201120</v>
      </c>
      <c r="R69" s="52">
        <f t="shared" si="219"/>
        <v>2471040</v>
      </c>
      <c r="S69" s="52">
        <f t="shared" si="220"/>
        <v>13478400</v>
      </c>
      <c r="T69" s="52">
        <f t="shared" si="221"/>
        <v>13029120</v>
      </c>
      <c r="U69" s="52">
        <f t="shared" si="222"/>
        <v>32179680</v>
      </c>
      <c r="V69" s="52">
        <f t="shared" si="223"/>
        <v>15721205.76</v>
      </c>
      <c r="W69" s="52">
        <f t="shared" si="224"/>
        <v>47900885.76</v>
      </c>
      <c r="X69" s="52">
        <f t="shared" si="225"/>
        <v>85950000</v>
      </c>
      <c r="Y69" s="1"/>
      <c r="Z69" s="1"/>
    </row>
    <row r="70" ht="15.75" customHeight="1">
      <c r="A70" s="1"/>
      <c r="B70" s="45">
        <v>41.0</v>
      </c>
      <c r="C70" s="46" t="s">
        <v>108</v>
      </c>
      <c r="D70" s="51">
        <f t="shared" si="208"/>
        <v>4275000</v>
      </c>
      <c r="E70" s="52">
        <f t="shared" si="209"/>
        <v>3300000</v>
      </c>
      <c r="F70" s="52">
        <f t="shared" si="210"/>
        <v>3000000</v>
      </c>
      <c r="G70" s="52">
        <f t="shared" si="211"/>
        <v>2900000</v>
      </c>
      <c r="H70" s="53">
        <v>7.0</v>
      </c>
      <c r="I70" s="52">
        <f t="shared" ref="I70:J70" si="226">D70*12</f>
        <v>51300000</v>
      </c>
      <c r="J70" s="52">
        <f t="shared" si="226"/>
        <v>39600000</v>
      </c>
      <c r="K70" s="52">
        <f t="shared" si="213"/>
        <v>216000000</v>
      </c>
      <c r="L70" s="52">
        <f t="shared" si="214"/>
        <v>243600000</v>
      </c>
      <c r="M70" s="52">
        <f t="shared" si="215"/>
        <v>550500000</v>
      </c>
      <c r="N70" s="52">
        <f t="shared" si="216"/>
        <v>104976</v>
      </c>
      <c r="O70" s="52">
        <f t="shared" si="217"/>
        <v>839808</v>
      </c>
      <c r="P70" s="52">
        <f t="shared" si="218"/>
        <v>10077696</v>
      </c>
      <c r="Q70" s="52">
        <f t="shared" ref="Q70:R70" si="227">SUM(D70*$E$143)*12</f>
        <v>3201120</v>
      </c>
      <c r="R70" s="52">
        <f t="shared" si="227"/>
        <v>2471040</v>
      </c>
      <c r="S70" s="52">
        <f t="shared" si="220"/>
        <v>13478400</v>
      </c>
      <c r="T70" s="52">
        <f t="shared" si="221"/>
        <v>15200640</v>
      </c>
      <c r="U70" s="52">
        <f t="shared" si="222"/>
        <v>34351200</v>
      </c>
      <c r="V70" s="52">
        <f t="shared" si="223"/>
        <v>15721205.76</v>
      </c>
      <c r="W70" s="52">
        <f t="shared" si="224"/>
        <v>50072405.76</v>
      </c>
      <c r="X70" s="52">
        <f t="shared" si="225"/>
        <v>91750000</v>
      </c>
      <c r="Y70" s="1"/>
      <c r="Z70" s="1"/>
    </row>
    <row r="71" ht="15.75" customHeight="1">
      <c r="A71" s="1"/>
      <c r="B71" s="45">
        <v>42.0</v>
      </c>
      <c r="C71" s="46" t="s">
        <v>109</v>
      </c>
      <c r="D71" s="51">
        <f t="shared" si="208"/>
        <v>4275000</v>
      </c>
      <c r="E71" s="52">
        <f t="shared" si="209"/>
        <v>3300000</v>
      </c>
      <c r="F71" s="52">
        <f t="shared" si="210"/>
        <v>3000000</v>
      </c>
      <c r="G71" s="52">
        <f t="shared" si="211"/>
        <v>2900000</v>
      </c>
      <c r="H71" s="53">
        <v>8.0</v>
      </c>
      <c r="I71" s="52">
        <f t="shared" ref="I71:J71" si="228">D71*12</f>
        <v>51300000</v>
      </c>
      <c r="J71" s="52">
        <f t="shared" si="228"/>
        <v>39600000</v>
      </c>
      <c r="K71" s="52">
        <f t="shared" si="213"/>
        <v>216000000</v>
      </c>
      <c r="L71" s="52">
        <f t="shared" si="214"/>
        <v>278400000</v>
      </c>
      <c r="M71" s="52">
        <f t="shared" si="215"/>
        <v>585300000</v>
      </c>
      <c r="N71" s="52">
        <f t="shared" si="216"/>
        <v>104976</v>
      </c>
      <c r="O71" s="52">
        <f t="shared" si="217"/>
        <v>839808</v>
      </c>
      <c r="P71" s="52">
        <f t="shared" si="218"/>
        <v>10077696</v>
      </c>
      <c r="Q71" s="52">
        <f t="shared" ref="Q71:R71" si="229">SUM(D71*$E$143)*12</f>
        <v>3201120</v>
      </c>
      <c r="R71" s="52">
        <f t="shared" si="229"/>
        <v>2471040</v>
      </c>
      <c r="S71" s="52">
        <f t="shared" si="220"/>
        <v>13478400</v>
      </c>
      <c r="T71" s="52">
        <f t="shared" si="221"/>
        <v>17372160</v>
      </c>
      <c r="U71" s="52">
        <f t="shared" si="222"/>
        <v>36522720</v>
      </c>
      <c r="V71" s="52">
        <f t="shared" si="223"/>
        <v>15721205.76</v>
      </c>
      <c r="W71" s="52">
        <f t="shared" si="224"/>
        <v>52243925.76</v>
      </c>
      <c r="X71" s="52">
        <f t="shared" si="225"/>
        <v>97550000</v>
      </c>
      <c r="Y71" s="1"/>
      <c r="Z71" s="1"/>
    </row>
    <row r="72" ht="15.75" customHeight="1">
      <c r="A72" s="1"/>
      <c r="B72" s="45">
        <v>43.0</v>
      </c>
      <c r="C72" s="46" t="s">
        <v>110</v>
      </c>
      <c r="D72" s="51">
        <f t="shared" si="208"/>
        <v>4275000</v>
      </c>
      <c r="E72" s="52">
        <f t="shared" si="209"/>
        <v>3300000</v>
      </c>
      <c r="F72" s="52">
        <f t="shared" si="210"/>
        <v>3000000</v>
      </c>
      <c r="G72" s="52">
        <f t="shared" si="211"/>
        <v>2900000</v>
      </c>
      <c r="H72" s="53">
        <v>16.0</v>
      </c>
      <c r="I72" s="52">
        <f t="shared" ref="I72:J72" si="230">D72*12</f>
        <v>51300000</v>
      </c>
      <c r="J72" s="52">
        <f t="shared" si="230"/>
        <v>39600000</v>
      </c>
      <c r="K72" s="52">
        <f t="shared" si="213"/>
        <v>216000000</v>
      </c>
      <c r="L72" s="52">
        <f t="shared" si="214"/>
        <v>556800000</v>
      </c>
      <c r="M72" s="52">
        <f t="shared" si="215"/>
        <v>863700000</v>
      </c>
      <c r="N72" s="52">
        <f t="shared" si="216"/>
        <v>104976</v>
      </c>
      <c r="O72" s="52">
        <f t="shared" si="217"/>
        <v>839808</v>
      </c>
      <c r="P72" s="52">
        <f t="shared" si="218"/>
        <v>10077696</v>
      </c>
      <c r="Q72" s="52">
        <f t="shared" ref="Q72:R72" si="231">SUM(D72*$E$143)*12</f>
        <v>3201120</v>
      </c>
      <c r="R72" s="52">
        <f t="shared" si="231"/>
        <v>2471040</v>
      </c>
      <c r="S72" s="52">
        <f t="shared" si="220"/>
        <v>13478400</v>
      </c>
      <c r="T72" s="52">
        <f t="shared" si="221"/>
        <v>34744320</v>
      </c>
      <c r="U72" s="52">
        <f t="shared" si="222"/>
        <v>53894880</v>
      </c>
      <c r="V72" s="52">
        <f t="shared" si="223"/>
        <v>15721205.76</v>
      </c>
      <c r="W72" s="52">
        <f t="shared" si="224"/>
        <v>69616085.76</v>
      </c>
      <c r="X72" s="52">
        <f t="shared" si="225"/>
        <v>143950000</v>
      </c>
      <c r="Y72" s="1"/>
      <c r="Z72" s="1"/>
    </row>
    <row r="73" ht="15.75" customHeight="1">
      <c r="A73" s="1"/>
      <c r="B73" s="45">
        <v>44.0</v>
      </c>
      <c r="C73" s="46" t="s">
        <v>111</v>
      </c>
      <c r="D73" s="51">
        <f t="shared" si="208"/>
        <v>4275000</v>
      </c>
      <c r="E73" s="52">
        <f t="shared" si="209"/>
        <v>3300000</v>
      </c>
      <c r="F73" s="52">
        <f t="shared" si="210"/>
        <v>3000000</v>
      </c>
      <c r="G73" s="52">
        <f t="shared" si="211"/>
        <v>2900000</v>
      </c>
      <c r="H73" s="53">
        <v>13.0</v>
      </c>
      <c r="I73" s="52">
        <f t="shared" ref="I73:J73" si="232">D73*12</f>
        <v>51300000</v>
      </c>
      <c r="J73" s="52">
        <f t="shared" si="232"/>
        <v>39600000</v>
      </c>
      <c r="K73" s="52">
        <f t="shared" si="213"/>
        <v>216000000</v>
      </c>
      <c r="L73" s="52">
        <f t="shared" si="214"/>
        <v>452400000</v>
      </c>
      <c r="M73" s="52">
        <f t="shared" si="215"/>
        <v>759300000</v>
      </c>
      <c r="N73" s="52">
        <f t="shared" si="216"/>
        <v>104976</v>
      </c>
      <c r="O73" s="52">
        <f t="shared" si="217"/>
        <v>839808</v>
      </c>
      <c r="P73" s="52">
        <f t="shared" si="218"/>
        <v>10077696</v>
      </c>
      <c r="Q73" s="52">
        <f t="shared" ref="Q73:R73" si="233">SUM(D73*$E$143)*12</f>
        <v>3201120</v>
      </c>
      <c r="R73" s="52">
        <f t="shared" si="233"/>
        <v>2471040</v>
      </c>
      <c r="S73" s="52">
        <f t="shared" si="220"/>
        <v>13478400</v>
      </c>
      <c r="T73" s="52">
        <f t="shared" si="221"/>
        <v>28229760</v>
      </c>
      <c r="U73" s="52">
        <f t="shared" si="222"/>
        <v>47380320</v>
      </c>
      <c r="V73" s="52">
        <f t="shared" si="223"/>
        <v>15721205.76</v>
      </c>
      <c r="W73" s="52">
        <f t="shared" si="224"/>
        <v>63101525.76</v>
      </c>
      <c r="X73" s="52">
        <f t="shared" si="225"/>
        <v>126550000</v>
      </c>
      <c r="Y73" s="1"/>
      <c r="Z73" s="1"/>
    </row>
    <row r="74" ht="15.75" customHeight="1">
      <c r="A74" s="1"/>
      <c r="B74" s="45" t="s">
        <v>112</v>
      </c>
      <c r="C74" s="46" t="s">
        <v>113</v>
      </c>
      <c r="D74" s="51"/>
      <c r="E74" s="52"/>
      <c r="F74" s="52"/>
      <c r="G74" s="52"/>
      <c r="H74" s="48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1"/>
      <c r="Z74" s="1"/>
    </row>
    <row r="75" ht="15.75" customHeight="1">
      <c r="A75" s="1"/>
      <c r="B75" s="45">
        <v>45.0</v>
      </c>
      <c r="C75" s="46" t="s">
        <v>114</v>
      </c>
      <c r="D75" s="51">
        <f t="shared" ref="D75:D78" si="236">$H$11</f>
        <v>4275000</v>
      </c>
      <c r="E75" s="52">
        <f t="shared" ref="E75:E78" si="237">$H$12</f>
        <v>3300000</v>
      </c>
      <c r="F75" s="52">
        <f t="shared" ref="F75:F78" si="238">$H$13</f>
        <v>3000000</v>
      </c>
      <c r="G75" s="52">
        <f t="shared" ref="G75:G78" si="239">$H$14</f>
        <v>2900000</v>
      </c>
      <c r="H75" s="53">
        <v>21.0</v>
      </c>
      <c r="I75" s="52">
        <f t="shared" ref="I75:J75" si="234">D75*12</f>
        <v>51300000</v>
      </c>
      <c r="J75" s="52">
        <f t="shared" si="234"/>
        <v>39600000</v>
      </c>
      <c r="K75" s="52">
        <f t="shared" ref="K75:K78" si="241">F75*6*12</f>
        <v>216000000</v>
      </c>
      <c r="L75" s="52">
        <f t="shared" ref="L75:L78" si="242">G75*H75*12</f>
        <v>730800000</v>
      </c>
      <c r="M75" s="52">
        <f t="shared" ref="M75:M78" si="243">SUM(I75:L75)</f>
        <v>1037700000</v>
      </c>
      <c r="N75" s="52">
        <f t="shared" ref="N75:N78" si="244">$E$135*$E$137</f>
        <v>104976</v>
      </c>
      <c r="O75" s="52">
        <f t="shared" ref="O75:O78" si="245">N75*8</f>
        <v>839808</v>
      </c>
      <c r="P75" s="52">
        <f t="shared" ref="P75:P78" si="246">O75*12</f>
        <v>10077696</v>
      </c>
      <c r="Q75" s="52">
        <f t="shared" ref="Q75:R75" si="235">SUM(D75*$E$143)*12</f>
        <v>3201120</v>
      </c>
      <c r="R75" s="52">
        <f t="shared" si="235"/>
        <v>2471040</v>
      </c>
      <c r="S75" s="52">
        <f t="shared" ref="S75:S78" si="248">SUM(F75*$E$143*6)*12</f>
        <v>13478400</v>
      </c>
      <c r="T75" s="52">
        <f t="shared" ref="T75:T78" si="249">SUM(G75*$E$143*H75)*12</f>
        <v>45601920</v>
      </c>
      <c r="U75" s="52">
        <f t="shared" ref="U75:U78" si="250">SUM(Q75:T75)</f>
        <v>64752480</v>
      </c>
      <c r="V75" s="52">
        <f t="shared" ref="V75:V78" si="251">SUM($E$135*$E$143*8)*12</f>
        <v>15721205.76</v>
      </c>
      <c r="W75" s="52">
        <f t="shared" ref="W75:W78" si="252">SUM(U75+V75)</f>
        <v>80473685.76</v>
      </c>
      <c r="X75" s="52">
        <f t="shared" ref="X75:X78" si="253">SUM(D75*2)+(E75*2)+(F75*6*2)+(G75*H75*2)</f>
        <v>172950000</v>
      </c>
      <c r="Y75" s="1"/>
      <c r="Z75" s="1"/>
    </row>
    <row r="76" ht="15.75" customHeight="1">
      <c r="A76" s="1"/>
      <c r="B76" s="45">
        <v>46.0</v>
      </c>
      <c r="C76" s="46" t="s">
        <v>115</v>
      </c>
      <c r="D76" s="51">
        <f t="shared" si="236"/>
        <v>4275000</v>
      </c>
      <c r="E76" s="52">
        <f t="shared" si="237"/>
        <v>3300000</v>
      </c>
      <c r="F76" s="52">
        <f t="shared" si="238"/>
        <v>3000000</v>
      </c>
      <c r="G76" s="52">
        <f t="shared" si="239"/>
        <v>2900000</v>
      </c>
      <c r="H76" s="53">
        <v>17.0</v>
      </c>
      <c r="I76" s="52">
        <f t="shared" ref="I76:J76" si="240">D76*12</f>
        <v>51300000</v>
      </c>
      <c r="J76" s="52">
        <f t="shared" si="240"/>
        <v>39600000</v>
      </c>
      <c r="K76" s="52">
        <f t="shared" si="241"/>
        <v>216000000</v>
      </c>
      <c r="L76" s="52">
        <f t="shared" si="242"/>
        <v>591600000</v>
      </c>
      <c r="M76" s="52">
        <f t="shared" si="243"/>
        <v>898500000</v>
      </c>
      <c r="N76" s="52">
        <f t="shared" si="244"/>
        <v>104976</v>
      </c>
      <c r="O76" s="52">
        <f t="shared" si="245"/>
        <v>839808</v>
      </c>
      <c r="P76" s="52">
        <f t="shared" si="246"/>
        <v>10077696</v>
      </c>
      <c r="Q76" s="52">
        <f t="shared" ref="Q76:R76" si="247">SUM(D76*$E$143)*12</f>
        <v>3201120</v>
      </c>
      <c r="R76" s="52">
        <f t="shared" si="247"/>
        <v>2471040</v>
      </c>
      <c r="S76" s="52">
        <f t="shared" si="248"/>
        <v>13478400</v>
      </c>
      <c r="T76" s="52">
        <f t="shared" si="249"/>
        <v>36915840</v>
      </c>
      <c r="U76" s="52">
        <f t="shared" si="250"/>
        <v>56066400</v>
      </c>
      <c r="V76" s="52">
        <f t="shared" si="251"/>
        <v>15721205.76</v>
      </c>
      <c r="W76" s="52">
        <f t="shared" si="252"/>
        <v>71787605.76</v>
      </c>
      <c r="X76" s="52">
        <f t="shared" si="253"/>
        <v>149750000</v>
      </c>
      <c r="Y76" s="1"/>
      <c r="Z76" s="1"/>
    </row>
    <row r="77" ht="15.75" customHeight="1">
      <c r="A77" s="1"/>
      <c r="B77" s="45">
        <v>47.0</v>
      </c>
      <c r="C77" s="46" t="s">
        <v>116</v>
      </c>
      <c r="D77" s="51">
        <f t="shared" si="236"/>
        <v>4275000</v>
      </c>
      <c r="E77" s="52">
        <f t="shared" si="237"/>
        <v>3300000</v>
      </c>
      <c r="F77" s="52">
        <f t="shared" si="238"/>
        <v>3000000</v>
      </c>
      <c r="G77" s="52">
        <f t="shared" si="239"/>
        <v>2900000</v>
      </c>
      <c r="H77" s="53">
        <v>22.0</v>
      </c>
      <c r="I77" s="52">
        <f t="shared" ref="I77:J77" si="254">D77*12</f>
        <v>51300000</v>
      </c>
      <c r="J77" s="52">
        <f t="shared" si="254"/>
        <v>39600000</v>
      </c>
      <c r="K77" s="52">
        <f t="shared" si="241"/>
        <v>216000000</v>
      </c>
      <c r="L77" s="52">
        <f t="shared" si="242"/>
        <v>765600000</v>
      </c>
      <c r="M77" s="52">
        <f t="shared" si="243"/>
        <v>1072500000</v>
      </c>
      <c r="N77" s="52">
        <f t="shared" si="244"/>
        <v>104976</v>
      </c>
      <c r="O77" s="52">
        <f t="shared" si="245"/>
        <v>839808</v>
      </c>
      <c r="P77" s="52">
        <f t="shared" si="246"/>
        <v>10077696</v>
      </c>
      <c r="Q77" s="52">
        <f t="shared" ref="Q77:R77" si="255">SUM(D77*$E$143)*12</f>
        <v>3201120</v>
      </c>
      <c r="R77" s="52">
        <f t="shared" si="255"/>
        <v>2471040</v>
      </c>
      <c r="S77" s="52">
        <f t="shared" si="248"/>
        <v>13478400</v>
      </c>
      <c r="T77" s="52">
        <f t="shared" si="249"/>
        <v>47773440</v>
      </c>
      <c r="U77" s="52">
        <f t="shared" si="250"/>
        <v>66924000</v>
      </c>
      <c r="V77" s="52">
        <f t="shared" si="251"/>
        <v>15721205.76</v>
      </c>
      <c r="W77" s="52">
        <f t="shared" si="252"/>
        <v>82645205.76</v>
      </c>
      <c r="X77" s="52">
        <f t="shared" si="253"/>
        <v>178750000</v>
      </c>
      <c r="Y77" s="1"/>
      <c r="Z77" s="1"/>
    </row>
    <row r="78" ht="15.75" customHeight="1">
      <c r="A78" s="1"/>
      <c r="B78" s="45">
        <v>48.0</v>
      </c>
      <c r="C78" s="46" t="s">
        <v>117</v>
      </c>
      <c r="D78" s="51">
        <f t="shared" si="236"/>
        <v>4275000</v>
      </c>
      <c r="E78" s="52">
        <f t="shared" si="237"/>
        <v>3300000</v>
      </c>
      <c r="F78" s="52">
        <f t="shared" si="238"/>
        <v>3000000</v>
      </c>
      <c r="G78" s="52">
        <f t="shared" si="239"/>
        <v>2900000</v>
      </c>
      <c r="H78" s="53">
        <v>20.0</v>
      </c>
      <c r="I78" s="52">
        <f t="shared" ref="I78:J78" si="256">D78*12</f>
        <v>51300000</v>
      </c>
      <c r="J78" s="52">
        <f t="shared" si="256"/>
        <v>39600000</v>
      </c>
      <c r="K78" s="52">
        <f t="shared" si="241"/>
        <v>216000000</v>
      </c>
      <c r="L78" s="52">
        <f t="shared" si="242"/>
        <v>696000000</v>
      </c>
      <c r="M78" s="52">
        <f t="shared" si="243"/>
        <v>1002900000</v>
      </c>
      <c r="N78" s="52">
        <f t="shared" si="244"/>
        <v>104976</v>
      </c>
      <c r="O78" s="52">
        <f t="shared" si="245"/>
        <v>839808</v>
      </c>
      <c r="P78" s="52">
        <f t="shared" si="246"/>
        <v>10077696</v>
      </c>
      <c r="Q78" s="52">
        <f t="shared" ref="Q78:R78" si="257">SUM(D78*$E$143)*12</f>
        <v>3201120</v>
      </c>
      <c r="R78" s="52">
        <f t="shared" si="257"/>
        <v>2471040</v>
      </c>
      <c r="S78" s="52">
        <f t="shared" si="248"/>
        <v>13478400</v>
      </c>
      <c r="T78" s="52">
        <f t="shared" si="249"/>
        <v>43430400</v>
      </c>
      <c r="U78" s="52">
        <f t="shared" si="250"/>
        <v>62580960</v>
      </c>
      <c r="V78" s="52">
        <f t="shared" si="251"/>
        <v>15721205.76</v>
      </c>
      <c r="W78" s="52">
        <f t="shared" si="252"/>
        <v>78302165.76</v>
      </c>
      <c r="X78" s="52">
        <f t="shared" si="253"/>
        <v>167150000</v>
      </c>
      <c r="Y78" s="1"/>
      <c r="Z78" s="1"/>
    </row>
    <row r="79" ht="15.75" customHeight="1">
      <c r="A79" s="1"/>
      <c r="B79" s="45" t="s">
        <v>118</v>
      </c>
      <c r="C79" s="46" t="s">
        <v>119</v>
      </c>
      <c r="D79" s="51"/>
      <c r="E79" s="52"/>
      <c r="F79" s="52"/>
      <c r="G79" s="52"/>
      <c r="H79" s="48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1"/>
      <c r="Z79" s="1"/>
    </row>
    <row r="80" ht="15.75" customHeight="1">
      <c r="A80" s="1"/>
      <c r="B80" s="45">
        <v>49.0</v>
      </c>
      <c r="C80" s="46" t="s">
        <v>120</v>
      </c>
      <c r="D80" s="51">
        <f t="shared" ref="D80:D84" si="260">$H$11</f>
        <v>4275000</v>
      </c>
      <c r="E80" s="52">
        <f t="shared" ref="E80:E84" si="261">$H$12</f>
        <v>3300000</v>
      </c>
      <c r="F80" s="52">
        <f t="shared" ref="F80:F84" si="262">$H$13</f>
        <v>3000000</v>
      </c>
      <c r="G80" s="52">
        <f t="shared" ref="G80:G84" si="263">$H$14</f>
        <v>2900000</v>
      </c>
      <c r="H80" s="53">
        <v>11.0</v>
      </c>
      <c r="I80" s="52">
        <f t="shared" ref="I80:J80" si="258">D80*12</f>
        <v>51300000</v>
      </c>
      <c r="J80" s="52">
        <f t="shared" si="258"/>
        <v>39600000</v>
      </c>
      <c r="K80" s="52">
        <f t="shared" ref="K80:K84" si="265">F80*6*12</f>
        <v>216000000</v>
      </c>
      <c r="L80" s="52">
        <f t="shared" ref="L80:L84" si="266">G80*H80*12</f>
        <v>382800000</v>
      </c>
      <c r="M80" s="52">
        <f t="shared" ref="M80:M84" si="267">SUM(I80:L80)</f>
        <v>689700000</v>
      </c>
      <c r="N80" s="52">
        <f t="shared" ref="N80:N84" si="268">$E$135*$E$137</f>
        <v>104976</v>
      </c>
      <c r="O80" s="52">
        <f t="shared" ref="O80:O84" si="269">N80*8</f>
        <v>839808</v>
      </c>
      <c r="P80" s="52">
        <f t="shared" ref="P80:P84" si="270">O80*12</f>
        <v>10077696</v>
      </c>
      <c r="Q80" s="52">
        <f t="shared" ref="Q80:R80" si="259">SUM(D80*$E$143)*12</f>
        <v>3201120</v>
      </c>
      <c r="R80" s="52">
        <f t="shared" si="259"/>
        <v>2471040</v>
      </c>
      <c r="S80" s="52">
        <f t="shared" ref="S80:S84" si="272">SUM(F80*$E$143*6)*12</f>
        <v>13478400</v>
      </c>
      <c r="T80" s="52">
        <f t="shared" ref="T80:T84" si="273">SUM(G80*$E$143*H80)*12</f>
        <v>23886720</v>
      </c>
      <c r="U80" s="52">
        <f t="shared" ref="U80:U84" si="274">SUM(Q80:T80)</f>
        <v>43037280</v>
      </c>
      <c r="V80" s="52">
        <f t="shared" ref="V80:V84" si="275">SUM($E$135*$E$143*8)*12</f>
        <v>15721205.76</v>
      </c>
      <c r="W80" s="52">
        <f t="shared" ref="W80:W84" si="276">SUM(U80+V80)</f>
        <v>58758485.76</v>
      </c>
      <c r="X80" s="52">
        <f t="shared" ref="X80:X84" si="277">SUM(D80*2)+(E80*2)+(F80*6*2)+(G80*H80*2)</f>
        <v>114950000</v>
      </c>
      <c r="Y80" s="1"/>
      <c r="Z80" s="1"/>
    </row>
    <row r="81" ht="15.75" customHeight="1">
      <c r="A81" s="1"/>
      <c r="B81" s="45">
        <v>50.0</v>
      </c>
      <c r="C81" s="46" t="s">
        <v>121</v>
      </c>
      <c r="D81" s="51">
        <f t="shared" si="260"/>
        <v>4275000</v>
      </c>
      <c r="E81" s="52">
        <f t="shared" si="261"/>
        <v>3300000</v>
      </c>
      <c r="F81" s="52">
        <f t="shared" si="262"/>
        <v>3000000</v>
      </c>
      <c r="G81" s="52">
        <f t="shared" si="263"/>
        <v>2900000</v>
      </c>
      <c r="H81" s="53">
        <v>12.0</v>
      </c>
      <c r="I81" s="52">
        <f t="shared" ref="I81:J81" si="264">D81*12</f>
        <v>51300000</v>
      </c>
      <c r="J81" s="52">
        <f t="shared" si="264"/>
        <v>39600000</v>
      </c>
      <c r="K81" s="52">
        <f t="shared" si="265"/>
        <v>216000000</v>
      </c>
      <c r="L81" s="52">
        <f t="shared" si="266"/>
        <v>417600000</v>
      </c>
      <c r="M81" s="52">
        <f t="shared" si="267"/>
        <v>724500000</v>
      </c>
      <c r="N81" s="52">
        <f t="shared" si="268"/>
        <v>104976</v>
      </c>
      <c r="O81" s="52">
        <f t="shared" si="269"/>
        <v>839808</v>
      </c>
      <c r="P81" s="52">
        <f t="shared" si="270"/>
        <v>10077696</v>
      </c>
      <c r="Q81" s="52">
        <f t="shared" ref="Q81:R81" si="271">SUM(D81*$E$143)*12</f>
        <v>3201120</v>
      </c>
      <c r="R81" s="52">
        <f t="shared" si="271"/>
        <v>2471040</v>
      </c>
      <c r="S81" s="52">
        <f t="shared" si="272"/>
        <v>13478400</v>
      </c>
      <c r="T81" s="52">
        <f t="shared" si="273"/>
        <v>26058240</v>
      </c>
      <c r="U81" s="52">
        <f t="shared" si="274"/>
        <v>45208800</v>
      </c>
      <c r="V81" s="52">
        <f t="shared" si="275"/>
        <v>15721205.76</v>
      </c>
      <c r="W81" s="52">
        <f t="shared" si="276"/>
        <v>60930005.76</v>
      </c>
      <c r="X81" s="52">
        <f t="shared" si="277"/>
        <v>120750000</v>
      </c>
      <c r="Y81" s="1"/>
      <c r="Z81" s="1"/>
    </row>
    <row r="82" ht="15.75" customHeight="1">
      <c r="A82" s="1"/>
      <c r="B82" s="45">
        <v>51.0</v>
      </c>
      <c r="C82" s="46" t="s">
        <v>122</v>
      </c>
      <c r="D82" s="51">
        <f t="shared" si="260"/>
        <v>4275000</v>
      </c>
      <c r="E82" s="52">
        <f t="shared" si="261"/>
        <v>3300000</v>
      </c>
      <c r="F82" s="52">
        <f t="shared" si="262"/>
        <v>3000000</v>
      </c>
      <c r="G82" s="52">
        <f t="shared" si="263"/>
        <v>2900000</v>
      </c>
      <c r="H82" s="53">
        <v>19.0</v>
      </c>
      <c r="I82" s="52">
        <f t="shared" ref="I82:J82" si="278">D82*12</f>
        <v>51300000</v>
      </c>
      <c r="J82" s="52">
        <f t="shared" si="278"/>
        <v>39600000</v>
      </c>
      <c r="K82" s="52">
        <f t="shared" si="265"/>
        <v>216000000</v>
      </c>
      <c r="L82" s="52">
        <f t="shared" si="266"/>
        <v>661200000</v>
      </c>
      <c r="M82" s="52">
        <f t="shared" si="267"/>
        <v>968100000</v>
      </c>
      <c r="N82" s="52">
        <f t="shared" si="268"/>
        <v>104976</v>
      </c>
      <c r="O82" s="52">
        <f t="shared" si="269"/>
        <v>839808</v>
      </c>
      <c r="P82" s="52">
        <f t="shared" si="270"/>
        <v>10077696</v>
      </c>
      <c r="Q82" s="52">
        <f t="shared" ref="Q82:R82" si="279">SUM(D82*$E$143)*12</f>
        <v>3201120</v>
      </c>
      <c r="R82" s="52">
        <f t="shared" si="279"/>
        <v>2471040</v>
      </c>
      <c r="S82" s="52">
        <f t="shared" si="272"/>
        <v>13478400</v>
      </c>
      <c r="T82" s="52">
        <f t="shared" si="273"/>
        <v>41258880</v>
      </c>
      <c r="U82" s="52">
        <f t="shared" si="274"/>
        <v>60409440</v>
      </c>
      <c r="V82" s="52">
        <f t="shared" si="275"/>
        <v>15721205.76</v>
      </c>
      <c r="W82" s="52">
        <f t="shared" si="276"/>
        <v>76130645.76</v>
      </c>
      <c r="X82" s="52">
        <f t="shared" si="277"/>
        <v>161350000</v>
      </c>
      <c r="Y82" s="1"/>
      <c r="Z82" s="1"/>
    </row>
    <row r="83" ht="15.75" customHeight="1">
      <c r="A83" s="1"/>
      <c r="B83" s="45">
        <v>52.0</v>
      </c>
      <c r="C83" s="46" t="s">
        <v>123</v>
      </c>
      <c r="D83" s="51">
        <f t="shared" si="260"/>
        <v>4275000</v>
      </c>
      <c r="E83" s="52">
        <f t="shared" si="261"/>
        <v>3300000</v>
      </c>
      <c r="F83" s="52">
        <f t="shared" si="262"/>
        <v>3000000</v>
      </c>
      <c r="G83" s="52">
        <f t="shared" si="263"/>
        <v>2900000</v>
      </c>
      <c r="H83" s="53">
        <v>25.0</v>
      </c>
      <c r="I83" s="52">
        <f t="shared" ref="I83:J83" si="280">D83*12</f>
        <v>51300000</v>
      </c>
      <c r="J83" s="52">
        <f t="shared" si="280"/>
        <v>39600000</v>
      </c>
      <c r="K83" s="52">
        <f t="shared" si="265"/>
        <v>216000000</v>
      </c>
      <c r="L83" s="52">
        <f t="shared" si="266"/>
        <v>870000000</v>
      </c>
      <c r="M83" s="52">
        <f t="shared" si="267"/>
        <v>1176900000</v>
      </c>
      <c r="N83" s="52">
        <f t="shared" si="268"/>
        <v>104976</v>
      </c>
      <c r="O83" s="52">
        <f t="shared" si="269"/>
        <v>839808</v>
      </c>
      <c r="P83" s="52">
        <f t="shared" si="270"/>
        <v>10077696</v>
      </c>
      <c r="Q83" s="52">
        <f t="shared" ref="Q83:R83" si="281">SUM(D83*$E$143)*12</f>
        <v>3201120</v>
      </c>
      <c r="R83" s="52">
        <f t="shared" si="281"/>
        <v>2471040</v>
      </c>
      <c r="S83" s="52">
        <f t="shared" si="272"/>
        <v>13478400</v>
      </c>
      <c r="T83" s="52">
        <f t="shared" si="273"/>
        <v>54288000</v>
      </c>
      <c r="U83" s="52">
        <f t="shared" si="274"/>
        <v>73438560</v>
      </c>
      <c r="V83" s="52">
        <f t="shared" si="275"/>
        <v>15721205.76</v>
      </c>
      <c r="W83" s="52">
        <f t="shared" si="276"/>
        <v>89159765.76</v>
      </c>
      <c r="X83" s="52">
        <f t="shared" si="277"/>
        <v>196150000</v>
      </c>
      <c r="Y83" s="1"/>
      <c r="Z83" s="1"/>
    </row>
    <row r="84" ht="15.75" customHeight="1">
      <c r="A84" s="1"/>
      <c r="B84" s="45">
        <v>53.0</v>
      </c>
      <c r="C84" s="46" t="s">
        <v>124</v>
      </c>
      <c r="D84" s="51">
        <f t="shared" si="260"/>
        <v>4275000</v>
      </c>
      <c r="E84" s="52">
        <f t="shared" si="261"/>
        <v>3300000</v>
      </c>
      <c r="F84" s="52">
        <f t="shared" si="262"/>
        <v>3000000</v>
      </c>
      <c r="G84" s="52">
        <f t="shared" si="263"/>
        <v>2900000</v>
      </c>
      <c r="H84" s="53">
        <v>15.0</v>
      </c>
      <c r="I84" s="52">
        <f t="shared" ref="I84:J84" si="282">D84*12</f>
        <v>51300000</v>
      </c>
      <c r="J84" s="52">
        <f t="shared" si="282"/>
        <v>39600000</v>
      </c>
      <c r="K84" s="52">
        <f t="shared" si="265"/>
        <v>216000000</v>
      </c>
      <c r="L84" s="52">
        <f t="shared" si="266"/>
        <v>522000000</v>
      </c>
      <c r="M84" s="52">
        <f t="shared" si="267"/>
        <v>828900000</v>
      </c>
      <c r="N84" s="52">
        <f t="shared" si="268"/>
        <v>104976</v>
      </c>
      <c r="O84" s="52">
        <f t="shared" si="269"/>
        <v>839808</v>
      </c>
      <c r="P84" s="52">
        <f t="shared" si="270"/>
        <v>10077696</v>
      </c>
      <c r="Q84" s="52">
        <f t="shared" ref="Q84:R84" si="283">SUM(D84*$E$143)*12</f>
        <v>3201120</v>
      </c>
      <c r="R84" s="52">
        <f t="shared" si="283"/>
        <v>2471040</v>
      </c>
      <c r="S84" s="52">
        <f t="shared" si="272"/>
        <v>13478400</v>
      </c>
      <c r="T84" s="52">
        <f t="shared" si="273"/>
        <v>32572800</v>
      </c>
      <c r="U84" s="52">
        <f t="shared" si="274"/>
        <v>51723360</v>
      </c>
      <c r="V84" s="52">
        <f t="shared" si="275"/>
        <v>15721205.76</v>
      </c>
      <c r="W84" s="52">
        <f t="shared" si="276"/>
        <v>67444565.76</v>
      </c>
      <c r="X84" s="52">
        <f t="shared" si="277"/>
        <v>138150000</v>
      </c>
      <c r="Y84" s="1"/>
      <c r="Z84" s="1"/>
    </row>
    <row r="85" ht="15.75" customHeight="1">
      <c r="A85" s="1"/>
      <c r="B85" s="45" t="s">
        <v>125</v>
      </c>
      <c r="C85" s="46" t="s">
        <v>126</v>
      </c>
      <c r="D85" s="51"/>
      <c r="E85" s="52"/>
      <c r="F85" s="52"/>
      <c r="G85" s="52"/>
      <c r="H85" s="48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1"/>
      <c r="Z85" s="1"/>
    </row>
    <row r="86" ht="15.75" customHeight="1">
      <c r="A86" s="1"/>
      <c r="B86" s="45">
        <v>54.0</v>
      </c>
      <c r="C86" s="46" t="s">
        <v>127</v>
      </c>
      <c r="D86" s="51">
        <f t="shared" ref="D86:D91" si="286">$H$11</f>
        <v>4275000</v>
      </c>
      <c r="E86" s="52">
        <f t="shared" ref="E86:E91" si="287">$H$12</f>
        <v>3300000</v>
      </c>
      <c r="F86" s="52">
        <f t="shared" ref="F86:F91" si="288">$H$13</f>
        <v>3000000</v>
      </c>
      <c r="G86" s="52">
        <f t="shared" ref="G86:G91" si="289">$H$14</f>
        <v>2900000</v>
      </c>
      <c r="H86" s="53">
        <v>16.0</v>
      </c>
      <c r="I86" s="52">
        <f t="shared" ref="I86:J86" si="284">D86*12</f>
        <v>51300000</v>
      </c>
      <c r="J86" s="52">
        <f t="shared" si="284"/>
        <v>39600000</v>
      </c>
      <c r="K86" s="52">
        <f t="shared" ref="K86:K91" si="291">F86*6*12</f>
        <v>216000000</v>
      </c>
      <c r="L86" s="52">
        <f t="shared" ref="L86:L91" si="292">G86*H86*12</f>
        <v>556800000</v>
      </c>
      <c r="M86" s="52">
        <f t="shared" ref="M86:M91" si="293">SUM(I86:L86)</f>
        <v>863700000</v>
      </c>
      <c r="N86" s="52">
        <f t="shared" ref="N86:N91" si="294">$E$135*$E$137</f>
        <v>104976</v>
      </c>
      <c r="O86" s="52">
        <f t="shared" ref="O86:O91" si="295">N86*8</f>
        <v>839808</v>
      </c>
      <c r="P86" s="52">
        <f t="shared" ref="P86:P91" si="296">O86*12</f>
        <v>10077696</v>
      </c>
      <c r="Q86" s="52">
        <f t="shared" ref="Q86:R86" si="285">SUM(D86*$E$143)*12</f>
        <v>3201120</v>
      </c>
      <c r="R86" s="52">
        <f t="shared" si="285"/>
        <v>2471040</v>
      </c>
      <c r="S86" s="52">
        <f t="shared" ref="S86:S91" si="298">SUM(F86*$E$143*6)*12</f>
        <v>13478400</v>
      </c>
      <c r="T86" s="52">
        <f t="shared" ref="T86:T91" si="299">SUM(G86*$E$143*H86)*12</f>
        <v>34744320</v>
      </c>
      <c r="U86" s="52">
        <f t="shared" ref="U86:U91" si="300">SUM(Q86:T86)</f>
        <v>53894880</v>
      </c>
      <c r="V86" s="52">
        <f t="shared" ref="V86:V91" si="301">SUM($E$135*$E$143*8)*12</f>
        <v>15721205.76</v>
      </c>
      <c r="W86" s="52">
        <f t="shared" ref="W86:W91" si="302">SUM(U86+V86)</f>
        <v>69616085.76</v>
      </c>
      <c r="X86" s="52">
        <f t="shared" ref="X86:X91" si="303">SUM(D86*2)+(E86*2)+(F86*6*2)+(G86*H86*2)</f>
        <v>143950000</v>
      </c>
      <c r="Y86" s="1"/>
      <c r="Z86" s="1"/>
    </row>
    <row r="87" ht="15.75" customHeight="1">
      <c r="A87" s="1"/>
      <c r="B87" s="45">
        <v>55.0</v>
      </c>
      <c r="C87" s="46" t="s">
        <v>128</v>
      </c>
      <c r="D87" s="51">
        <f t="shared" si="286"/>
        <v>4275000</v>
      </c>
      <c r="E87" s="52">
        <f t="shared" si="287"/>
        <v>3300000</v>
      </c>
      <c r="F87" s="52">
        <f t="shared" si="288"/>
        <v>3000000</v>
      </c>
      <c r="G87" s="52">
        <f t="shared" si="289"/>
        <v>2900000</v>
      </c>
      <c r="H87" s="53">
        <v>6.0</v>
      </c>
      <c r="I87" s="52">
        <f t="shared" ref="I87:J87" si="290">D87*12</f>
        <v>51300000</v>
      </c>
      <c r="J87" s="52">
        <f t="shared" si="290"/>
        <v>39600000</v>
      </c>
      <c r="K87" s="52">
        <f t="shared" si="291"/>
        <v>216000000</v>
      </c>
      <c r="L87" s="52">
        <f t="shared" si="292"/>
        <v>208800000</v>
      </c>
      <c r="M87" s="52">
        <f t="shared" si="293"/>
        <v>515700000</v>
      </c>
      <c r="N87" s="52">
        <f t="shared" si="294"/>
        <v>104976</v>
      </c>
      <c r="O87" s="52">
        <f t="shared" si="295"/>
        <v>839808</v>
      </c>
      <c r="P87" s="52">
        <f t="shared" si="296"/>
        <v>10077696</v>
      </c>
      <c r="Q87" s="52">
        <f t="shared" ref="Q87:R87" si="297">SUM(D87*$E$143)*12</f>
        <v>3201120</v>
      </c>
      <c r="R87" s="52">
        <f t="shared" si="297"/>
        <v>2471040</v>
      </c>
      <c r="S87" s="52">
        <f t="shared" si="298"/>
        <v>13478400</v>
      </c>
      <c r="T87" s="52">
        <f t="shared" si="299"/>
        <v>13029120</v>
      </c>
      <c r="U87" s="52">
        <f t="shared" si="300"/>
        <v>32179680</v>
      </c>
      <c r="V87" s="52">
        <f t="shared" si="301"/>
        <v>15721205.76</v>
      </c>
      <c r="W87" s="52">
        <f t="shared" si="302"/>
        <v>47900885.76</v>
      </c>
      <c r="X87" s="52">
        <f t="shared" si="303"/>
        <v>85950000</v>
      </c>
      <c r="Y87" s="1"/>
      <c r="Z87" s="1"/>
    </row>
    <row r="88" ht="15.75" customHeight="1">
      <c r="A88" s="1"/>
      <c r="B88" s="45">
        <v>56.0</v>
      </c>
      <c r="C88" s="46" t="s">
        <v>129</v>
      </c>
      <c r="D88" s="51">
        <f t="shared" si="286"/>
        <v>4275000</v>
      </c>
      <c r="E88" s="52">
        <f t="shared" si="287"/>
        <v>3300000</v>
      </c>
      <c r="F88" s="52">
        <f t="shared" si="288"/>
        <v>3000000</v>
      </c>
      <c r="G88" s="52">
        <f t="shared" si="289"/>
        <v>2900000</v>
      </c>
      <c r="H88" s="53">
        <v>17.0</v>
      </c>
      <c r="I88" s="52">
        <f t="shared" ref="I88:J88" si="304">D88*12</f>
        <v>51300000</v>
      </c>
      <c r="J88" s="52">
        <f t="shared" si="304"/>
        <v>39600000</v>
      </c>
      <c r="K88" s="52">
        <f t="shared" si="291"/>
        <v>216000000</v>
      </c>
      <c r="L88" s="52">
        <f t="shared" si="292"/>
        <v>591600000</v>
      </c>
      <c r="M88" s="52">
        <f t="shared" si="293"/>
        <v>898500000</v>
      </c>
      <c r="N88" s="52">
        <f t="shared" si="294"/>
        <v>104976</v>
      </c>
      <c r="O88" s="52">
        <f t="shared" si="295"/>
        <v>839808</v>
      </c>
      <c r="P88" s="52">
        <f t="shared" si="296"/>
        <v>10077696</v>
      </c>
      <c r="Q88" s="52">
        <f t="shared" ref="Q88:R88" si="305">SUM(D88*$E$143)*12</f>
        <v>3201120</v>
      </c>
      <c r="R88" s="52">
        <f t="shared" si="305"/>
        <v>2471040</v>
      </c>
      <c r="S88" s="52">
        <f t="shared" si="298"/>
        <v>13478400</v>
      </c>
      <c r="T88" s="52">
        <f t="shared" si="299"/>
        <v>36915840</v>
      </c>
      <c r="U88" s="52">
        <f t="shared" si="300"/>
        <v>56066400</v>
      </c>
      <c r="V88" s="52">
        <f t="shared" si="301"/>
        <v>15721205.76</v>
      </c>
      <c r="W88" s="52">
        <f t="shared" si="302"/>
        <v>71787605.76</v>
      </c>
      <c r="X88" s="52">
        <f t="shared" si="303"/>
        <v>149750000</v>
      </c>
      <c r="Y88" s="1"/>
      <c r="Z88" s="1"/>
    </row>
    <row r="89" ht="15.75" customHeight="1">
      <c r="A89" s="1"/>
      <c r="B89" s="45">
        <v>57.0</v>
      </c>
      <c r="C89" s="46" t="s">
        <v>130</v>
      </c>
      <c r="D89" s="51">
        <f t="shared" si="286"/>
        <v>4275000</v>
      </c>
      <c r="E89" s="52">
        <f t="shared" si="287"/>
        <v>3300000</v>
      </c>
      <c r="F89" s="52">
        <f t="shared" si="288"/>
        <v>3000000</v>
      </c>
      <c r="G89" s="52">
        <f t="shared" si="289"/>
        <v>2900000</v>
      </c>
      <c r="H89" s="53">
        <v>14.0</v>
      </c>
      <c r="I89" s="52">
        <f t="shared" ref="I89:J89" si="306">D89*12</f>
        <v>51300000</v>
      </c>
      <c r="J89" s="52">
        <f t="shared" si="306"/>
        <v>39600000</v>
      </c>
      <c r="K89" s="52">
        <f t="shared" si="291"/>
        <v>216000000</v>
      </c>
      <c r="L89" s="52">
        <f t="shared" si="292"/>
        <v>487200000</v>
      </c>
      <c r="M89" s="52">
        <f t="shared" si="293"/>
        <v>794100000</v>
      </c>
      <c r="N89" s="52">
        <f t="shared" si="294"/>
        <v>104976</v>
      </c>
      <c r="O89" s="52">
        <f t="shared" si="295"/>
        <v>839808</v>
      </c>
      <c r="P89" s="52">
        <f t="shared" si="296"/>
        <v>10077696</v>
      </c>
      <c r="Q89" s="52">
        <f t="shared" ref="Q89:R89" si="307">SUM(D89*$E$143)*12</f>
        <v>3201120</v>
      </c>
      <c r="R89" s="52">
        <f t="shared" si="307"/>
        <v>2471040</v>
      </c>
      <c r="S89" s="52">
        <f t="shared" si="298"/>
        <v>13478400</v>
      </c>
      <c r="T89" s="52">
        <f t="shared" si="299"/>
        <v>30401280</v>
      </c>
      <c r="U89" s="52">
        <f t="shared" si="300"/>
        <v>49551840</v>
      </c>
      <c r="V89" s="52">
        <f t="shared" si="301"/>
        <v>15721205.76</v>
      </c>
      <c r="W89" s="52">
        <f t="shared" si="302"/>
        <v>65273045.76</v>
      </c>
      <c r="X89" s="52">
        <f t="shared" si="303"/>
        <v>132350000</v>
      </c>
      <c r="Y89" s="1"/>
      <c r="Z89" s="1"/>
    </row>
    <row r="90" ht="15.75" customHeight="1">
      <c r="A90" s="1"/>
      <c r="B90" s="45">
        <v>58.0</v>
      </c>
      <c r="C90" s="46" t="s">
        <v>131</v>
      </c>
      <c r="D90" s="51">
        <f t="shared" si="286"/>
        <v>4275000</v>
      </c>
      <c r="E90" s="52">
        <f t="shared" si="287"/>
        <v>3300000</v>
      </c>
      <c r="F90" s="52">
        <f t="shared" si="288"/>
        <v>3000000</v>
      </c>
      <c r="G90" s="52">
        <f t="shared" si="289"/>
        <v>2900000</v>
      </c>
      <c r="H90" s="53">
        <v>18.0</v>
      </c>
      <c r="I90" s="52">
        <f t="shared" ref="I90:J90" si="308">D90*12</f>
        <v>51300000</v>
      </c>
      <c r="J90" s="52">
        <f t="shared" si="308"/>
        <v>39600000</v>
      </c>
      <c r="K90" s="52">
        <f t="shared" si="291"/>
        <v>216000000</v>
      </c>
      <c r="L90" s="52">
        <f t="shared" si="292"/>
        <v>626400000</v>
      </c>
      <c r="M90" s="52">
        <f t="shared" si="293"/>
        <v>933300000</v>
      </c>
      <c r="N90" s="52">
        <f t="shared" si="294"/>
        <v>104976</v>
      </c>
      <c r="O90" s="52">
        <f t="shared" si="295"/>
        <v>839808</v>
      </c>
      <c r="P90" s="52">
        <f t="shared" si="296"/>
        <v>10077696</v>
      </c>
      <c r="Q90" s="52">
        <f t="shared" ref="Q90:R90" si="309">SUM(D90*$E$143)*12</f>
        <v>3201120</v>
      </c>
      <c r="R90" s="52">
        <f t="shared" si="309"/>
        <v>2471040</v>
      </c>
      <c r="S90" s="52">
        <f t="shared" si="298"/>
        <v>13478400</v>
      </c>
      <c r="T90" s="52">
        <f t="shared" si="299"/>
        <v>39087360</v>
      </c>
      <c r="U90" s="52">
        <f t="shared" si="300"/>
        <v>58237920</v>
      </c>
      <c r="V90" s="52">
        <f t="shared" si="301"/>
        <v>15721205.76</v>
      </c>
      <c r="W90" s="52">
        <f t="shared" si="302"/>
        <v>73959125.76</v>
      </c>
      <c r="X90" s="52">
        <f t="shared" si="303"/>
        <v>155550000</v>
      </c>
      <c r="Y90" s="1"/>
      <c r="Z90" s="1"/>
    </row>
    <row r="91" ht="15.75" customHeight="1">
      <c r="A91" s="1"/>
      <c r="B91" s="45">
        <v>59.0</v>
      </c>
      <c r="C91" s="46" t="s">
        <v>132</v>
      </c>
      <c r="D91" s="51">
        <f t="shared" si="286"/>
        <v>4275000</v>
      </c>
      <c r="E91" s="52">
        <f t="shared" si="287"/>
        <v>3300000</v>
      </c>
      <c r="F91" s="52">
        <f t="shared" si="288"/>
        <v>3000000</v>
      </c>
      <c r="G91" s="52">
        <f t="shared" si="289"/>
        <v>2900000</v>
      </c>
      <c r="H91" s="53">
        <v>16.0</v>
      </c>
      <c r="I91" s="52">
        <f t="shared" ref="I91:J91" si="310">D91*12</f>
        <v>51300000</v>
      </c>
      <c r="J91" s="52">
        <f t="shared" si="310"/>
        <v>39600000</v>
      </c>
      <c r="K91" s="52">
        <f t="shared" si="291"/>
        <v>216000000</v>
      </c>
      <c r="L91" s="52">
        <f t="shared" si="292"/>
        <v>556800000</v>
      </c>
      <c r="M91" s="52">
        <f t="shared" si="293"/>
        <v>863700000</v>
      </c>
      <c r="N91" s="52">
        <f t="shared" si="294"/>
        <v>104976</v>
      </c>
      <c r="O91" s="52">
        <f t="shared" si="295"/>
        <v>839808</v>
      </c>
      <c r="P91" s="52">
        <f t="shared" si="296"/>
        <v>10077696</v>
      </c>
      <c r="Q91" s="52">
        <f t="shared" ref="Q91:R91" si="311">SUM(D91*$E$143)*12</f>
        <v>3201120</v>
      </c>
      <c r="R91" s="52">
        <f t="shared" si="311"/>
        <v>2471040</v>
      </c>
      <c r="S91" s="52">
        <f t="shared" si="298"/>
        <v>13478400</v>
      </c>
      <c r="T91" s="52">
        <f t="shared" si="299"/>
        <v>34744320</v>
      </c>
      <c r="U91" s="52">
        <f t="shared" si="300"/>
        <v>53894880</v>
      </c>
      <c r="V91" s="52">
        <f t="shared" si="301"/>
        <v>15721205.76</v>
      </c>
      <c r="W91" s="52">
        <f t="shared" si="302"/>
        <v>69616085.76</v>
      </c>
      <c r="X91" s="52">
        <f t="shared" si="303"/>
        <v>143950000</v>
      </c>
      <c r="Y91" s="1"/>
      <c r="Z91" s="1"/>
    </row>
    <row r="92" ht="15.75" customHeight="1">
      <c r="A92" s="1"/>
      <c r="B92" s="45" t="s">
        <v>133</v>
      </c>
      <c r="C92" s="46" t="s">
        <v>134</v>
      </c>
      <c r="D92" s="51"/>
      <c r="E92" s="52"/>
      <c r="F92" s="52"/>
      <c r="G92" s="52"/>
      <c r="H92" s="48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1"/>
      <c r="Z92" s="1"/>
    </row>
    <row r="93" ht="15.75" customHeight="1">
      <c r="A93" s="1"/>
      <c r="B93" s="45">
        <v>60.0</v>
      </c>
      <c r="C93" s="46" t="s">
        <v>135</v>
      </c>
      <c r="D93" s="51">
        <f t="shared" ref="D93:D97" si="314">$H$11</f>
        <v>4275000</v>
      </c>
      <c r="E93" s="52">
        <f t="shared" ref="E93:E97" si="315">$H$12</f>
        <v>3300000</v>
      </c>
      <c r="F93" s="52">
        <f t="shared" ref="F93:F97" si="316">$H$13</f>
        <v>3000000</v>
      </c>
      <c r="G93" s="52">
        <f t="shared" ref="G93:G97" si="317">$H$14</f>
        <v>2900000</v>
      </c>
      <c r="H93" s="53">
        <v>20.0</v>
      </c>
      <c r="I93" s="52">
        <f t="shared" ref="I93:J93" si="312">D93*12</f>
        <v>51300000</v>
      </c>
      <c r="J93" s="52">
        <f t="shared" si="312"/>
        <v>39600000</v>
      </c>
      <c r="K93" s="52">
        <f t="shared" ref="K93:K97" si="319">F93*6*12</f>
        <v>216000000</v>
      </c>
      <c r="L93" s="52">
        <f t="shared" ref="L93:L97" si="320">G93*H93*12</f>
        <v>696000000</v>
      </c>
      <c r="M93" s="52">
        <f t="shared" ref="M93:M97" si="321">SUM(I93:L93)</f>
        <v>1002900000</v>
      </c>
      <c r="N93" s="52">
        <f t="shared" ref="N93:N97" si="322">$E$135*$E$137</f>
        <v>104976</v>
      </c>
      <c r="O93" s="52">
        <f t="shared" ref="O93:O97" si="323">N93*8</f>
        <v>839808</v>
      </c>
      <c r="P93" s="52">
        <f t="shared" ref="P93:P97" si="324">O93*12</f>
        <v>10077696</v>
      </c>
      <c r="Q93" s="52">
        <f t="shared" ref="Q93:R93" si="313">SUM(D93*$E$143)*12</f>
        <v>3201120</v>
      </c>
      <c r="R93" s="52">
        <f t="shared" si="313"/>
        <v>2471040</v>
      </c>
      <c r="S93" s="52">
        <f t="shared" ref="S93:S97" si="326">SUM(F93*$E$143*6)*12</f>
        <v>13478400</v>
      </c>
      <c r="T93" s="52">
        <f t="shared" ref="T93:T97" si="327">SUM(G93*$E$143*H93)*12</f>
        <v>43430400</v>
      </c>
      <c r="U93" s="52">
        <f t="shared" ref="U93:U97" si="328">SUM(Q93:T93)</f>
        <v>62580960</v>
      </c>
      <c r="V93" s="52">
        <f t="shared" ref="V93:V97" si="329">SUM($E$135*$E$143*8)*12</f>
        <v>15721205.76</v>
      </c>
      <c r="W93" s="52">
        <f t="shared" ref="W93:W97" si="330">SUM(U93+V93)</f>
        <v>78302165.76</v>
      </c>
      <c r="X93" s="52">
        <f t="shared" ref="X93:X97" si="331">SUM(D93*2)+(E93*2)+(F93*6*2)+(G93*H93*2)</f>
        <v>167150000</v>
      </c>
      <c r="Y93" s="1"/>
      <c r="Z93" s="1"/>
    </row>
    <row r="94" ht="15.75" customHeight="1">
      <c r="A94" s="1"/>
      <c r="B94" s="45">
        <v>61.0</v>
      </c>
      <c r="C94" s="46" t="s">
        <v>136</v>
      </c>
      <c r="D94" s="51">
        <f t="shared" si="314"/>
        <v>4275000</v>
      </c>
      <c r="E94" s="52">
        <f t="shared" si="315"/>
        <v>3300000</v>
      </c>
      <c r="F94" s="52">
        <f t="shared" si="316"/>
        <v>3000000</v>
      </c>
      <c r="G94" s="52">
        <f t="shared" si="317"/>
        <v>2900000</v>
      </c>
      <c r="H94" s="53">
        <v>12.0</v>
      </c>
      <c r="I94" s="52">
        <f t="shared" ref="I94:J94" si="318">D94*12</f>
        <v>51300000</v>
      </c>
      <c r="J94" s="52">
        <f t="shared" si="318"/>
        <v>39600000</v>
      </c>
      <c r="K94" s="52">
        <f t="shared" si="319"/>
        <v>216000000</v>
      </c>
      <c r="L94" s="52">
        <f t="shared" si="320"/>
        <v>417600000</v>
      </c>
      <c r="M94" s="52">
        <f t="shared" si="321"/>
        <v>724500000</v>
      </c>
      <c r="N94" s="52">
        <f t="shared" si="322"/>
        <v>104976</v>
      </c>
      <c r="O94" s="52">
        <f t="shared" si="323"/>
        <v>839808</v>
      </c>
      <c r="P94" s="52">
        <f t="shared" si="324"/>
        <v>10077696</v>
      </c>
      <c r="Q94" s="52">
        <f t="shared" ref="Q94:R94" si="325">SUM(D94*$E$143)*12</f>
        <v>3201120</v>
      </c>
      <c r="R94" s="52">
        <f t="shared" si="325"/>
        <v>2471040</v>
      </c>
      <c r="S94" s="52">
        <f t="shared" si="326"/>
        <v>13478400</v>
      </c>
      <c r="T94" s="52">
        <f t="shared" si="327"/>
        <v>26058240</v>
      </c>
      <c r="U94" s="52">
        <f t="shared" si="328"/>
        <v>45208800</v>
      </c>
      <c r="V94" s="52">
        <f t="shared" si="329"/>
        <v>15721205.76</v>
      </c>
      <c r="W94" s="52">
        <f t="shared" si="330"/>
        <v>60930005.76</v>
      </c>
      <c r="X94" s="52">
        <f t="shared" si="331"/>
        <v>120750000</v>
      </c>
      <c r="Y94" s="1"/>
      <c r="Z94" s="1"/>
    </row>
    <row r="95" ht="15.75" customHeight="1">
      <c r="A95" s="1"/>
      <c r="B95" s="45">
        <v>62.0</v>
      </c>
      <c r="C95" s="46" t="s">
        <v>137</v>
      </c>
      <c r="D95" s="51">
        <f t="shared" si="314"/>
        <v>4275000</v>
      </c>
      <c r="E95" s="52">
        <f t="shared" si="315"/>
        <v>3300000</v>
      </c>
      <c r="F95" s="52">
        <f t="shared" si="316"/>
        <v>3000000</v>
      </c>
      <c r="G95" s="52">
        <f t="shared" si="317"/>
        <v>2900000</v>
      </c>
      <c r="H95" s="53">
        <v>15.0</v>
      </c>
      <c r="I95" s="52">
        <f t="shared" ref="I95:J95" si="332">D95*12</f>
        <v>51300000</v>
      </c>
      <c r="J95" s="52">
        <f t="shared" si="332"/>
        <v>39600000</v>
      </c>
      <c r="K95" s="52">
        <f t="shared" si="319"/>
        <v>216000000</v>
      </c>
      <c r="L95" s="52">
        <f t="shared" si="320"/>
        <v>522000000</v>
      </c>
      <c r="M95" s="52">
        <f t="shared" si="321"/>
        <v>828900000</v>
      </c>
      <c r="N95" s="52">
        <f t="shared" si="322"/>
        <v>104976</v>
      </c>
      <c r="O95" s="52">
        <f t="shared" si="323"/>
        <v>839808</v>
      </c>
      <c r="P95" s="52">
        <f t="shared" si="324"/>
        <v>10077696</v>
      </c>
      <c r="Q95" s="52">
        <f t="shared" ref="Q95:R95" si="333">SUM(D95*$E$143)*12</f>
        <v>3201120</v>
      </c>
      <c r="R95" s="52">
        <f t="shared" si="333"/>
        <v>2471040</v>
      </c>
      <c r="S95" s="52">
        <f t="shared" si="326"/>
        <v>13478400</v>
      </c>
      <c r="T95" s="52">
        <f t="shared" si="327"/>
        <v>32572800</v>
      </c>
      <c r="U95" s="52">
        <f t="shared" si="328"/>
        <v>51723360</v>
      </c>
      <c r="V95" s="52">
        <f t="shared" si="329"/>
        <v>15721205.76</v>
      </c>
      <c r="W95" s="52">
        <f t="shared" si="330"/>
        <v>67444565.76</v>
      </c>
      <c r="X95" s="52">
        <f t="shared" si="331"/>
        <v>138150000</v>
      </c>
      <c r="Y95" s="1"/>
      <c r="Z95" s="1"/>
    </row>
    <row r="96" ht="15.75" customHeight="1">
      <c r="A96" s="1"/>
      <c r="B96" s="45">
        <v>63.0</v>
      </c>
      <c r="C96" s="46" t="s">
        <v>138</v>
      </c>
      <c r="D96" s="51">
        <f t="shared" si="314"/>
        <v>4275000</v>
      </c>
      <c r="E96" s="52">
        <f t="shared" si="315"/>
        <v>3300000</v>
      </c>
      <c r="F96" s="52">
        <f t="shared" si="316"/>
        <v>3000000</v>
      </c>
      <c r="G96" s="52">
        <f t="shared" si="317"/>
        <v>2900000</v>
      </c>
      <c r="H96" s="53">
        <v>22.0</v>
      </c>
      <c r="I96" s="52">
        <f t="shared" ref="I96:J96" si="334">D96*12</f>
        <v>51300000</v>
      </c>
      <c r="J96" s="52">
        <f t="shared" si="334"/>
        <v>39600000</v>
      </c>
      <c r="K96" s="52">
        <f t="shared" si="319"/>
        <v>216000000</v>
      </c>
      <c r="L96" s="52">
        <f t="shared" si="320"/>
        <v>765600000</v>
      </c>
      <c r="M96" s="52">
        <f t="shared" si="321"/>
        <v>1072500000</v>
      </c>
      <c r="N96" s="52">
        <f t="shared" si="322"/>
        <v>104976</v>
      </c>
      <c r="O96" s="52">
        <f t="shared" si="323"/>
        <v>839808</v>
      </c>
      <c r="P96" s="52">
        <f t="shared" si="324"/>
        <v>10077696</v>
      </c>
      <c r="Q96" s="52">
        <f t="shared" ref="Q96:R96" si="335">SUM(D96*$E$143)*12</f>
        <v>3201120</v>
      </c>
      <c r="R96" s="52">
        <f t="shared" si="335"/>
        <v>2471040</v>
      </c>
      <c r="S96" s="52">
        <f t="shared" si="326"/>
        <v>13478400</v>
      </c>
      <c r="T96" s="52">
        <f t="shared" si="327"/>
        <v>47773440</v>
      </c>
      <c r="U96" s="52">
        <f t="shared" si="328"/>
        <v>66924000</v>
      </c>
      <c r="V96" s="52">
        <f t="shared" si="329"/>
        <v>15721205.76</v>
      </c>
      <c r="W96" s="52">
        <f t="shared" si="330"/>
        <v>82645205.76</v>
      </c>
      <c r="X96" s="52">
        <f t="shared" si="331"/>
        <v>178750000</v>
      </c>
      <c r="Y96" s="1"/>
      <c r="Z96" s="1"/>
    </row>
    <row r="97" ht="15.75" customHeight="1">
      <c r="A97" s="1"/>
      <c r="B97" s="45">
        <v>64.0</v>
      </c>
      <c r="C97" s="46" t="s">
        <v>139</v>
      </c>
      <c r="D97" s="51">
        <f t="shared" si="314"/>
        <v>4275000</v>
      </c>
      <c r="E97" s="52">
        <f t="shared" si="315"/>
        <v>3300000</v>
      </c>
      <c r="F97" s="52">
        <f t="shared" si="316"/>
        <v>3000000</v>
      </c>
      <c r="G97" s="52">
        <f t="shared" si="317"/>
        <v>2900000</v>
      </c>
      <c r="H97" s="53">
        <v>14.0</v>
      </c>
      <c r="I97" s="52">
        <f t="shared" ref="I97:J97" si="336">D97*12</f>
        <v>51300000</v>
      </c>
      <c r="J97" s="52">
        <f t="shared" si="336"/>
        <v>39600000</v>
      </c>
      <c r="K97" s="52">
        <f t="shared" si="319"/>
        <v>216000000</v>
      </c>
      <c r="L97" s="52">
        <f t="shared" si="320"/>
        <v>487200000</v>
      </c>
      <c r="M97" s="52">
        <f t="shared" si="321"/>
        <v>794100000</v>
      </c>
      <c r="N97" s="52">
        <f t="shared" si="322"/>
        <v>104976</v>
      </c>
      <c r="O97" s="52">
        <f t="shared" si="323"/>
        <v>839808</v>
      </c>
      <c r="P97" s="52">
        <f t="shared" si="324"/>
        <v>10077696</v>
      </c>
      <c r="Q97" s="52">
        <f t="shared" ref="Q97:R97" si="337">SUM(D97*$E$143)*12</f>
        <v>3201120</v>
      </c>
      <c r="R97" s="52">
        <f t="shared" si="337"/>
        <v>2471040</v>
      </c>
      <c r="S97" s="52">
        <f t="shared" si="326"/>
        <v>13478400</v>
      </c>
      <c r="T97" s="52">
        <f t="shared" si="327"/>
        <v>30401280</v>
      </c>
      <c r="U97" s="52">
        <f t="shared" si="328"/>
        <v>49551840</v>
      </c>
      <c r="V97" s="52">
        <f t="shared" si="329"/>
        <v>15721205.76</v>
      </c>
      <c r="W97" s="52">
        <f t="shared" si="330"/>
        <v>65273045.76</v>
      </c>
      <c r="X97" s="52">
        <f t="shared" si="331"/>
        <v>132350000</v>
      </c>
      <c r="Y97" s="1"/>
      <c r="Z97" s="1"/>
    </row>
    <row r="98" ht="15.75" customHeight="1">
      <c r="A98" s="1"/>
      <c r="B98" s="45" t="s">
        <v>140</v>
      </c>
      <c r="C98" s="46" t="s">
        <v>141</v>
      </c>
      <c r="D98" s="51"/>
      <c r="E98" s="52"/>
      <c r="F98" s="52"/>
      <c r="G98" s="52"/>
      <c r="H98" s="48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1"/>
      <c r="Z98" s="1"/>
    </row>
    <row r="99" ht="15.75" customHeight="1">
      <c r="A99" s="1"/>
      <c r="B99" s="45">
        <v>65.0</v>
      </c>
      <c r="C99" s="46" t="s">
        <v>142</v>
      </c>
      <c r="D99" s="51">
        <f t="shared" ref="D99:D106" si="340">$H$11</f>
        <v>4275000</v>
      </c>
      <c r="E99" s="52">
        <f t="shared" ref="E99:E106" si="341">$H$12</f>
        <v>3300000</v>
      </c>
      <c r="F99" s="52">
        <f t="shared" ref="F99:F106" si="342">$H$13</f>
        <v>3000000</v>
      </c>
      <c r="G99" s="52">
        <f t="shared" ref="G99:G106" si="343">$H$14</f>
        <v>2900000</v>
      </c>
      <c r="H99" s="53">
        <v>14.0</v>
      </c>
      <c r="I99" s="52">
        <f t="shared" ref="I99:J99" si="338">D99*12</f>
        <v>51300000</v>
      </c>
      <c r="J99" s="52">
        <f t="shared" si="338"/>
        <v>39600000</v>
      </c>
      <c r="K99" s="52">
        <f t="shared" ref="K99:K106" si="345">F99*6*12</f>
        <v>216000000</v>
      </c>
      <c r="L99" s="52">
        <f t="shared" ref="L99:L106" si="346">G99*H99*12</f>
        <v>487200000</v>
      </c>
      <c r="M99" s="52">
        <f t="shared" ref="M99:M106" si="347">SUM(I99:L99)</f>
        <v>794100000</v>
      </c>
      <c r="N99" s="52">
        <f t="shared" ref="N99:N106" si="348">$E$135*$E$137</f>
        <v>104976</v>
      </c>
      <c r="O99" s="52">
        <f t="shared" ref="O99:O106" si="349">N99*8</f>
        <v>839808</v>
      </c>
      <c r="P99" s="52">
        <f t="shared" ref="P99:P106" si="350">O99*12</f>
        <v>10077696</v>
      </c>
      <c r="Q99" s="52">
        <f t="shared" ref="Q99:R99" si="339">SUM(D99*$E$143)*12</f>
        <v>3201120</v>
      </c>
      <c r="R99" s="52">
        <f t="shared" si="339"/>
        <v>2471040</v>
      </c>
      <c r="S99" s="52">
        <f t="shared" ref="S99:S106" si="352">SUM(F99*$E$143*6)*12</f>
        <v>13478400</v>
      </c>
      <c r="T99" s="52">
        <f t="shared" ref="T99:T106" si="353">SUM(G99*$E$143*H99)*12</f>
        <v>30401280</v>
      </c>
      <c r="U99" s="52">
        <f t="shared" ref="U99:U106" si="354">SUM(Q99:T99)</f>
        <v>49551840</v>
      </c>
      <c r="V99" s="52">
        <f t="shared" ref="V99:V106" si="355">SUM($E$135*$E$143*8)*12</f>
        <v>15721205.76</v>
      </c>
      <c r="W99" s="52">
        <f t="shared" ref="W99:W106" si="356">SUM(U99+V99)</f>
        <v>65273045.76</v>
      </c>
      <c r="X99" s="52">
        <f t="shared" ref="X99:X106" si="357">SUM(D99*2)+(E99*2)+(F99*6*2)+(G99*H99*2)</f>
        <v>132350000</v>
      </c>
      <c r="Y99" s="1"/>
      <c r="Z99" s="1"/>
    </row>
    <row r="100" ht="15.75" customHeight="1">
      <c r="A100" s="1"/>
      <c r="B100" s="45">
        <v>66.0</v>
      </c>
      <c r="C100" s="46" t="s">
        <v>143</v>
      </c>
      <c r="D100" s="51">
        <f t="shared" si="340"/>
        <v>4275000</v>
      </c>
      <c r="E100" s="52">
        <f t="shared" si="341"/>
        <v>3300000</v>
      </c>
      <c r="F100" s="52">
        <f t="shared" si="342"/>
        <v>3000000</v>
      </c>
      <c r="G100" s="52">
        <f t="shared" si="343"/>
        <v>2900000</v>
      </c>
      <c r="H100" s="53">
        <v>11.0</v>
      </c>
      <c r="I100" s="52">
        <f t="shared" ref="I100:J100" si="344">D100*12</f>
        <v>51300000</v>
      </c>
      <c r="J100" s="52">
        <f t="shared" si="344"/>
        <v>39600000</v>
      </c>
      <c r="K100" s="52">
        <f t="shared" si="345"/>
        <v>216000000</v>
      </c>
      <c r="L100" s="52">
        <f t="shared" si="346"/>
        <v>382800000</v>
      </c>
      <c r="M100" s="52">
        <f t="shared" si="347"/>
        <v>689700000</v>
      </c>
      <c r="N100" s="52">
        <f t="shared" si="348"/>
        <v>104976</v>
      </c>
      <c r="O100" s="52">
        <f t="shared" si="349"/>
        <v>839808</v>
      </c>
      <c r="P100" s="52">
        <f t="shared" si="350"/>
        <v>10077696</v>
      </c>
      <c r="Q100" s="52">
        <f t="shared" ref="Q100:R100" si="351">SUM(D100*$E$143)*12</f>
        <v>3201120</v>
      </c>
      <c r="R100" s="52">
        <f t="shared" si="351"/>
        <v>2471040</v>
      </c>
      <c r="S100" s="52">
        <f t="shared" si="352"/>
        <v>13478400</v>
      </c>
      <c r="T100" s="52">
        <f t="shared" si="353"/>
        <v>23886720</v>
      </c>
      <c r="U100" s="52">
        <f t="shared" si="354"/>
        <v>43037280</v>
      </c>
      <c r="V100" s="52">
        <f t="shared" si="355"/>
        <v>15721205.76</v>
      </c>
      <c r="W100" s="52">
        <f t="shared" si="356"/>
        <v>58758485.76</v>
      </c>
      <c r="X100" s="52">
        <f t="shared" si="357"/>
        <v>114950000</v>
      </c>
      <c r="Y100" s="1"/>
      <c r="Z100" s="1"/>
    </row>
    <row r="101" ht="15.75" customHeight="1">
      <c r="A101" s="1"/>
      <c r="B101" s="45">
        <v>67.0</v>
      </c>
      <c r="C101" s="46" t="s">
        <v>144</v>
      </c>
      <c r="D101" s="51">
        <f t="shared" si="340"/>
        <v>4275000</v>
      </c>
      <c r="E101" s="52">
        <f t="shared" si="341"/>
        <v>3300000</v>
      </c>
      <c r="F101" s="52">
        <f t="shared" si="342"/>
        <v>3000000</v>
      </c>
      <c r="G101" s="52">
        <f t="shared" si="343"/>
        <v>2900000</v>
      </c>
      <c r="H101" s="53">
        <v>10.0</v>
      </c>
      <c r="I101" s="52">
        <f t="shared" ref="I101:J101" si="358">D101*12</f>
        <v>51300000</v>
      </c>
      <c r="J101" s="52">
        <f t="shared" si="358"/>
        <v>39600000</v>
      </c>
      <c r="K101" s="52">
        <f t="shared" si="345"/>
        <v>216000000</v>
      </c>
      <c r="L101" s="52">
        <f t="shared" si="346"/>
        <v>348000000</v>
      </c>
      <c r="M101" s="52">
        <f t="shared" si="347"/>
        <v>654900000</v>
      </c>
      <c r="N101" s="52">
        <f t="shared" si="348"/>
        <v>104976</v>
      </c>
      <c r="O101" s="52">
        <f t="shared" si="349"/>
        <v>839808</v>
      </c>
      <c r="P101" s="52">
        <f t="shared" si="350"/>
        <v>10077696</v>
      </c>
      <c r="Q101" s="52">
        <f t="shared" ref="Q101:R101" si="359">SUM(D101*$E$143)*12</f>
        <v>3201120</v>
      </c>
      <c r="R101" s="52">
        <f t="shared" si="359"/>
        <v>2471040</v>
      </c>
      <c r="S101" s="52">
        <f t="shared" si="352"/>
        <v>13478400</v>
      </c>
      <c r="T101" s="52">
        <f t="shared" si="353"/>
        <v>21715200</v>
      </c>
      <c r="U101" s="52">
        <f t="shared" si="354"/>
        <v>40865760</v>
      </c>
      <c r="V101" s="52">
        <f t="shared" si="355"/>
        <v>15721205.76</v>
      </c>
      <c r="W101" s="52">
        <f t="shared" si="356"/>
        <v>56586965.76</v>
      </c>
      <c r="X101" s="52">
        <f t="shared" si="357"/>
        <v>109150000</v>
      </c>
      <c r="Y101" s="1"/>
      <c r="Z101" s="1"/>
    </row>
    <row r="102" ht="15.75" customHeight="1">
      <c r="A102" s="1"/>
      <c r="B102" s="45">
        <v>68.0</v>
      </c>
      <c r="C102" s="46" t="s">
        <v>145</v>
      </c>
      <c r="D102" s="51">
        <f t="shared" si="340"/>
        <v>4275000</v>
      </c>
      <c r="E102" s="52">
        <f t="shared" si="341"/>
        <v>3300000</v>
      </c>
      <c r="F102" s="52">
        <f t="shared" si="342"/>
        <v>3000000</v>
      </c>
      <c r="G102" s="52">
        <f t="shared" si="343"/>
        <v>2900000</v>
      </c>
      <c r="H102" s="53">
        <v>9.0</v>
      </c>
      <c r="I102" s="52">
        <f t="shared" ref="I102:J102" si="360">D102*12</f>
        <v>51300000</v>
      </c>
      <c r="J102" s="52">
        <f t="shared" si="360"/>
        <v>39600000</v>
      </c>
      <c r="K102" s="52">
        <f t="shared" si="345"/>
        <v>216000000</v>
      </c>
      <c r="L102" s="52">
        <f t="shared" si="346"/>
        <v>313200000</v>
      </c>
      <c r="M102" s="52">
        <f t="shared" si="347"/>
        <v>620100000</v>
      </c>
      <c r="N102" s="52">
        <f t="shared" si="348"/>
        <v>104976</v>
      </c>
      <c r="O102" s="52">
        <f t="shared" si="349"/>
        <v>839808</v>
      </c>
      <c r="P102" s="52">
        <f t="shared" si="350"/>
        <v>10077696</v>
      </c>
      <c r="Q102" s="52">
        <f t="shared" ref="Q102:R102" si="361">SUM(D102*$E$143)*12</f>
        <v>3201120</v>
      </c>
      <c r="R102" s="52">
        <f t="shared" si="361"/>
        <v>2471040</v>
      </c>
      <c r="S102" s="52">
        <f t="shared" si="352"/>
        <v>13478400</v>
      </c>
      <c r="T102" s="52">
        <f t="shared" si="353"/>
        <v>19543680</v>
      </c>
      <c r="U102" s="52">
        <f t="shared" si="354"/>
        <v>38694240</v>
      </c>
      <c r="V102" s="52">
        <f t="shared" si="355"/>
        <v>15721205.76</v>
      </c>
      <c r="W102" s="52">
        <f t="shared" si="356"/>
        <v>54415445.76</v>
      </c>
      <c r="X102" s="52">
        <f t="shared" si="357"/>
        <v>103350000</v>
      </c>
      <c r="Y102" s="1"/>
      <c r="Z102" s="1"/>
    </row>
    <row r="103" ht="15.75" customHeight="1">
      <c r="A103" s="1"/>
      <c r="B103" s="45">
        <v>69.0</v>
      </c>
      <c r="C103" s="46" t="s">
        <v>146</v>
      </c>
      <c r="D103" s="51">
        <f t="shared" si="340"/>
        <v>4275000</v>
      </c>
      <c r="E103" s="52">
        <f t="shared" si="341"/>
        <v>3300000</v>
      </c>
      <c r="F103" s="52">
        <f t="shared" si="342"/>
        <v>3000000</v>
      </c>
      <c r="G103" s="52">
        <f t="shared" si="343"/>
        <v>2900000</v>
      </c>
      <c r="H103" s="53">
        <v>13.0</v>
      </c>
      <c r="I103" s="52">
        <f t="shared" ref="I103:J103" si="362">D103*12</f>
        <v>51300000</v>
      </c>
      <c r="J103" s="52">
        <f t="shared" si="362"/>
        <v>39600000</v>
      </c>
      <c r="K103" s="52">
        <f t="shared" si="345"/>
        <v>216000000</v>
      </c>
      <c r="L103" s="52">
        <f t="shared" si="346"/>
        <v>452400000</v>
      </c>
      <c r="M103" s="52">
        <f t="shared" si="347"/>
        <v>759300000</v>
      </c>
      <c r="N103" s="52">
        <f t="shared" si="348"/>
        <v>104976</v>
      </c>
      <c r="O103" s="52">
        <f t="shared" si="349"/>
        <v>839808</v>
      </c>
      <c r="P103" s="52">
        <f t="shared" si="350"/>
        <v>10077696</v>
      </c>
      <c r="Q103" s="52">
        <f t="shared" ref="Q103:R103" si="363">SUM(D103*$E$143)*12</f>
        <v>3201120</v>
      </c>
      <c r="R103" s="52">
        <f t="shared" si="363"/>
        <v>2471040</v>
      </c>
      <c r="S103" s="52">
        <f t="shared" si="352"/>
        <v>13478400</v>
      </c>
      <c r="T103" s="52">
        <f t="shared" si="353"/>
        <v>28229760</v>
      </c>
      <c r="U103" s="52">
        <f t="shared" si="354"/>
        <v>47380320</v>
      </c>
      <c r="V103" s="52">
        <f t="shared" si="355"/>
        <v>15721205.76</v>
      </c>
      <c r="W103" s="52">
        <f t="shared" si="356"/>
        <v>63101525.76</v>
      </c>
      <c r="X103" s="52">
        <f t="shared" si="357"/>
        <v>126550000</v>
      </c>
      <c r="Y103" s="1"/>
      <c r="Z103" s="1"/>
    </row>
    <row r="104" ht="15.75" customHeight="1">
      <c r="A104" s="1"/>
      <c r="B104" s="45">
        <v>70.0</v>
      </c>
      <c r="C104" s="46" t="s">
        <v>147</v>
      </c>
      <c r="D104" s="51">
        <f t="shared" si="340"/>
        <v>4275000</v>
      </c>
      <c r="E104" s="52">
        <f t="shared" si="341"/>
        <v>3300000</v>
      </c>
      <c r="F104" s="52">
        <f t="shared" si="342"/>
        <v>3000000</v>
      </c>
      <c r="G104" s="52">
        <f t="shared" si="343"/>
        <v>2900000</v>
      </c>
      <c r="H104" s="53">
        <v>14.0</v>
      </c>
      <c r="I104" s="52">
        <f t="shared" ref="I104:J104" si="364">D104*12</f>
        <v>51300000</v>
      </c>
      <c r="J104" s="52">
        <f t="shared" si="364"/>
        <v>39600000</v>
      </c>
      <c r="K104" s="52">
        <f t="shared" si="345"/>
        <v>216000000</v>
      </c>
      <c r="L104" s="52">
        <f t="shared" si="346"/>
        <v>487200000</v>
      </c>
      <c r="M104" s="52">
        <f t="shared" si="347"/>
        <v>794100000</v>
      </c>
      <c r="N104" s="52">
        <f t="shared" si="348"/>
        <v>104976</v>
      </c>
      <c r="O104" s="52">
        <f t="shared" si="349"/>
        <v>839808</v>
      </c>
      <c r="P104" s="52">
        <f t="shared" si="350"/>
        <v>10077696</v>
      </c>
      <c r="Q104" s="52">
        <f t="shared" ref="Q104:R104" si="365">SUM(D104*$E$143)*12</f>
        <v>3201120</v>
      </c>
      <c r="R104" s="52">
        <f t="shared" si="365"/>
        <v>2471040</v>
      </c>
      <c r="S104" s="52">
        <f t="shared" si="352"/>
        <v>13478400</v>
      </c>
      <c r="T104" s="52">
        <f t="shared" si="353"/>
        <v>30401280</v>
      </c>
      <c r="U104" s="52">
        <f t="shared" si="354"/>
        <v>49551840</v>
      </c>
      <c r="V104" s="52">
        <f t="shared" si="355"/>
        <v>15721205.76</v>
      </c>
      <c r="W104" s="52">
        <f t="shared" si="356"/>
        <v>65273045.76</v>
      </c>
      <c r="X104" s="52">
        <f t="shared" si="357"/>
        <v>132350000</v>
      </c>
      <c r="Y104" s="1"/>
      <c r="Z104" s="1"/>
    </row>
    <row r="105" ht="15.75" customHeight="1">
      <c r="A105" s="1"/>
      <c r="B105" s="45">
        <v>71.0</v>
      </c>
      <c r="C105" s="46" t="s">
        <v>148</v>
      </c>
      <c r="D105" s="51">
        <f t="shared" si="340"/>
        <v>4275000</v>
      </c>
      <c r="E105" s="52">
        <f t="shared" si="341"/>
        <v>3300000</v>
      </c>
      <c r="F105" s="52">
        <f t="shared" si="342"/>
        <v>3000000</v>
      </c>
      <c r="G105" s="52">
        <f t="shared" si="343"/>
        <v>2900000</v>
      </c>
      <c r="H105" s="53">
        <v>10.0</v>
      </c>
      <c r="I105" s="52">
        <f t="shared" ref="I105:J105" si="366">D105*12</f>
        <v>51300000</v>
      </c>
      <c r="J105" s="52">
        <f t="shared" si="366"/>
        <v>39600000</v>
      </c>
      <c r="K105" s="52">
        <f t="shared" si="345"/>
        <v>216000000</v>
      </c>
      <c r="L105" s="52">
        <f t="shared" si="346"/>
        <v>348000000</v>
      </c>
      <c r="M105" s="52">
        <f t="shared" si="347"/>
        <v>654900000</v>
      </c>
      <c r="N105" s="52">
        <f t="shared" si="348"/>
        <v>104976</v>
      </c>
      <c r="O105" s="52">
        <f t="shared" si="349"/>
        <v>839808</v>
      </c>
      <c r="P105" s="52">
        <f t="shared" si="350"/>
        <v>10077696</v>
      </c>
      <c r="Q105" s="52">
        <f t="shared" ref="Q105:R105" si="367">SUM(D105*$E$143)*12</f>
        <v>3201120</v>
      </c>
      <c r="R105" s="52">
        <f t="shared" si="367"/>
        <v>2471040</v>
      </c>
      <c r="S105" s="52">
        <f t="shared" si="352"/>
        <v>13478400</v>
      </c>
      <c r="T105" s="52">
        <f t="shared" si="353"/>
        <v>21715200</v>
      </c>
      <c r="U105" s="52">
        <f t="shared" si="354"/>
        <v>40865760</v>
      </c>
      <c r="V105" s="52">
        <f t="shared" si="355"/>
        <v>15721205.76</v>
      </c>
      <c r="W105" s="52">
        <f t="shared" si="356"/>
        <v>56586965.76</v>
      </c>
      <c r="X105" s="52">
        <f t="shared" si="357"/>
        <v>109150000</v>
      </c>
      <c r="Y105" s="1"/>
      <c r="Z105" s="1"/>
    </row>
    <row r="106" ht="15.75" customHeight="1">
      <c r="A106" s="1"/>
      <c r="B106" s="45">
        <v>72.0</v>
      </c>
      <c r="C106" s="46" t="s">
        <v>149</v>
      </c>
      <c r="D106" s="51">
        <f t="shared" si="340"/>
        <v>4275000</v>
      </c>
      <c r="E106" s="52">
        <f t="shared" si="341"/>
        <v>3300000</v>
      </c>
      <c r="F106" s="52">
        <f t="shared" si="342"/>
        <v>3000000</v>
      </c>
      <c r="G106" s="52">
        <f t="shared" si="343"/>
        <v>2900000</v>
      </c>
      <c r="H106" s="53">
        <v>17.0</v>
      </c>
      <c r="I106" s="52">
        <f t="shared" ref="I106:J106" si="368">D106*12</f>
        <v>51300000</v>
      </c>
      <c r="J106" s="52">
        <f t="shared" si="368"/>
        <v>39600000</v>
      </c>
      <c r="K106" s="52">
        <f t="shared" si="345"/>
        <v>216000000</v>
      </c>
      <c r="L106" s="52">
        <f t="shared" si="346"/>
        <v>591600000</v>
      </c>
      <c r="M106" s="52">
        <f t="shared" si="347"/>
        <v>898500000</v>
      </c>
      <c r="N106" s="52">
        <f t="shared" si="348"/>
        <v>104976</v>
      </c>
      <c r="O106" s="52">
        <f t="shared" si="349"/>
        <v>839808</v>
      </c>
      <c r="P106" s="52">
        <f t="shared" si="350"/>
        <v>10077696</v>
      </c>
      <c r="Q106" s="52">
        <f t="shared" ref="Q106:R106" si="369">SUM(D106*$E$143)*12</f>
        <v>3201120</v>
      </c>
      <c r="R106" s="52">
        <f t="shared" si="369"/>
        <v>2471040</v>
      </c>
      <c r="S106" s="52">
        <f t="shared" si="352"/>
        <v>13478400</v>
      </c>
      <c r="T106" s="52">
        <f t="shared" si="353"/>
        <v>36915840</v>
      </c>
      <c r="U106" s="52">
        <f t="shared" si="354"/>
        <v>56066400</v>
      </c>
      <c r="V106" s="52">
        <f t="shared" si="355"/>
        <v>15721205.76</v>
      </c>
      <c r="W106" s="52">
        <f t="shared" si="356"/>
        <v>71787605.76</v>
      </c>
      <c r="X106" s="52">
        <f t="shared" si="357"/>
        <v>149750000</v>
      </c>
      <c r="Y106" s="1"/>
      <c r="Z106" s="1"/>
    </row>
    <row r="107" ht="15.75" customHeight="1">
      <c r="A107" s="1"/>
      <c r="B107" s="45" t="s">
        <v>150</v>
      </c>
      <c r="C107" s="46" t="s">
        <v>151</v>
      </c>
      <c r="D107" s="51"/>
      <c r="E107" s="52"/>
      <c r="F107" s="52"/>
      <c r="G107" s="52"/>
      <c r="H107" s="48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1"/>
      <c r="Z107" s="1"/>
    </row>
    <row r="108" ht="15.75" customHeight="1">
      <c r="A108" s="1"/>
      <c r="B108" s="45">
        <v>73.0</v>
      </c>
      <c r="C108" s="46" t="s">
        <v>152</v>
      </c>
      <c r="D108" s="51">
        <f t="shared" ref="D108:D111" si="372">$H$11</f>
        <v>4275000</v>
      </c>
      <c r="E108" s="52">
        <f t="shared" ref="E108:E111" si="373">$H$12</f>
        <v>3300000</v>
      </c>
      <c r="F108" s="52">
        <f t="shared" ref="F108:F111" si="374">$H$13</f>
        <v>3000000</v>
      </c>
      <c r="G108" s="52">
        <f t="shared" ref="G108:G111" si="375">$H$14</f>
        <v>2900000</v>
      </c>
      <c r="H108" s="53">
        <v>12.0</v>
      </c>
      <c r="I108" s="52">
        <f t="shared" ref="I108:J108" si="370">D108*12</f>
        <v>51300000</v>
      </c>
      <c r="J108" s="52">
        <f t="shared" si="370"/>
        <v>39600000</v>
      </c>
      <c r="K108" s="52">
        <f t="shared" ref="K108:K111" si="377">F108*6*12</f>
        <v>216000000</v>
      </c>
      <c r="L108" s="52">
        <f t="shared" ref="L108:L111" si="378">G108*H108*12</f>
        <v>417600000</v>
      </c>
      <c r="M108" s="52">
        <f t="shared" ref="M108:M111" si="379">SUM(I108:L108)</f>
        <v>724500000</v>
      </c>
      <c r="N108" s="52">
        <f t="shared" ref="N108:N111" si="380">$E$135*$E$137</f>
        <v>104976</v>
      </c>
      <c r="O108" s="52">
        <f t="shared" ref="O108:O111" si="381">N108*8</f>
        <v>839808</v>
      </c>
      <c r="P108" s="52">
        <f t="shared" ref="P108:P111" si="382">O108*12</f>
        <v>10077696</v>
      </c>
      <c r="Q108" s="52">
        <f t="shared" ref="Q108:R108" si="371">SUM(D108*$E$143)*12</f>
        <v>3201120</v>
      </c>
      <c r="R108" s="52">
        <f t="shared" si="371"/>
        <v>2471040</v>
      </c>
      <c r="S108" s="52">
        <f t="shared" ref="S108:S111" si="384">SUM(F108*$E$143*6)*12</f>
        <v>13478400</v>
      </c>
      <c r="T108" s="52">
        <f t="shared" ref="T108:T111" si="385">SUM(G108*$E$143*H108)*12</f>
        <v>26058240</v>
      </c>
      <c r="U108" s="52">
        <f t="shared" ref="U108:U111" si="386">SUM(Q108:T108)</f>
        <v>45208800</v>
      </c>
      <c r="V108" s="52">
        <f t="shared" ref="V108:V111" si="387">SUM($E$135*$E$143*8)*12</f>
        <v>15721205.76</v>
      </c>
      <c r="W108" s="52">
        <f t="shared" ref="W108:W111" si="388">SUM(U108+V108)</f>
        <v>60930005.76</v>
      </c>
      <c r="X108" s="52">
        <f t="shared" ref="X108:X111" si="389">SUM(D108*2)+(E108*2)+(F108*6*2)+(G108*H108*2)</f>
        <v>120750000</v>
      </c>
      <c r="Y108" s="1"/>
      <c r="Z108" s="1"/>
    </row>
    <row r="109" ht="15.75" customHeight="1">
      <c r="A109" s="1"/>
      <c r="B109" s="45">
        <v>74.0</v>
      </c>
      <c r="C109" s="46" t="s">
        <v>153</v>
      </c>
      <c r="D109" s="51">
        <f t="shared" si="372"/>
        <v>4275000</v>
      </c>
      <c r="E109" s="52">
        <f t="shared" si="373"/>
        <v>3300000</v>
      </c>
      <c r="F109" s="52">
        <f t="shared" si="374"/>
        <v>3000000</v>
      </c>
      <c r="G109" s="52">
        <f t="shared" si="375"/>
        <v>2900000</v>
      </c>
      <c r="H109" s="53">
        <v>16.0</v>
      </c>
      <c r="I109" s="52">
        <f t="shared" ref="I109:J109" si="376">D109*12</f>
        <v>51300000</v>
      </c>
      <c r="J109" s="52">
        <f t="shared" si="376"/>
        <v>39600000</v>
      </c>
      <c r="K109" s="52">
        <f t="shared" si="377"/>
        <v>216000000</v>
      </c>
      <c r="L109" s="52">
        <f t="shared" si="378"/>
        <v>556800000</v>
      </c>
      <c r="M109" s="52">
        <f t="shared" si="379"/>
        <v>863700000</v>
      </c>
      <c r="N109" s="52">
        <f t="shared" si="380"/>
        <v>104976</v>
      </c>
      <c r="O109" s="52">
        <f t="shared" si="381"/>
        <v>839808</v>
      </c>
      <c r="P109" s="52">
        <f t="shared" si="382"/>
        <v>10077696</v>
      </c>
      <c r="Q109" s="52">
        <f t="shared" ref="Q109:R109" si="383">SUM(D109*$E$143)*12</f>
        <v>3201120</v>
      </c>
      <c r="R109" s="52">
        <f t="shared" si="383"/>
        <v>2471040</v>
      </c>
      <c r="S109" s="52">
        <f t="shared" si="384"/>
        <v>13478400</v>
      </c>
      <c r="T109" s="52">
        <f t="shared" si="385"/>
        <v>34744320</v>
      </c>
      <c r="U109" s="52">
        <f t="shared" si="386"/>
        <v>53894880</v>
      </c>
      <c r="V109" s="52">
        <f t="shared" si="387"/>
        <v>15721205.76</v>
      </c>
      <c r="W109" s="52">
        <f t="shared" si="388"/>
        <v>69616085.76</v>
      </c>
      <c r="X109" s="52">
        <f t="shared" si="389"/>
        <v>143950000</v>
      </c>
      <c r="Y109" s="1"/>
      <c r="Z109" s="1"/>
    </row>
    <row r="110" ht="15.75" customHeight="1">
      <c r="A110" s="1"/>
      <c r="B110" s="45">
        <v>75.0</v>
      </c>
      <c r="C110" s="46" t="s">
        <v>154</v>
      </c>
      <c r="D110" s="51">
        <f t="shared" si="372"/>
        <v>4275000</v>
      </c>
      <c r="E110" s="52">
        <f t="shared" si="373"/>
        <v>3300000</v>
      </c>
      <c r="F110" s="52">
        <f t="shared" si="374"/>
        <v>3000000</v>
      </c>
      <c r="G110" s="52">
        <f t="shared" si="375"/>
        <v>2900000</v>
      </c>
      <c r="H110" s="53">
        <v>13.0</v>
      </c>
      <c r="I110" s="52">
        <f t="shared" ref="I110:J110" si="390">D110*12</f>
        <v>51300000</v>
      </c>
      <c r="J110" s="52">
        <f t="shared" si="390"/>
        <v>39600000</v>
      </c>
      <c r="K110" s="52">
        <f t="shared" si="377"/>
        <v>216000000</v>
      </c>
      <c r="L110" s="52">
        <f t="shared" si="378"/>
        <v>452400000</v>
      </c>
      <c r="M110" s="52">
        <f t="shared" si="379"/>
        <v>759300000</v>
      </c>
      <c r="N110" s="52">
        <f t="shared" si="380"/>
        <v>104976</v>
      </c>
      <c r="O110" s="52">
        <f t="shared" si="381"/>
        <v>839808</v>
      </c>
      <c r="P110" s="52">
        <f t="shared" si="382"/>
        <v>10077696</v>
      </c>
      <c r="Q110" s="52">
        <f t="shared" ref="Q110:R110" si="391">SUM(D110*$E$143)*12</f>
        <v>3201120</v>
      </c>
      <c r="R110" s="52">
        <f t="shared" si="391"/>
        <v>2471040</v>
      </c>
      <c r="S110" s="52">
        <f t="shared" si="384"/>
        <v>13478400</v>
      </c>
      <c r="T110" s="52">
        <f t="shared" si="385"/>
        <v>28229760</v>
      </c>
      <c r="U110" s="52">
        <f t="shared" si="386"/>
        <v>47380320</v>
      </c>
      <c r="V110" s="52">
        <f t="shared" si="387"/>
        <v>15721205.76</v>
      </c>
      <c r="W110" s="52">
        <f t="shared" si="388"/>
        <v>63101525.76</v>
      </c>
      <c r="X110" s="52">
        <f t="shared" si="389"/>
        <v>126550000</v>
      </c>
      <c r="Y110" s="1"/>
      <c r="Z110" s="1"/>
    </row>
    <row r="111" ht="15.75" customHeight="1">
      <c r="A111" s="1"/>
      <c r="B111" s="45">
        <v>76.0</v>
      </c>
      <c r="C111" s="46" t="s">
        <v>155</v>
      </c>
      <c r="D111" s="51">
        <f t="shared" si="372"/>
        <v>4275000</v>
      </c>
      <c r="E111" s="52">
        <f t="shared" si="373"/>
        <v>3300000</v>
      </c>
      <c r="F111" s="52">
        <f t="shared" si="374"/>
        <v>3000000</v>
      </c>
      <c r="G111" s="52">
        <f t="shared" si="375"/>
        <v>2900000</v>
      </c>
      <c r="H111" s="53">
        <v>13.0</v>
      </c>
      <c r="I111" s="52">
        <f t="shared" ref="I111:J111" si="392">D111*12</f>
        <v>51300000</v>
      </c>
      <c r="J111" s="52">
        <f t="shared" si="392"/>
        <v>39600000</v>
      </c>
      <c r="K111" s="52">
        <f t="shared" si="377"/>
        <v>216000000</v>
      </c>
      <c r="L111" s="52">
        <f t="shared" si="378"/>
        <v>452400000</v>
      </c>
      <c r="M111" s="52">
        <f t="shared" si="379"/>
        <v>759300000</v>
      </c>
      <c r="N111" s="52">
        <f t="shared" si="380"/>
        <v>104976</v>
      </c>
      <c r="O111" s="52">
        <f t="shared" si="381"/>
        <v>839808</v>
      </c>
      <c r="P111" s="52">
        <f t="shared" si="382"/>
        <v>10077696</v>
      </c>
      <c r="Q111" s="52">
        <f t="shared" ref="Q111:R111" si="393">SUM(D111*$E$143)*12</f>
        <v>3201120</v>
      </c>
      <c r="R111" s="52">
        <f t="shared" si="393"/>
        <v>2471040</v>
      </c>
      <c r="S111" s="52">
        <f t="shared" si="384"/>
        <v>13478400</v>
      </c>
      <c r="T111" s="52">
        <f t="shared" si="385"/>
        <v>28229760</v>
      </c>
      <c r="U111" s="52">
        <f t="shared" si="386"/>
        <v>47380320</v>
      </c>
      <c r="V111" s="52">
        <f t="shared" si="387"/>
        <v>15721205.76</v>
      </c>
      <c r="W111" s="52">
        <f t="shared" si="388"/>
        <v>63101525.76</v>
      </c>
      <c r="X111" s="52">
        <f t="shared" si="389"/>
        <v>126550000</v>
      </c>
      <c r="Y111" s="1"/>
      <c r="Z111" s="1"/>
    </row>
    <row r="112" ht="15.75" customHeight="1">
      <c r="A112" s="1"/>
      <c r="B112" s="45" t="s">
        <v>156</v>
      </c>
      <c r="C112" s="46" t="s">
        <v>157</v>
      </c>
      <c r="D112" s="51"/>
      <c r="E112" s="52"/>
      <c r="F112" s="52"/>
      <c r="G112" s="52"/>
      <c r="H112" s="48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1"/>
      <c r="Z112" s="1"/>
    </row>
    <row r="113" ht="15.75" customHeight="1">
      <c r="A113" s="1"/>
      <c r="B113" s="45">
        <v>77.0</v>
      </c>
      <c r="C113" s="46" t="s">
        <v>158</v>
      </c>
      <c r="D113" s="51">
        <f t="shared" ref="D113:D117" si="396">$H$11</f>
        <v>4275000</v>
      </c>
      <c r="E113" s="52">
        <f t="shared" ref="E113:E117" si="397">$H$12</f>
        <v>3300000</v>
      </c>
      <c r="F113" s="52">
        <f t="shared" ref="F113:F117" si="398">$H$13</f>
        <v>3000000</v>
      </c>
      <c r="G113" s="52">
        <f t="shared" ref="G113:G117" si="399">$H$14</f>
        <v>2900000</v>
      </c>
      <c r="H113" s="53">
        <v>16.0</v>
      </c>
      <c r="I113" s="52">
        <f t="shared" ref="I113:J113" si="394">D113*12</f>
        <v>51300000</v>
      </c>
      <c r="J113" s="52">
        <f t="shared" si="394"/>
        <v>39600000</v>
      </c>
      <c r="K113" s="52">
        <f t="shared" ref="K113:K117" si="401">F113*6*12</f>
        <v>216000000</v>
      </c>
      <c r="L113" s="52">
        <f t="shared" ref="L113:L117" si="402">G113*H113*12</f>
        <v>556800000</v>
      </c>
      <c r="M113" s="52">
        <f t="shared" ref="M113:M117" si="403">SUM(I113:L113)</f>
        <v>863700000</v>
      </c>
      <c r="N113" s="52">
        <f t="shared" ref="N113:N117" si="404">$E$135*$E$137</f>
        <v>104976</v>
      </c>
      <c r="O113" s="52">
        <f t="shared" ref="O113:O117" si="405">N113*8</f>
        <v>839808</v>
      </c>
      <c r="P113" s="52">
        <f t="shared" ref="P113:P117" si="406">O113*12</f>
        <v>10077696</v>
      </c>
      <c r="Q113" s="52">
        <f t="shared" ref="Q113:R113" si="395">SUM(D113*$E$143)*12</f>
        <v>3201120</v>
      </c>
      <c r="R113" s="52">
        <f t="shared" si="395"/>
        <v>2471040</v>
      </c>
      <c r="S113" s="52">
        <f t="shared" ref="S113:S117" si="408">SUM(F113*$E$143*6)*12</f>
        <v>13478400</v>
      </c>
      <c r="T113" s="52">
        <f t="shared" ref="T113:T117" si="409">SUM(G113*$E$143*H113)*12</f>
        <v>34744320</v>
      </c>
      <c r="U113" s="52">
        <f t="shared" ref="U113:U117" si="410">SUM(Q113:T113)</f>
        <v>53894880</v>
      </c>
      <c r="V113" s="52">
        <f t="shared" ref="V113:V117" si="411">SUM($E$135*$E$143*8)*12</f>
        <v>15721205.76</v>
      </c>
      <c r="W113" s="52">
        <f t="shared" ref="W113:W117" si="412">SUM(U113+V113)</f>
        <v>69616085.76</v>
      </c>
      <c r="X113" s="52">
        <f t="shared" ref="X113:X117" si="413">SUM(D113*2)+(E113*2)+(F113*6*2)+(G113*H113*2)</f>
        <v>143950000</v>
      </c>
      <c r="Y113" s="1"/>
      <c r="Z113" s="1"/>
    </row>
    <row r="114" ht="15.75" customHeight="1">
      <c r="A114" s="1"/>
      <c r="B114" s="45">
        <v>78.0</v>
      </c>
      <c r="C114" s="46" t="s">
        <v>159</v>
      </c>
      <c r="D114" s="51">
        <f t="shared" si="396"/>
        <v>4275000</v>
      </c>
      <c r="E114" s="52">
        <f t="shared" si="397"/>
        <v>3300000</v>
      </c>
      <c r="F114" s="52">
        <f t="shared" si="398"/>
        <v>3000000</v>
      </c>
      <c r="G114" s="52">
        <f t="shared" si="399"/>
        <v>2900000</v>
      </c>
      <c r="H114" s="53">
        <v>12.0</v>
      </c>
      <c r="I114" s="52">
        <f t="shared" ref="I114:J114" si="400">D114*12</f>
        <v>51300000</v>
      </c>
      <c r="J114" s="52">
        <f t="shared" si="400"/>
        <v>39600000</v>
      </c>
      <c r="K114" s="52">
        <f t="shared" si="401"/>
        <v>216000000</v>
      </c>
      <c r="L114" s="52">
        <f t="shared" si="402"/>
        <v>417600000</v>
      </c>
      <c r="M114" s="52">
        <f t="shared" si="403"/>
        <v>724500000</v>
      </c>
      <c r="N114" s="52">
        <f t="shared" si="404"/>
        <v>104976</v>
      </c>
      <c r="O114" s="52">
        <f t="shared" si="405"/>
        <v>839808</v>
      </c>
      <c r="P114" s="52">
        <f t="shared" si="406"/>
        <v>10077696</v>
      </c>
      <c r="Q114" s="52">
        <f t="shared" ref="Q114:R114" si="407">SUM(D114*$E$143)*12</f>
        <v>3201120</v>
      </c>
      <c r="R114" s="52">
        <f t="shared" si="407"/>
        <v>2471040</v>
      </c>
      <c r="S114" s="52">
        <f t="shared" si="408"/>
        <v>13478400</v>
      </c>
      <c r="T114" s="52">
        <f t="shared" si="409"/>
        <v>26058240</v>
      </c>
      <c r="U114" s="52">
        <f t="shared" si="410"/>
        <v>45208800</v>
      </c>
      <c r="V114" s="52">
        <f t="shared" si="411"/>
        <v>15721205.76</v>
      </c>
      <c r="W114" s="52">
        <f t="shared" si="412"/>
        <v>60930005.76</v>
      </c>
      <c r="X114" s="52">
        <f t="shared" si="413"/>
        <v>120750000</v>
      </c>
      <c r="Y114" s="1"/>
      <c r="Z114" s="1"/>
    </row>
    <row r="115" ht="15.75" customHeight="1">
      <c r="A115" s="1"/>
      <c r="B115" s="45">
        <v>79.0</v>
      </c>
      <c r="C115" s="46" t="s">
        <v>160</v>
      </c>
      <c r="D115" s="51">
        <f t="shared" si="396"/>
        <v>4275000</v>
      </c>
      <c r="E115" s="52">
        <f t="shared" si="397"/>
        <v>3300000</v>
      </c>
      <c r="F115" s="52">
        <f t="shared" si="398"/>
        <v>3000000</v>
      </c>
      <c r="G115" s="52">
        <f t="shared" si="399"/>
        <v>2900000</v>
      </c>
      <c r="H115" s="53">
        <v>11.0</v>
      </c>
      <c r="I115" s="52">
        <f t="shared" ref="I115:J115" si="414">D115*12</f>
        <v>51300000</v>
      </c>
      <c r="J115" s="52">
        <f t="shared" si="414"/>
        <v>39600000</v>
      </c>
      <c r="K115" s="52">
        <f t="shared" si="401"/>
        <v>216000000</v>
      </c>
      <c r="L115" s="52">
        <f t="shared" si="402"/>
        <v>382800000</v>
      </c>
      <c r="M115" s="52">
        <f t="shared" si="403"/>
        <v>689700000</v>
      </c>
      <c r="N115" s="52">
        <f t="shared" si="404"/>
        <v>104976</v>
      </c>
      <c r="O115" s="52">
        <f t="shared" si="405"/>
        <v>839808</v>
      </c>
      <c r="P115" s="52">
        <f t="shared" si="406"/>
        <v>10077696</v>
      </c>
      <c r="Q115" s="52">
        <f t="shared" ref="Q115:R115" si="415">SUM(D115*$E$143)*12</f>
        <v>3201120</v>
      </c>
      <c r="R115" s="52">
        <f t="shared" si="415"/>
        <v>2471040</v>
      </c>
      <c r="S115" s="52">
        <f t="shared" si="408"/>
        <v>13478400</v>
      </c>
      <c r="T115" s="52">
        <f t="shared" si="409"/>
        <v>23886720</v>
      </c>
      <c r="U115" s="52">
        <f t="shared" si="410"/>
        <v>43037280</v>
      </c>
      <c r="V115" s="52">
        <f t="shared" si="411"/>
        <v>15721205.76</v>
      </c>
      <c r="W115" s="52">
        <f t="shared" si="412"/>
        <v>58758485.76</v>
      </c>
      <c r="X115" s="52">
        <f t="shared" si="413"/>
        <v>114950000</v>
      </c>
      <c r="Y115" s="1"/>
      <c r="Z115" s="1"/>
    </row>
    <row r="116" ht="15.75" customHeight="1">
      <c r="A116" s="1"/>
      <c r="B116" s="45">
        <v>80.0</v>
      </c>
      <c r="C116" s="46" t="s">
        <v>161</v>
      </c>
      <c r="D116" s="51">
        <f t="shared" si="396"/>
        <v>4275000</v>
      </c>
      <c r="E116" s="52">
        <f t="shared" si="397"/>
        <v>3300000</v>
      </c>
      <c r="F116" s="52">
        <f t="shared" si="398"/>
        <v>3000000</v>
      </c>
      <c r="G116" s="52">
        <f t="shared" si="399"/>
        <v>2900000</v>
      </c>
      <c r="H116" s="53">
        <v>10.0</v>
      </c>
      <c r="I116" s="52">
        <f t="shared" ref="I116:J116" si="416">D116*12</f>
        <v>51300000</v>
      </c>
      <c r="J116" s="52">
        <f t="shared" si="416"/>
        <v>39600000</v>
      </c>
      <c r="K116" s="52">
        <f t="shared" si="401"/>
        <v>216000000</v>
      </c>
      <c r="L116" s="52">
        <f t="shared" si="402"/>
        <v>348000000</v>
      </c>
      <c r="M116" s="52">
        <f t="shared" si="403"/>
        <v>654900000</v>
      </c>
      <c r="N116" s="52">
        <f t="shared" si="404"/>
        <v>104976</v>
      </c>
      <c r="O116" s="52">
        <f t="shared" si="405"/>
        <v>839808</v>
      </c>
      <c r="P116" s="52">
        <f t="shared" si="406"/>
        <v>10077696</v>
      </c>
      <c r="Q116" s="52">
        <f t="shared" ref="Q116:R116" si="417">SUM(D116*$E$143)*12</f>
        <v>3201120</v>
      </c>
      <c r="R116" s="52">
        <f t="shared" si="417"/>
        <v>2471040</v>
      </c>
      <c r="S116" s="52">
        <f t="shared" si="408"/>
        <v>13478400</v>
      </c>
      <c r="T116" s="52">
        <f t="shared" si="409"/>
        <v>21715200</v>
      </c>
      <c r="U116" s="52">
        <f t="shared" si="410"/>
        <v>40865760</v>
      </c>
      <c r="V116" s="52">
        <f t="shared" si="411"/>
        <v>15721205.76</v>
      </c>
      <c r="W116" s="52">
        <f t="shared" si="412"/>
        <v>56586965.76</v>
      </c>
      <c r="X116" s="52">
        <f t="shared" si="413"/>
        <v>109150000</v>
      </c>
      <c r="Y116" s="1"/>
      <c r="Z116" s="1"/>
    </row>
    <row r="117" ht="15.75" customHeight="1">
      <c r="A117" s="1"/>
      <c r="B117" s="45">
        <v>81.0</v>
      </c>
      <c r="C117" s="46" t="s">
        <v>162</v>
      </c>
      <c r="D117" s="51">
        <f t="shared" si="396"/>
        <v>4275000</v>
      </c>
      <c r="E117" s="52">
        <f t="shared" si="397"/>
        <v>3300000</v>
      </c>
      <c r="F117" s="52">
        <f t="shared" si="398"/>
        <v>3000000</v>
      </c>
      <c r="G117" s="52">
        <f t="shared" si="399"/>
        <v>2900000</v>
      </c>
      <c r="H117" s="53">
        <v>12.0</v>
      </c>
      <c r="I117" s="52">
        <f t="shared" ref="I117:J117" si="418">D117*12</f>
        <v>51300000</v>
      </c>
      <c r="J117" s="52">
        <f t="shared" si="418"/>
        <v>39600000</v>
      </c>
      <c r="K117" s="52">
        <f t="shared" si="401"/>
        <v>216000000</v>
      </c>
      <c r="L117" s="52">
        <f t="shared" si="402"/>
        <v>417600000</v>
      </c>
      <c r="M117" s="52">
        <f t="shared" si="403"/>
        <v>724500000</v>
      </c>
      <c r="N117" s="52">
        <f t="shared" si="404"/>
        <v>104976</v>
      </c>
      <c r="O117" s="52">
        <f t="shared" si="405"/>
        <v>839808</v>
      </c>
      <c r="P117" s="52">
        <f t="shared" si="406"/>
        <v>10077696</v>
      </c>
      <c r="Q117" s="52">
        <f t="shared" ref="Q117:R117" si="419">SUM(D117*$E$143)*12</f>
        <v>3201120</v>
      </c>
      <c r="R117" s="52">
        <f t="shared" si="419"/>
        <v>2471040</v>
      </c>
      <c r="S117" s="52">
        <f t="shared" si="408"/>
        <v>13478400</v>
      </c>
      <c r="T117" s="52">
        <f t="shared" si="409"/>
        <v>26058240</v>
      </c>
      <c r="U117" s="52">
        <f t="shared" si="410"/>
        <v>45208800</v>
      </c>
      <c r="V117" s="52">
        <f t="shared" si="411"/>
        <v>15721205.76</v>
      </c>
      <c r="W117" s="52">
        <f t="shared" si="412"/>
        <v>60930005.76</v>
      </c>
      <c r="X117" s="52">
        <f t="shared" si="413"/>
        <v>120750000</v>
      </c>
      <c r="Y117" s="1"/>
      <c r="Z117" s="1"/>
    </row>
    <row r="118" ht="15.75" customHeight="1">
      <c r="A118" s="1"/>
      <c r="B118" s="45" t="s">
        <v>163</v>
      </c>
      <c r="C118" s="46" t="s">
        <v>164</v>
      </c>
      <c r="D118" s="51"/>
      <c r="E118" s="52"/>
      <c r="F118" s="52"/>
      <c r="G118" s="52"/>
      <c r="H118" s="48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1"/>
      <c r="Z118" s="1"/>
    </row>
    <row r="119" ht="15.75" customHeight="1">
      <c r="A119" s="1"/>
      <c r="B119" s="45">
        <v>82.0</v>
      </c>
      <c r="C119" s="46" t="s">
        <v>165</v>
      </c>
      <c r="D119" s="51">
        <f t="shared" ref="D119:D123" si="422">$H$11</f>
        <v>4275000</v>
      </c>
      <c r="E119" s="52">
        <f t="shared" ref="E119:E123" si="423">$H$12</f>
        <v>3300000</v>
      </c>
      <c r="F119" s="52">
        <f t="shared" ref="F119:F123" si="424">$H$13</f>
        <v>3000000</v>
      </c>
      <c r="G119" s="52">
        <f t="shared" ref="G119:G123" si="425">$H$14</f>
        <v>2900000</v>
      </c>
      <c r="H119" s="53">
        <v>22.0</v>
      </c>
      <c r="I119" s="52">
        <f t="shared" ref="I119:J119" si="420">D119*12</f>
        <v>51300000</v>
      </c>
      <c r="J119" s="52">
        <f t="shared" si="420"/>
        <v>39600000</v>
      </c>
      <c r="K119" s="52">
        <f t="shared" ref="K119:K123" si="427">F119*6*12</f>
        <v>216000000</v>
      </c>
      <c r="L119" s="52">
        <f t="shared" ref="L119:L123" si="428">G119*H119*12</f>
        <v>765600000</v>
      </c>
      <c r="M119" s="52">
        <f t="shared" ref="M119:M123" si="429">SUM(I119:L119)</f>
        <v>1072500000</v>
      </c>
      <c r="N119" s="52">
        <f t="shared" ref="N119:N123" si="430">$E$135*$E$137</f>
        <v>104976</v>
      </c>
      <c r="O119" s="52">
        <f t="shared" ref="O119:O123" si="431">N119*8</f>
        <v>839808</v>
      </c>
      <c r="P119" s="52">
        <f t="shared" ref="P119:P123" si="432">O119*12</f>
        <v>10077696</v>
      </c>
      <c r="Q119" s="52">
        <f t="shared" ref="Q119:R119" si="421">SUM(D119*$E$143)*12</f>
        <v>3201120</v>
      </c>
      <c r="R119" s="52">
        <f t="shared" si="421"/>
        <v>2471040</v>
      </c>
      <c r="S119" s="52">
        <f t="shared" ref="S119:S123" si="434">SUM(F119*$E$143*6)*12</f>
        <v>13478400</v>
      </c>
      <c r="T119" s="52">
        <f t="shared" ref="T119:T123" si="435">SUM(G119*$E$143*H119)*12</f>
        <v>47773440</v>
      </c>
      <c r="U119" s="52">
        <f t="shared" ref="U119:U123" si="436">SUM(Q119:T119)</f>
        <v>66924000</v>
      </c>
      <c r="V119" s="52">
        <f t="shared" ref="V119:V123" si="437">SUM($E$135*$E$143*8)*12</f>
        <v>15721205.76</v>
      </c>
      <c r="W119" s="52">
        <f t="shared" ref="W119:W123" si="438">SUM(U119+V119)</f>
        <v>82645205.76</v>
      </c>
      <c r="X119" s="52">
        <f t="shared" ref="X119:X123" si="439">SUM(D119*2)+(E119*2)+(F119*6*2)+(G119*H119*2)</f>
        <v>178750000</v>
      </c>
      <c r="Y119" s="1"/>
      <c r="Z119" s="1"/>
    </row>
    <row r="120" ht="15.75" customHeight="1">
      <c r="A120" s="1"/>
      <c r="B120" s="45">
        <v>83.0</v>
      </c>
      <c r="C120" s="46" t="s">
        <v>166</v>
      </c>
      <c r="D120" s="51">
        <f t="shared" si="422"/>
        <v>4275000</v>
      </c>
      <c r="E120" s="52">
        <f t="shared" si="423"/>
        <v>3300000</v>
      </c>
      <c r="F120" s="52">
        <f t="shared" si="424"/>
        <v>3000000</v>
      </c>
      <c r="G120" s="52">
        <f t="shared" si="425"/>
        <v>2900000</v>
      </c>
      <c r="H120" s="53">
        <v>24.0</v>
      </c>
      <c r="I120" s="52">
        <f t="shared" ref="I120:J120" si="426">D120*12</f>
        <v>51300000</v>
      </c>
      <c r="J120" s="52">
        <f t="shared" si="426"/>
        <v>39600000</v>
      </c>
      <c r="K120" s="52">
        <f t="shared" si="427"/>
        <v>216000000</v>
      </c>
      <c r="L120" s="52">
        <f t="shared" si="428"/>
        <v>835200000</v>
      </c>
      <c r="M120" s="52">
        <f t="shared" si="429"/>
        <v>1142100000</v>
      </c>
      <c r="N120" s="52">
        <f t="shared" si="430"/>
        <v>104976</v>
      </c>
      <c r="O120" s="52">
        <f t="shared" si="431"/>
        <v>839808</v>
      </c>
      <c r="P120" s="52">
        <f t="shared" si="432"/>
        <v>10077696</v>
      </c>
      <c r="Q120" s="52">
        <f t="shared" ref="Q120:R120" si="433">SUM(D120*$E$143)*12</f>
        <v>3201120</v>
      </c>
      <c r="R120" s="52">
        <f t="shared" si="433"/>
        <v>2471040</v>
      </c>
      <c r="S120" s="52">
        <f t="shared" si="434"/>
        <v>13478400</v>
      </c>
      <c r="T120" s="52">
        <f t="shared" si="435"/>
        <v>52116480</v>
      </c>
      <c r="U120" s="52">
        <f t="shared" si="436"/>
        <v>71267040</v>
      </c>
      <c r="V120" s="52">
        <f t="shared" si="437"/>
        <v>15721205.76</v>
      </c>
      <c r="W120" s="52">
        <f t="shared" si="438"/>
        <v>86988245.76</v>
      </c>
      <c r="X120" s="52">
        <f t="shared" si="439"/>
        <v>190350000</v>
      </c>
      <c r="Y120" s="1"/>
      <c r="Z120" s="1"/>
    </row>
    <row r="121" ht="15.75" customHeight="1">
      <c r="A121" s="1"/>
      <c r="B121" s="45">
        <v>84.0</v>
      </c>
      <c r="C121" s="46" t="s">
        <v>167</v>
      </c>
      <c r="D121" s="51">
        <f t="shared" si="422"/>
        <v>4275000</v>
      </c>
      <c r="E121" s="52">
        <f t="shared" si="423"/>
        <v>3300000</v>
      </c>
      <c r="F121" s="52">
        <f t="shared" si="424"/>
        <v>3000000</v>
      </c>
      <c r="G121" s="52">
        <f t="shared" si="425"/>
        <v>2900000</v>
      </c>
      <c r="H121" s="53">
        <v>10.0</v>
      </c>
      <c r="I121" s="52">
        <f t="shared" ref="I121:J121" si="440">D121*12</f>
        <v>51300000</v>
      </c>
      <c r="J121" s="52">
        <f t="shared" si="440"/>
        <v>39600000</v>
      </c>
      <c r="K121" s="52">
        <f t="shared" si="427"/>
        <v>216000000</v>
      </c>
      <c r="L121" s="52">
        <f t="shared" si="428"/>
        <v>348000000</v>
      </c>
      <c r="M121" s="52">
        <f t="shared" si="429"/>
        <v>654900000</v>
      </c>
      <c r="N121" s="52">
        <f t="shared" si="430"/>
        <v>104976</v>
      </c>
      <c r="O121" s="52">
        <f t="shared" si="431"/>
        <v>839808</v>
      </c>
      <c r="P121" s="52">
        <f t="shared" si="432"/>
        <v>10077696</v>
      </c>
      <c r="Q121" s="52">
        <f t="shared" ref="Q121:R121" si="441">SUM(D121*$E$143)*12</f>
        <v>3201120</v>
      </c>
      <c r="R121" s="52">
        <f t="shared" si="441"/>
        <v>2471040</v>
      </c>
      <c r="S121" s="52">
        <f t="shared" si="434"/>
        <v>13478400</v>
      </c>
      <c r="T121" s="52">
        <f t="shared" si="435"/>
        <v>21715200</v>
      </c>
      <c r="U121" s="52">
        <f t="shared" si="436"/>
        <v>40865760</v>
      </c>
      <c r="V121" s="52">
        <f t="shared" si="437"/>
        <v>15721205.76</v>
      </c>
      <c r="W121" s="52">
        <f t="shared" si="438"/>
        <v>56586965.76</v>
      </c>
      <c r="X121" s="52">
        <f t="shared" si="439"/>
        <v>109150000</v>
      </c>
      <c r="Y121" s="1"/>
      <c r="Z121" s="1"/>
    </row>
    <row r="122" ht="15.75" customHeight="1">
      <c r="A122" s="1"/>
      <c r="B122" s="45">
        <v>85.0</v>
      </c>
      <c r="C122" s="46" t="s">
        <v>168</v>
      </c>
      <c r="D122" s="51">
        <f t="shared" si="422"/>
        <v>4275000</v>
      </c>
      <c r="E122" s="52">
        <f t="shared" si="423"/>
        <v>3300000</v>
      </c>
      <c r="F122" s="52">
        <f t="shared" si="424"/>
        <v>3000000</v>
      </c>
      <c r="G122" s="52">
        <f t="shared" si="425"/>
        <v>2900000</v>
      </c>
      <c r="H122" s="53">
        <v>8.0</v>
      </c>
      <c r="I122" s="52">
        <f t="shared" ref="I122:J122" si="442">D122*12</f>
        <v>51300000</v>
      </c>
      <c r="J122" s="52">
        <f t="shared" si="442"/>
        <v>39600000</v>
      </c>
      <c r="K122" s="52">
        <f t="shared" si="427"/>
        <v>216000000</v>
      </c>
      <c r="L122" s="52">
        <f t="shared" si="428"/>
        <v>278400000</v>
      </c>
      <c r="M122" s="52">
        <f t="shared" si="429"/>
        <v>585300000</v>
      </c>
      <c r="N122" s="52">
        <f t="shared" si="430"/>
        <v>104976</v>
      </c>
      <c r="O122" s="52">
        <f t="shared" si="431"/>
        <v>839808</v>
      </c>
      <c r="P122" s="52">
        <f t="shared" si="432"/>
        <v>10077696</v>
      </c>
      <c r="Q122" s="52">
        <f t="shared" ref="Q122:R122" si="443">SUM(D122*$E$143)*12</f>
        <v>3201120</v>
      </c>
      <c r="R122" s="52">
        <f t="shared" si="443"/>
        <v>2471040</v>
      </c>
      <c r="S122" s="52">
        <f t="shared" si="434"/>
        <v>13478400</v>
      </c>
      <c r="T122" s="52">
        <f t="shared" si="435"/>
        <v>17372160</v>
      </c>
      <c r="U122" s="52">
        <f t="shared" si="436"/>
        <v>36522720</v>
      </c>
      <c r="V122" s="52">
        <f t="shared" si="437"/>
        <v>15721205.76</v>
      </c>
      <c r="W122" s="52">
        <f t="shared" si="438"/>
        <v>52243925.76</v>
      </c>
      <c r="X122" s="52">
        <f t="shared" si="439"/>
        <v>97550000</v>
      </c>
      <c r="Y122" s="1"/>
      <c r="Z122" s="1"/>
    </row>
    <row r="123" ht="15.75" customHeight="1">
      <c r="A123" s="1"/>
      <c r="B123" s="45">
        <v>86.0</v>
      </c>
      <c r="C123" s="46" t="s">
        <v>169</v>
      </c>
      <c r="D123" s="51">
        <f t="shared" si="422"/>
        <v>4275000</v>
      </c>
      <c r="E123" s="52">
        <f t="shared" si="423"/>
        <v>3300000</v>
      </c>
      <c r="F123" s="52">
        <f t="shared" si="424"/>
        <v>3000000</v>
      </c>
      <c r="G123" s="52">
        <f t="shared" si="425"/>
        <v>2900000</v>
      </c>
      <c r="H123" s="53">
        <v>9.0</v>
      </c>
      <c r="I123" s="52">
        <f t="shared" ref="I123:J123" si="444">D123*12</f>
        <v>51300000</v>
      </c>
      <c r="J123" s="52">
        <f t="shared" si="444"/>
        <v>39600000</v>
      </c>
      <c r="K123" s="52">
        <f t="shared" si="427"/>
        <v>216000000</v>
      </c>
      <c r="L123" s="52">
        <f t="shared" si="428"/>
        <v>313200000</v>
      </c>
      <c r="M123" s="52">
        <f t="shared" si="429"/>
        <v>620100000</v>
      </c>
      <c r="N123" s="52">
        <f t="shared" si="430"/>
        <v>104976</v>
      </c>
      <c r="O123" s="52">
        <f t="shared" si="431"/>
        <v>839808</v>
      </c>
      <c r="P123" s="52">
        <f t="shared" si="432"/>
        <v>10077696</v>
      </c>
      <c r="Q123" s="52">
        <f t="shared" ref="Q123:R123" si="445">SUM(D123*$E$143)*12</f>
        <v>3201120</v>
      </c>
      <c r="R123" s="52">
        <f t="shared" si="445"/>
        <v>2471040</v>
      </c>
      <c r="S123" s="52">
        <f t="shared" si="434"/>
        <v>13478400</v>
      </c>
      <c r="T123" s="52">
        <f t="shared" si="435"/>
        <v>19543680</v>
      </c>
      <c r="U123" s="52">
        <f t="shared" si="436"/>
        <v>38694240</v>
      </c>
      <c r="V123" s="52">
        <f t="shared" si="437"/>
        <v>15721205.76</v>
      </c>
      <c r="W123" s="52">
        <f t="shared" si="438"/>
        <v>54415445.76</v>
      </c>
      <c r="X123" s="52">
        <f t="shared" si="439"/>
        <v>103350000</v>
      </c>
      <c r="Y123" s="1"/>
      <c r="Z123" s="1"/>
    </row>
    <row r="124" ht="15.75" customHeight="1">
      <c r="A124" s="54"/>
      <c r="B124" s="37" t="s">
        <v>30</v>
      </c>
      <c r="C124" s="34"/>
      <c r="D124" s="55"/>
      <c r="E124" s="55"/>
      <c r="F124" s="55"/>
      <c r="G124" s="55"/>
      <c r="H124" s="56">
        <f t="shared" ref="H124:X124" si="446">SUM(H22:H123)</f>
        <v>1212</v>
      </c>
      <c r="I124" s="55">
        <f t="shared" si="446"/>
        <v>4411800000</v>
      </c>
      <c r="J124" s="55">
        <f t="shared" si="446"/>
        <v>3405600000</v>
      </c>
      <c r="K124" s="55">
        <f t="shared" si="446"/>
        <v>18576000000</v>
      </c>
      <c r="L124" s="55">
        <f t="shared" si="446"/>
        <v>42177600000</v>
      </c>
      <c r="M124" s="55">
        <f t="shared" si="446"/>
        <v>68571000000</v>
      </c>
      <c r="N124" s="55">
        <f t="shared" si="446"/>
        <v>9027936</v>
      </c>
      <c r="O124" s="55">
        <f t="shared" si="446"/>
        <v>72223488</v>
      </c>
      <c r="P124" s="55">
        <f t="shared" si="446"/>
        <v>866681856</v>
      </c>
      <c r="Q124" s="55">
        <f t="shared" si="446"/>
        <v>275296320</v>
      </c>
      <c r="R124" s="55">
        <f t="shared" si="446"/>
        <v>212509440</v>
      </c>
      <c r="S124" s="55">
        <f t="shared" si="446"/>
        <v>1159142400</v>
      </c>
      <c r="T124" s="55">
        <f t="shared" si="446"/>
        <v>2631882240</v>
      </c>
      <c r="U124" s="55">
        <f t="shared" si="446"/>
        <v>4278830400</v>
      </c>
      <c r="V124" s="55">
        <f t="shared" si="446"/>
        <v>1352023695</v>
      </c>
      <c r="W124" s="55">
        <f t="shared" si="446"/>
        <v>5630854095</v>
      </c>
      <c r="X124" s="55">
        <f t="shared" si="446"/>
        <v>11428500000</v>
      </c>
      <c r="Y124" s="54"/>
      <c r="Z124" s="54"/>
    </row>
    <row r="125" ht="15.75" customHeight="1">
      <c r="A125" s="1"/>
      <c r="B125" s="57"/>
      <c r="C125" s="57"/>
      <c r="D125" s="57"/>
      <c r="E125" s="57"/>
      <c r="F125" s="57"/>
      <c r="G125" s="57"/>
      <c r="H125" s="57"/>
      <c r="I125" s="1"/>
      <c r="J125" s="1"/>
      <c r="K125" s="1"/>
      <c r="L125" s="1"/>
      <c r="M125" s="58"/>
      <c r="N125" s="1"/>
      <c r="O125" s="1"/>
      <c r="P125" s="58"/>
      <c r="Q125" s="1"/>
      <c r="R125" s="1"/>
      <c r="S125" s="1"/>
      <c r="T125" s="1"/>
      <c r="U125" s="1"/>
      <c r="V125" s="1"/>
      <c r="W125" s="59"/>
      <c r="X125" s="58"/>
      <c r="Y125" s="1"/>
      <c r="Z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1"/>
      <c r="Z126" s="1"/>
    </row>
    <row r="127" ht="15.75" customHeight="1">
      <c r="A127" s="1"/>
      <c r="B127" s="2"/>
      <c r="C127" s="1"/>
      <c r="D127" s="1"/>
      <c r="E127" s="6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1"/>
      <c r="D128" s="1"/>
      <c r="E128" s="6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1"/>
      <c r="D129" s="1"/>
      <c r="E129" s="6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1"/>
      <c r="D130" s="1"/>
      <c r="E130" s="6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1"/>
      <c r="D131" s="1"/>
      <c r="E131" s="6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1"/>
      <c r="D132" s="1"/>
      <c r="E132" s="6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62"/>
      <c r="B135" s="61"/>
      <c r="C135" s="62" t="s">
        <v>170</v>
      </c>
      <c r="D135" s="62"/>
      <c r="E135" s="62">
        <f>D16</f>
        <v>2624400</v>
      </c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1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1"/>
      <c r="C137" s="62" t="s">
        <v>171</v>
      </c>
      <c r="D137" s="62"/>
      <c r="E137" s="62">
        <v>0.04</v>
      </c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1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1"/>
      <c r="C139" s="62" t="s">
        <v>172</v>
      </c>
      <c r="D139" s="62" t="s">
        <v>173</v>
      </c>
      <c r="E139" s="63">
        <v>0.0024</v>
      </c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1"/>
      <c r="C140" s="62"/>
      <c r="D140" s="62" t="s">
        <v>174</v>
      </c>
      <c r="E140" s="63">
        <v>0.003</v>
      </c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1"/>
      <c r="C141" s="62"/>
      <c r="D141" s="62" t="s">
        <v>175</v>
      </c>
      <c r="E141" s="63">
        <v>0.037000000000000005</v>
      </c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1"/>
      <c r="C142" s="62"/>
      <c r="D142" s="62" t="s">
        <v>176</v>
      </c>
      <c r="E142" s="63">
        <v>0.02</v>
      </c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1"/>
      <c r="C143" s="62"/>
      <c r="D143" s="62"/>
      <c r="E143" s="63">
        <f>SUM(E139:E142)</f>
        <v>0.0624</v>
      </c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1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1"/>
      <c r="C145" s="64" t="s">
        <v>177</v>
      </c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1"/>
      <c r="C146" s="64"/>
      <c r="D146" s="64" t="s">
        <v>178</v>
      </c>
      <c r="E146" s="62">
        <v>1.023707303E11</v>
      </c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1"/>
      <c r="C147" s="64"/>
      <c r="D147" s="64" t="s">
        <v>179</v>
      </c>
      <c r="E147" s="62">
        <f>M124</f>
        <v>68571000000</v>
      </c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1"/>
      <c r="C148" s="64"/>
      <c r="D148" s="64" t="s">
        <v>180</v>
      </c>
      <c r="E148" s="62">
        <f>P124</f>
        <v>866681856</v>
      </c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1"/>
      <c r="C149" s="62"/>
      <c r="D149" s="64" t="s">
        <v>181</v>
      </c>
      <c r="E149" s="62">
        <f>W124</f>
        <v>5630854095</v>
      </c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1"/>
      <c r="C150" s="62"/>
      <c r="D150" s="64" t="s">
        <v>182</v>
      </c>
      <c r="E150" s="62">
        <f>X124</f>
        <v>11428500000</v>
      </c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1"/>
      <c r="C151" s="62"/>
      <c r="D151" s="64" t="s">
        <v>183</v>
      </c>
      <c r="E151" s="62">
        <f>E146-SUM(E147:E150)</f>
        <v>15873694349</v>
      </c>
      <c r="F151" s="62">
        <f>SUM(E147:E151)</f>
        <v>102370730300</v>
      </c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1"/>
      <c r="B152" s="2"/>
      <c r="C152" s="1"/>
      <c r="D152" s="1"/>
      <c r="E152" s="1"/>
      <c r="F152" s="6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V18:V19"/>
    <mergeCell ref="W18:W19"/>
    <mergeCell ref="B2:X2"/>
    <mergeCell ref="B7:X7"/>
    <mergeCell ref="B18:B19"/>
    <mergeCell ref="C18:C19"/>
    <mergeCell ref="D18:G18"/>
    <mergeCell ref="H18:H19"/>
    <mergeCell ref="I18:M18"/>
    <mergeCell ref="X18:X19"/>
    <mergeCell ref="E131:F131"/>
    <mergeCell ref="E132:F132"/>
    <mergeCell ref="N18:P18"/>
    <mergeCell ref="Q18:U18"/>
    <mergeCell ref="B124:C124"/>
    <mergeCell ref="E127:F127"/>
    <mergeCell ref="E128:F128"/>
    <mergeCell ref="E129:F129"/>
    <mergeCell ref="E130:F1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.71"/>
    <col customWidth="1" min="3" max="3" width="13.71"/>
    <col customWidth="1" min="4" max="4" width="10.71"/>
    <col customWidth="1" min="5" max="5" width="12.71"/>
    <col customWidth="1" min="6" max="6" width="8.71"/>
    <col customWidth="1" min="7" max="7" width="12.71"/>
    <col customWidth="1" min="8" max="8" width="8.71"/>
    <col customWidth="1" min="9" max="9" width="12.71"/>
    <col customWidth="1" min="10" max="10" width="8.71"/>
    <col customWidth="1" min="11" max="11" width="12.71"/>
    <col customWidth="1" min="12" max="12" width="8.71"/>
    <col customWidth="1" min="13" max="13" width="12.71"/>
    <col customWidth="1" min="14" max="14" width="8.71"/>
    <col customWidth="1" min="15" max="15" width="24.71"/>
    <col customWidth="1" min="16" max="16" width="20.71"/>
    <col customWidth="1" min="17" max="18" width="16.43"/>
    <col customWidth="1" min="19" max="19" width="13.86"/>
    <col customWidth="1" min="20" max="20" width="16.43"/>
    <col customWidth="1" min="21" max="21" width="15.43"/>
    <col customWidth="1" min="22" max="41" width="9.14"/>
  </cols>
  <sheetData>
    <row r="1" ht="15.75" customHeight="1">
      <c r="A1" s="66"/>
      <c r="B1" s="67" t="s">
        <v>184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9"/>
      <c r="P1" s="66"/>
      <c r="Q1" s="66"/>
      <c r="R1" s="70"/>
      <c r="S1" s="71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</row>
    <row r="2" ht="20.25" customHeight="1">
      <c r="A2" s="66"/>
      <c r="B2" s="72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70"/>
      <c r="P2" s="66"/>
      <c r="Q2" s="66"/>
      <c r="R2" s="70"/>
      <c r="S2" s="71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</row>
    <row r="3" ht="33.75" customHeight="1">
      <c r="A3" s="66"/>
      <c r="B3" s="73" t="s">
        <v>185</v>
      </c>
      <c r="C3" s="74" t="s">
        <v>17</v>
      </c>
      <c r="D3" s="75"/>
      <c r="E3" s="76" t="s">
        <v>186</v>
      </c>
      <c r="F3" s="34"/>
      <c r="G3" s="77" t="s">
        <v>187</v>
      </c>
      <c r="H3" s="34"/>
      <c r="I3" s="76" t="s">
        <v>188</v>
      </c>
      <c r="J3" s="34"/>
      <c r="K3" s="76" t="s">
        <v>189</v>
      </c>
      <c r="L3" s="34"/>
      <c r="M3" s="77" t="s">
        <v>190</v>
      </c>
      <c r="N3" s="34"/>
      <c r="O3" s="78" t="s">
        <v>191</v>
      </c>
      <c r="P3" s="78" t="s">
        <v>192</v>
      </c>
      <c r="Q3" s="79"/>
      <c r="R3" s="80"/>
      <c r="S3" s="81"/>
      <c r="T3" s="82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</row>
    <row r="4" ht="17.25" customHeight="1">
      <c r="A4" s="66"/>
      <c r="B4" s="84"/>
      <c r="C4" s="84"/>
      <c r="D4" s="85" t="s">
        <v>193</v>
      </c>
      <c r="E4" s="86" t="s">
        <v>194</v>
      </c>
      <c r="F4" s="87">
        <v>0.3</v>
      </c>
      <c r="G4" s="87" t="s">
        <v>195</v>
      </c>
      <c r="H4" s="87">
        <v>0.2</v>
      </c>
      <c r="I4" s="87" t="s">
        <v>196</v>
      </c>
      <c r="J4" s="87">
        <v>0.2</v>
      </c>
      <c r="K4" s="87" t="s">
        <v>197</v>
      </c>
      <c r="L4" s="87">
        <v>0.2</v>
      </c>
      <c r="M4" s="87" t="s">
        <v>198</v>
      </c>
      <c r="N4" s="87">
        <v>0.1</v>
      </c>
      <c r="O4" s="84"/>
      <c r="P4" s="84"/>
      <c r="Q4" s="88"/>
      <c r="R4" s="80"/>
      <c r="S4" s="81"/>
      <c r="T4" s="89"/>
      <c r="U4" s="89"/>
      <c r="V4" s="89"/>
      <c r="W4" s="89"/>
      <c r="X4" s="89"/>
      <c r="Y4" s="89"/>
      <c r="Z4" s="89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</row>
    <row r="5" ht="17.25" customHeight="1">
      <c r="A5" s="66"/>
      <c r="B5" s="38"/>
      <c r="C5" s="38"/>
      <c r="D5" s="90"/>
      <c r="E5" s="91" t="s">
        <v>199</v>
      </c>
      <c r="F5" s="91" t="s">
        <v>200</v>
      </c>
      <c r="G5" s="85" t="s">
        <v>201</v>
      </c>
      <c r="H5" s="85" t="s">
        <v>202</v>
      </c>
      <c r="I5" s="85" t="s">
        <v>203</v>
      </c>
      <c r="J5" s="85" t="s">
        <v>204</v>
      </c>
      <c r="K5" s="85" t="s">
        <v>205</v>
      </c>
      <c r="L5" s="85" t="s">
        <v>206</v>
      </c>
      <c r="M5" s="85" t="s">
        <v>207</v>
      </c>
      <c r="N5" s="85" t="s">
        <v>208</v>
      </c>
      <c r="O5" s="38"/>
      <c r="P5" s="38"/>
      <c r="Q5" s="79"/>
      <c r="R5" s="80"/>
      <c r="S5" s="81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</row>
    <row r="6" ht="17.25" customHeight="1">
      <c r="A6" s="66"/>
      <c r="B6" s="92" t="s">
        <v>50</v>
      </c>
      <c r="C6" s="93" t="s">
        <v>51</v>
      </c>
      <c r="D6" s="93"/>
      <c r="E6" s="93"/>
      <c r="F6" s="93"/>
      <c r="G6" s="93"/>
      <c r="H6" s="93"/>
      <c r="I6" s="94"/>
      <c r="J6" s="95"/>
      <c r="K6" s="95"/>
      <c r="L6" s="95"/>
      <c r="M6" s="95"/>
      <c r="N6" s="95"/>
      <c r="O6" s="96"/>
      <c r="P6" s="97"/>
      <c r="Q6" s="83"/>
      <c r="R6" s="98"/>
      <c r="S6" s="82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</row>
    <row r="7" ht="17.25" customHeight="1">
      <c r="A7" s="66"/>
      <c r="B7" s="99">
        <v>1.0</v>
      </c>
      <c r="C7" s="100" t="s">
        <v>52</v>
      </c>
      <c r="D7" s="101">
        <f t="shared" ref="D7:D11" si="1">SUM((F7*$F$4)+(H7*$H$4)+($J$4*J7)+($L$4*L7)+($N$4*N7))</f>
        <v>0.01563175806</v>
      </c>
      <c r="E7" s="102">
        <v>18.0</v>
      </c>
      <c r="F7" s="101">
        <f t="shared" ref="F7:F11" si="2">E7/$E$126</f>
        <v>0.01485148515</v>
      </c>
      <c r="G7" s="102">
        <v>1499.0</v>
      </c>
      <c r="H7" s="101">
        <f t="shared" ref="H7:H11" si="3">G7/$G$126</f>
        <v>0.01711734344</v>
      </c>
      <c r="I7" s="102">
        <v>968.0</v>
      </c>
      <c r="J7" s="101">
        <f>SUM(I7/I126)</f>
        <v>0.01698227738</v>
      </c>
      <c r="K7" s="103">
        <v>20830.0</v>
      </c>
      <c r="L7" s="101">
        <f>SUM(K7/K126)</f>
        <v>0.01843803387</v>
      </c>
      <c r="M7" s="104">
        <v>11.413180763452818</v>
      </c>
      <c r="N7" s="101">
        <f>SUM(M7/M126)</f>
        <v>0.006687815777</v>
      </c>
      <c r="O7" s="105">
        <f t="shared" ref="O7:O11" si="4">D7*$O$129</f>
        <v>689919441.3</v>
      </c>
      <c r="P7" s="106">
        <f t="shared" ref="P7:P11" si="5">ROUNDUP(O7,0)</f>
        <v>689919442</v>
      </c>
      <c r="Q7" s="107"/>
      <c r="R7" s="108"/>
      <c r="S7" s="109"/>
      <c r="T7" s="109"/>
      <c r="U7" s="110"/>
      <c r="V7" s="110"/>
      <c r="W7" s="110"/>
      <c r="X7" s="110"/>
      <c r="Y7" s="110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</row>
    <row r="8" ht="17.25" customHeight="1">
      <c r="A8" s="66"/>
      <c r="B8" s="99">
        <v>2.0</v>
      </c>
      <c r="C8" s="100" t="s">
        <v>53</v>
      </c>
      <c r="D8" s="101">
        <f t="shared" si="1"/>
        <v>0.01409802157</v>
      </c>
      <c r="E8" s="102">
        <v>13.0</v>
      </c>
      <c r="F8" s="101">
        <f t="shared" si="2"/>
        <v>0.01072607261</v>
      </c>
      <c r="G8" s="102">
        <v>1702.0</v>
      </c>
      <c r="H8" s="101">
        <f t="shared" si="3"/>
        <v>0.01943543598</v>
      </c>
      <c r="I8" s="102">
        <v>628.0</v>
      </c>
      <c r="J8" s="101">
        <f>SUM(I8/I126)</f>
        <v>0.01101742789</v>
      </c>
      <c r="K8" s="103">
        <v>22918.0</v>
      </c>
      <c r="L8" s="101">
        <f>SUM(K8/K126)</f>
        <v>0.02028626309</v>
      </c>
      <c r="M8" s="104">
        <v>12.498432356423361</v>
      </c>
      <c r="N8" s="101">
        <f>SUM(M8/M126)</f>
        <v>0.007323743909</v>
      </c>
      <c r="O8" s="105">
        <f t="shared" si="4"/>
        <v>622226823.4</v>
      </c>
      <c r="P8" s="106">
        <f t="shared" si="5"/>
        <v>622226824</v>
      </c>
      <c r="Q8" s="107"/>
      <c r="R8" s="108"/>
      <c r="S8" s="109"/>
      <c r="T8" s="109"/>
      <c r="U8" s="110"/>
      <c r="V8" s="110"/>
      <c r="W8" s="110"/>
      <c r="X8" s="110"/>
      <c r="Y8" s="110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</row>
    <row r="9" ht="17.25" customHeight="1">
      <c r="A9" s="66"/>
      <c r="B9" s="99">
        <v>3.0</v>
      </c>
      <c r="C9" s="100" t="s">
        <v>54</v>
      </c>
      <c r="D9" s="101">
        <f t="shared" si="1"/>
        <v>0.01022593001</v>
      </c>
      <c r="E9" s="102">
        <v>8.0</v>
      </c>
      <c r="F9" s="101">
        <f t="shared" si="2"/>
        <v>0.006600660066</v>
      </c>
      <c r="G9" s="102">
        <v>1385.0</v>
      </c>
      <c r="H9" s="101">
        <f t="shared" si="3"/>
        <v>0.01581555748</v>
      </c>
      <c r="I9" s="102">
        <v>400.0</v>
      </c>
      <c r="J9" s="101">
        <f>SUM(I9/I126)</f>
        <v>0.007017469992</v>
      </c>
      <c r="K9" s="103">
        <v>16661.0</v>
      </c>
      <c r="L9" s="101">
        <f>SUM(K9/K126)</f>
        <v>0.01474777159</v>
      </c>
      <c r="M9" s="104">
        <v>12.450610851873382</v>
      </c>
      <c r="N9" s="101">
        <f>SUM(M9/M126)</f>
        <v>0.007295721798</v>
      </c>
      <c r="O9" s="105">
        <f t="shared" si="4"/>
        <v>451329139.9</v>
      </c>
      <c r="P9" s="106">
        <f t="shared" si="5"/>
        <v>451329140</v>
      </c>
      <c r="Q9" s="107"/>
      <c r="R9" s="108"/>
      <c r="S9" s="109"/>
      <c r="T9" s="109"/>
      <c r="U9" s="110"/>
      <c r="V9" s="110"/>
      <c r="W9" s="110"/>
      <c r="X9" s="110"/>
      <c r="Y9" s="110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</row>
    <row r="10" ht="17.25" customHeight="1">
      <c r="A10" s="66"/>
      <c r="B10" s="99">
        <v>4.0</v>
      </c>
      <c r="C10" s="100" t="s">
        <v>55</v>
      </c>
      <c r="D10" s="101">
        <f t="shared" si="1"/>
        <v>0.009983767135</v>
      </c>
      <c r="E10" s="102">
        <v>8.0</v>
      </c>
      <c r="F10" s="101">
        <f t="shared" si="2"/>
        <v>0.006600660066</v>
      </c>
      <c r="G10" s="102">
        <v>1295.0</v>
      </c>
      <c r="H10" s="101">
        <f t="shared" si="3"/>
        <v>0.01478783173</v>
      </c>
      <c r="I10" s="102">
        <v>349.0</v>
      </c>
      <c r="J10" s="101">
        <f>SUM(I10/I126)</f>
        <v>0.006122742568</v>
      </c>
      <c r="K10" s="103">
        <v>18613.0</v>
      </c>
      <c r="L10" s="101">
        <f>SUM(K10/K126)</f>
        <v>0.01647561807</v>
      </c>
      <c r="M10" s="104">
        <v>8.982165435055798</v>
      </c>
      <c r="N10" s="101">
        <f>SUM(M10/M126)</f>
        <v>0.00526330643</v>
      </c>
      <c r="O10" s="105">
        <f t="shared" si="4"/>
        <v>440641098.5</v>
      </c>
      <c r="P10" s="106">
        <f t="shared" si="5"/>
        <v>440641099</v>
      </c>
      <c r="Q10" s="107"/>
      <c r="R10" s="108"/>
      <c r="S10" s="109"/>
      <c r="T10" s="109"/>
      <c r="U10" s="110"/>
      <c r="V10" s="110"/>
      <c r="W10" s="110"/>
      <c r="X10" s="110"/>
      <c r="Y10" s="110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ht="17.25" customHeight="1">
      <c r="A11" s="66"/>
      <c r="B11" s="99">
        <v>5.0</v>
      </c>
      <c r="C11" s="100" t="s">
        <v>56</v>
      </c>
      <c r="D11" s="101">
        <f t="shared" si="1"/>
        <v>0.01244144634</v>
      </c>
      <c r="E11" s="102">
        <v>12.0</v>
      </c>
      <c r="F11" s="101">
        <f t="shared" si="2"/>
        <v>0.009900990099</v>
      </c>
      <c r="G11" s="102">
        <v>1498.0</v>
      </c>
      <c r="H11" s="101">
        <f t="shared" si="3"/>
        <v>0.01710592427</v>
      </c>
      <c r="I11" s="102">
        <v>562.0</v>
      </c>
      <c r="J11" s="101">
        <f>SUM(I11/I126)</f>
        <v>0.009859545338</v>
      </c>
      <c r="K11" s="103">
        <v>18729.0</v>
      </c>
      <c r="L11" s="101">
        <f>SUM(K11/K126)</f>
        <v>0.01657829747</v>
      </c>
      <c r="M11" s="104">
        <v>13.010768336116296</v>
      </c>
      <c r="N11" s="101">
        <f>SUM(M11/M126)</f>
        <v>0.00762395896</v>
      </c>
      <c r="O11" s="105">
        <f t="shared" si="4"/>
        <v>549112625.4</v>
      </c>
      <c r="P11" s="106">
        <f t="shared" si="5"/>
        <v>549112626</v>
      </c>
      <c r="Q11" s="107"/>
      <c r="R11" s="108"/>
      <c r="S11" s="109"/>
      <c r="T11" s="109"/>
      <c r="U11" s="110"/>
      <c r="V11" s="110"/>
      <c r="W11" s="110"/>
      <c r="X11" s="110"/>
      <c r="Y11" s="110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</row>
    <row r="12" ht="17.25" customHeight="1">
      <c r="A12" s="111"/>
      <c r="B12" s="112"/>
      <c r="C12" s="112" t="s">
        <v>30</v>
      </c>
      <c r="D12" s="113">
        <f t="shared" ref="D12:P12" si="6">SUM(D7:D11)</f>
        <v>0.06238092311</v>
      </c>
      <c r="E12" s="114">
        <f t="shared" si="6"/>
        <v>59</v>
      </c>
      <c r="F12" s="113">
        <f t="shared" si="6"/>
        <v>0.04867986799</v>
      </c>
      <c r="G12" s="114">
        <f t="shared" si="6"/>
        <v>7379</v>
      </c>
      <c r="H12" s="113">
        <f t="shared" si="6"/>
        <v>0.08426209291</v>
      </c>
      <c r="I12" s="114">
        <f t="shared" si="6"/>
        <v>2907</v>
      </c>
      <c r="J12" s="113">
        <f t="shared" si="6"/>
        <v>0.05099946316</v>
      </c>
      <c r="K12" s="114">
        <f t="shared" si="6"/>
        <v>97751</v>
      </c>
      <c r="L12" s="113">
        <f t="shared" si="6"/>
        <v>0.08652598408</v>
      </c>
      <c r="M12" s="114">
        <f t="shared" si="6"/>
        <v>58.35515774</v>
      </c>
      <c r="N12" s="113">
        <f t="shared" si="6"/>
        <v>0.03419454687</v>
      </c>
      <c r="O12" s="115">
        <f t="shared" si="6"/>
        <v>2753229129</v>
      </c>
      <c r="P12" s="115">
        <f t="shared" si="6"/>
        <v>2753229131</v>
      </c>
      <c r="Q12" s="116"/>
      <c r="R12" s="117"/>
      <c r="S12" s="116"/>
      <c r="T12" s="116"/>
      <c r="U12" s="116">
        <f>SUM(T7:T11)</f>
        <v>0</v>
      </c>
      <c r="V12" s="118"/>
      <c r="W12" s="118"/>
      <c r="X12" s="118"/>
      <c r="Y12" s="118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</row>
    <row r="13" ht="17.25" customHeight="1">
      <c r="A13" s="66"/>
      <c r="B13" s="112" t="s">
        <v>57</v>
      </c>
      <c r="C13" s="119" t="s">
        <v>58</v>
      </c>
      <c r="D13" s="101"/>
      <c r="E13" s="102"/>
      <c r="F13" s="101"/>
      <c r="G13" s="102"/>
      <c r="H13" s="101"/>
      <c r="I13" s="120"/>
      <c r="J13" s="101"/>
      <c r="K13" s="102"/>
      <c r="L13" s="101"/>
      <c r="M13" s="102"/>
      <c r="N13" s="101"/>
      <c r="O13" s="105"/>
      <c r="P13" s="106"/>
      <c r="Q13" s="66"/>
      <c r="R13" s="108"/>
      <c r="S13" s="109"/>
      <c r="T13" s="109"/>
      <c r="U13" s="110"/>
      <c r="V13" s="110"/>
      <c r="W13" s="110"/>
      <c r="X13" s="110"/>
      <c r="Y13" s="110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</row>
    <row r="14" ht="17.25" customHeight="1">
      <c r="A14" s="66"/>
      <c r="B14" s="99">
        <v>6.0</v>
      </c>
      <c r="C14" s="100" t="s">
        <v>59</v>
      </c>
      <c r="D14" s="101">
        <f t="shared" ref="D14:D20" si="7">SUM((F14*$F$4)+(H14*$H$4)+($J$4*J14)+($L$4*L14)+($N$4*N14))</f>
        <v>0.009740669691</v>
      </c>
      <c r="E14" s="102">
        <v>13.0</v>
      </c>
      <c r="F14" s="101">
        <f t="shared" ref="F14:F20" si="8">E14/$E$126</f>
        <v>0.01072607261</v>
      </c>
      <c r="G14" s="102">
        <v>886.0</v>
      </c>
      <c r="H14" s="101">
        <f t="shared" ref="H14:H20" si="9">G14/$G$126</f>
        <v>0.01011738912</v>
      </c>
      <c r="I14" s="102">
        <v>508.0</v>
      </c>
      <c r="J14" s="101">
        <f>SUM(I14/I126)</f>
        <v>0.008912186889</v>
      </c>
      <c r="K14" s="103">
        <v>7091.0</v>
      </c>
      <c r="L14" s="101">
        <f>SUM(K14/K126)</f>
        <v>0.006276720986</v>
      </c>
      <c r="M14" s="104">
        <v>24.942932673678015</v>
      </c>
      <c r="N14" s="101">
        <f>SUM(M14/M126)</f>
        <v>0.0146158851</v>
      </c>
      <c r="O14" s="105">
        <f t="shared" ref="O14:O20" si="10">D14*$O$129</f>
        <v>429911809.3</v>
      </c>
      <c r="P14" s="106">
        <f t="shared" ref="P14:P20" si="11">ROUNDUP(O14,0)</f>
        <v>429911810</v>
      </c>
      <c r="Q14" s="107"/>
      <c r="R14" s="108"/>
      <c r="S14" s="109"/>
      <c r="T14" s="109"/>
      <c r="U14" s="110"/>
      <c r="V14" s="110"/>
      <c r="W14" s="110"/>
      <c r="X14" s="110"/>
      <c r="Y14" s="110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</row>
    <row r="15" ht="17.25" customHeight="1">
      <c r="A15" s="66"/>
      <c r="B15" s="99">
        <v>7.0</v>
      </c>
      <c r="C15" s="100" t="s">
        <v>60</v>
      </c>
      <c r="D15" s="101">
        <f t="shared" si="7"/>
        <v>0.01080602316</v>
      </c>
      <c r="E15" s="102">
        <v>15.0</v>
      </c>
      <c r="F15" s="101">
        <f t="shared" si="8"/>
        <v>0.01237623762</v>
      </c>
      <c r="G15" s="102">
        <v>999.0</v>
      </c>
      <c r="H15" s="101">
        <f t="shared" si="9"/>
        <v>0.0114077559</v>
      </c>
      <c r="I15" s="102">
        <v>489.0</v>
      </c>
      <c r="J15" s="101">
        <f>SUM(I15/I126)</f>
        <v>0.008578857065</v>
      </c>
      <c r="K15" s="103">
        <v>10258.0</v>
      </c>
      <c r="L15" s="101">
        <f>SUM(K15/K126)</f>
        <v>0.009080045675</v>
      </c>
      <c r="M15" s="104">
        <v>21.840940542409793</v>
      </c>
      <c r="N15" s="101">
        <f>SUM(M15/M126)</f>
        <v>0.01279820146</v>
      </c>
      <c r="O15" s="105">
        <f t="shared" si="10"/>
        <v>476931988.9</v>
      </c>
      <c r="P15" s="106">
        <f t="shared" si="11"/>
        <v>476931989</v>
      </c>
      <c r="Q15" s="107"/>
      <c r="R15" s="108"/>
      <c r="S15" s="109"/>
      <c r="T15" s="109"/>
      <c r="U15" s="110"/>
      <c r="V15" s="110"/>
      <c r="W15" s="110"/>
      <c r="X15" s="110"/>
      <c r="Y15" s="110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</row>
    <row r="16" ht="17.25" customHeight="1">
      <c r="A16" s="66"/>
      <c r="B16" s="99">
        <v>8.0</v>
      </c>
      <c r="C16" s="100" t="s">
        <v>61</v>
      </c>
      <c r="D16" s="101">
        <f t="shared" si="7"/>
        <v>0.006725544933</v>
      </c>
      <c r="E16" s="102">
        <v>8.0</v>
      </c>
      <c r="F16" s="101">
        <f t="shared" si="8"/>
        <v>0.006600660066</v>
      </c>
      <c r="G16" s="102">
        <v>532.0</v>
      </c>
      <c r="H16" s="101">
        <f t="shared" si="9"/>
        <v>0.006075001142</v>
      </c>
      <c r="I16" s="102">
        <v>273.5</v>
      </c>
      <c r="J16" s="101">
        <f>SUM(I16/I126)</f>
        <v>0.004798195107</v>
      </c>
      <c r="K16" s="103">
        <v>6614.0</v>
      </c>
      <c r="L16" s="101">
        <f>SUM(K16/K126)</f>
        <v>0.005854496207</v>
      </c>
      <c r="M16" s="104">
        <v>23.888616382763672</v>
      </c>
      <c r="N16" s="101">
        <f>SUM(M16/M126)</f>
        <v>0.01399808422</v>
      </c>
      <c r="O16" s="105">
        <f t="shared" si="10"/>
        <v>296837002.2</v>
      </c>
      <c r="P16" s="106">
        <f t="shared" si="11"/>
        <v>296837003</v>
      </c>
      <c r="Q16" s="107"/>
      <c r="R16" s="108"/>
      <c r="S16" s="109"/>
      <c r="T16" s="109"/>
      <c r="U16" s="110"/>
      <c r="V16" s="110"/>
      <c r="W16" s="110"/>
      <c r="X16" s="110"/>
      <c r="Y16" s="110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</row>
    <row r="17" ht="17.25" customHeight="1">
      <c r="A17" s="66"/>
      <c r="B17" s="99">
        <v>9.0</v>
      </c>
      <c r="C17" s="100" t="s">
        <v>62</v>
      </c>
      <c r="D17" s="101">
        <f t="shared" si="7"/>
        <v>0.007981742799</v>
      </c>
      <c r="E17" s="102">
        <v>8.0</v>
      </c>
      <c r="F17" s="101">
        <f t="shared" si="8"/>
        <v>0.006600660066</v>
      </c>
      <c r="G17" s="102">
        <v>908.0</v>
      </c>
      <c r="H17" s="101">
        <f t="shared" si="9"/>
        <v>0.01036861097</v>
      </c>
      <c r="I17" s="102">
        <v>301.2</v>
      </c>
      <c r="J17" s="101">
        <f>SUM(I17/I126)</f>
        <v>0.005284154904</v>
      </c>
      <c r="K17" s="103">
        <v>9802.0</v>
      </c>
      <c r="L17" s="101">
        <f>SUM(K17/K126)</f>
        <v>0.008676409408</v>
      </c>
      <c r="M17" s="104">
        <v>19.38160497843431</v>
      </c>
      <c r="N17" s="101">
        <f>SUM(M17/M126)</f>
        <v>0.01135709722</v>
      </c>
      <c r="O17" s="105">
        <f t="shared" si="10"/>
        <v>352280243.3</v>
      </c>
      <c r="P17" s="106">
        <f t="shared" si="11"/>
        <v>352280244</v>
      </c>
      <c r="Q17" s="107"/>
      <c r="R17" s="108"/>
      <c r="S17" s="109"/>
      <c r="T17" s="109"/>
      <c r="U17" s="110"/>
      <c r="V17" s="110"/>
      <c r="W17" s="110"/>
      <c r="X17" s="110"/>
      <c r="Y17" s="110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</row>
    <row r="18" ht="17.25" customHeight="1">
      <c r="A18" s="66"/>
      <c r="B18" s="99">
        <v>10.0</v>
      </c>
      <c r="C18" s="100" t="s">
        <v>63</v>
      </c>
      <c r="D18" s="101">
        <f t="shared" si="7"/>
        <v>0.01070200702</v>
      </c>
      <c r="E18" s="102">
        <v>14.0</v>
      </c>
      <c r="F18" s="101">
        <f t="shared" si="8"/>
        <v>0.01155115512</v>
      </c>
      <c r="G18" s="102">
        <v>1259.0</v>
      </c>
      <c r="H18" s="101">
        <f t="shared" si="9"/>
        <v>0.01437674142</v>
      </c>
      <c r="I18" s="102">
        <v>364.0</v>
      </c>
      <c r="J18" s="101">
        <f>SUM(I18/I126)</f>
        <v>0.006385897692</v>
      </c>
      <c r="K18" s="103">
        <v>12525.0</v>
      </c>
      <c r="L18" s="101">
        <f>SUM(K18/K126)</f>
        <v>0.01108671984</v>
      </c>
      <c r="M18" s="104">
        <v>14.792297524401313</v>
      </c>
      <c r="N18" s="101">
        <f>SUM(M18/M126)</f>
        <v>0.008667886964</v>
      </c>
      <c r="O18" s="105">
        <f t="shared" si="10"/>
        <v>472341158.1</v>
      </c>
      <c r="P18" s="106">
        <f t="shared" si="11"/>
        <v>472341159</v>
      </c>
      <c r="Q18" s="107"/>
      <c r="R18" s="108"/>
      <c r="S18" s="109"/>
      <c r="T18" s="109"/>
      <c r="U18" s="110"/>
      <c r="V18" s="110"/>
      <c r="W18" s="110"/>
      <c r="X18" s="110"/>
      <c r="Y18" s="110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</row>
    <row r="19" ht="17.25" customHeight="1">
      <c r="A19" s="66"/>
      <c r="B19" s="99">
        <v>11.0</v>
      </c>
      <c r="C19" s="100" t="s">
        <v>64</v>
      </c>
      <c r="D19" s="101">
        <f t="shared" si="7"/>
        <v>0.0107014735</v>
      </c>
      <c r="E19" s="102">
        <v>8.0</v>
      </c>
      <c r="F19" s="101">
        <f t="shared" si="8"/>
        <v>0.006600660066</v>
      </c>
      <c r="G19" s="102">
        <v>1516.0</v>
      </c>
      <c r="H19" s="101">
        <f t="shared" si="9"/>
        <v>0.01731146942</v>
      </c>
      <c r="I19" s="102">
        <v>341.4</v>
      </c>
      <c r="J19" s="101">
        <f>SUM(I19/I126)</f>
        <v>0.005989410638</v>
      </c>
      <c r="K19" s="103">
        <v>17421.0</v>
      </c>
      <c r="L19" s="101">
        <f>SUM(K19/K126)</f>
        <v>0.0154204987</v>
      </c>
      <c r="M19" s="104">
        <v>16.673118460821037</v>
      </c>
      <c r="N19" s="101">
        <f>SUM(M19/M126)</f>
        <v>0.009769997251</v>
      </c>
      <c r="O19" s="105">
        <f t="shared" si="10"/>
        <v>472317610.6</v>
      </c>
      <c r="P19" s="106">
        <f t="shared" si="11"/>
        <v>472317611</v>
      </c>
      <c r="Q19" s="107"/>
      <c r="R19" s="108"/>
      <c r="S19" s="109"/>
      <c r="T19" s="109"/>
      <c r="U19" s="110"/>
      <c r="V19" s="110"/>
      <c r="W19" s="110"/>
      <c r="X19" s="110"/>
      <c r="Y19" s="110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</row>
    <row r="20" ht="17.25" customHeight="1">
      <c r="A20" s="66"/>
      <c r="B20" s="99">
        <v>12.0</v>
      </c>
      <c r="C20" s="100" t="s">
        <v>65</v>
      </c>
      <c r="D20" s="101">
        <f t="shared" si="7"/>
        <v>0.008546939839</v>
      </c>
      <c r="E20" s="102">
        <v>11.0</v>
      </c>
      <c r="F20" s="101">
        <f t="shared" si="8"/>
        <v>0.009075907591</v>
      </c>
      <c r="G20" s="102">
        <v>770.0</v>
      </c>
      <c r="H20" s="101">
        <f t="shared" si="9"/>
        <v>0.008792764811</v>
      </c>
      <c r="I20" s="102">
        <v>275.5</v>
      </c>
      <c r="J20" s="101">
        <f>SUM(I20/I126)</f>
        <v>0.004833282457</v>
      </c>
      <c r="K20" s="103">
        <v>9174.0</v>
      </c>
      <c r="L20" s="101">
        <f>SUM(K20/K126)</f>
        <v>0.008120524373</v>
      </c>
      <c r="M20" s="104">
        <v>25.169303579341396</v>
      </c>
      <c r="N20" s="101">
        <f>SUM(M20/M126)</f>
        <v>0.01474853234</v>
      </c>
      <c r="O20" s="105">
        <f t="shared" si="10"/>
        <v>377225641.3</v>
      </c>
      <c r="P20" s="106">
        <f t="shared" si="11"/>
        <v>377225642</v>
      </c>
      <c r="Q20" s="107"/>
      <c r="R20" s="108"/>
      <c r="S20" s="109"/>
      <c r="T20" s="109"/>
      <c r="U20" s="110"/>
      <c r="V20" s="110"/>
      <c r="W20" s="110"/>
      <c r="X20" s="110"/>
      <c r="Y20" s="110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</row>
    <row r="21" ht="17.25" customHeight="1">
      <c r="A21" s="111"/>
      <c r="B21" s="112"/>
      <c r="C21" s="112" t="s">
        <v>30</v>
      </c>
      <c r="D21" s="113">
        <f t="shared" ref="D21:P21" si="12">SUM(D14:D20)</f>
        <v>0.06520440094</v>
      </c>
      <c r="E21" s="114">
        <f t="shared" si="12"/>
        <v>77</v>
      </c>
      <c r="F21" s="113">
        <f t="shared" si="12"/>
        <v>0.06353135314</v>
      </c>
      <c r="G21" s="114">
        <f t="shared" si="12"/>
        <v>6870</v>
      </c>
      <c r="H21" s="113">
        <f t="shared" si="12"/>
        <v>0.07844973279</v>
      </c>
      <c r="I21" s="114">
        <f t="shared" si="12"/>
        <v>2552.6</v>
      </c>
      <c r="J21" s="113">
        <f t="shared" si="12"/>
        <v>0.04478198475</v>
      </c>
      <c r="K21" s="114">
        <f t="shared" si="12"/>
        <v>72885</v>
      </c>
      <c r="L21" s="113">
        <f t="shared" si="12"/>
        <v>0.06451541519</v>
      </c>
      <c r="M21" s="114">
        <f t="shared" si="12"/>
        <v>146.6888141</v>
      </c>
      <c r="N21" s="113">
        <f t="shared" si="12"/>
        <v>0.08595568455</v>
      </c>
      <c r="O21" s="115">
        <f t="shared" si="12"/>
        <v>2877845454</v>
      </c>
      <c r="P21" s="115">
        <f t="shared" si="12"/>
        <v>2877845458</v>
      </c>
      <c r="Q21" s="116"/>
      <c r="R21" s="117"/>
      <c r="S21" s="116"/>
      <c r="T21" s="116"/>
      <c r="U21" s="118"/>
      <c r="V21" s="118"/>
      <c r="W21" s="118"/>
      <c r="X21" s="118"/>
      <c r="Y21" s="118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</row>
    <row r="22" ht="17.25" customHeight="1">
      <c r="A22" s="66"/>
      <c r="B22" s="112" t="s">
        <v>66</v>
      </c>
      <c r="C22" s="119" t="s">
        <v>67</v>
      </c>
      <c r="D22" s="101"/>
      <c r="E22" s="102"/>
      <c r="F22" s="101"/>
      <c r="G22" s="102"/>
      <c r="H22" s="101"/>
      <c r="I22" s="120"/>
      <c r="J22" s="101"/>
      <c r="K22" s="102"/>
      <c r="L22" s="101"/>
      <c r="M22" s="102"/>
      <c r="N22" s="101"/>
      <c r="O22" s="105"/>
      <c r="P22" s="106"/>
      <c r="Q22" s="66"/>
      <c r="R22" s="108"/>
      <c r="S22" s="109"/>
      <c r="T22" s="109"/>
      <c r="U22" s="110"/>
      <c r="V22" s="110"/>
      <c r="W22" s="110"/>
      <c r="X22" s="110"/>
      <c r="Y22" s="110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</row>
    <row r="23" ht="17.25" customHeight="1">
      <c r="A23" s="66"/>
      <c r="B23" s="99">
        <v>13.0</v>
      </c>
      <c r="C23" s="100" t="s">
        <v>68</v>
      </c>
      <c r="D23" s="101">
        <f t="shared" ref="D23:D26" si="13">SUM((F23*$F$4)+(H23*$H$4)+($J$4*J23)+($L$4*L23)+($N$4*N23))</f>
        <v>0.0100418096</v>
      </c>
      <c r="E23" s="102">
        <v>15.0</v>
      </c>
      <c r="F23" s="101">
        <f t="shared" ref="F23:F26" si="14">E23/$E$126</f>
        <v>0.01237623762</v>
      </c>
      <c r="G23" s="102">
        <v>586.0</v>
      </c>
      <c r="H23" s="101">
        <f t="shared" ref="H23:H26" si="15">G23/$G$126</f>
        <v>0.006691636596</v>
      </c>
      <c r="I23" s="102">
        <v>631.0</v>
      </c>
      <c r="J23" s="101">
        <f>SUM(I23/I126)</f>
        <v>0.01107005891</v>
      </c>
      <c r="K23" s="103">
        <v>6663.0</v>
      </c>
      <c r="L23" s="101">
        <f>SUM(K23/K126)</f>
        <v>0.005897869402</v>
      </c>
      <c r="M23" s="104">
        <v>27.254247636495677</v>
      </c>
      <c r="N23" s="101">
        <f>SUM(M23/M126)</f>
        <v>0.01597025326</v>
      </c>
      <c r="O23" s="105">
        <f t="shared" ref="O23:O26" si="16">D23*$O$129</f>
        <v>443202846.3</v>
      </c>
      <c r="P23" s="106">
        <f t="shared" ref="P23:P26" si="17">ROUNDUP(O23,0)</f>
        <v>443202847</v>
      </c>
      <c r="Q23" s="107"/>
      <c r="R23" s="108"/>
      <c r="S23" s="109"/>
      <c r="T23" s="109"/>
      <c r="U23" s="110"/>
      <c r="V23" s="110"/>
      <c r="W23" s="110"/>
      <c r="X23" s="110"/>
      <c r="Y23" s="110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</row>
    <row r="24" ht="17.25" customHeight="1">
      <c r="A24" s="66"/>
      <c r="B24" s="99">
        <v>14.0</v>
      </c>
      <c r="C24" s="100" t="s">
        <v>69</v>
      </c>
      <c r="D24" s="101">
        <f t="shared" si="13"/>
        <v>0.009858691995</v>
      </c>
      <c r="E24" s="102">
        <v>13.0</v>
      </c>
      <c r="F24" s="101">
        <f t="shared" si="14"/>
        <v>0.01072607261</v>
      </c>
      <c r="G24" s="102">
        <v>793.0</v>
      </c>
      <c r="H24" s="101">
        <f t="shared" si="15"/>
        <v>0.009055405837</v>
      </c>
      <c r="I24" s="102">
        <v>546.0</v>
      </c>
      <c r="J24" s="101">
        <f>SUM(I24/I126)</f>
        <v>0.009578846538</v>
      </c>
      <c r="K24" s="103">
        <v>8291.0</v>
      </c>
      <c r="L24" s="101">
        <f>SUM(K24/K126)</f>
        <v>0.007338921689</v>
      </c>
      <c r="M24" s="104">
        <v>24.680922128339937</v>
      </c>
      <c r="N24" s="101">
        <f>SUM(M24/M126)</f>
        <v>0.01446235399</v>
      </c>
      <c r="O24" s="105">
        <f t="shared" si="16"/>
        <v>435120812.8</v>
      </c>
      <c r="P24" s="106">
        <f t="shared" si="17"/>
        <v>435120813</v>
      </c>
      <c r="Q24" s="107"/>
      <c r="R24" s="108"/>
      <c r="S24" s="109"/>
      <c r="T24" s="109"/>
      <c r="U24" s="110"/>
      <c r="V24" s="110"/>
      <c r="W24" s="110"/>
      <c r="X24" s="110"/>
      <c r="Y24" s="110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</row>
    <row r="25" ht="17.25" customHeight="1">
      <c r="A25" s="66"/>
      <c r="B25" s="99">
        <v>15.0</v>
      </c>
      <c r="C25" s="100" t="s">
        <v>70</v>
      </c>
      <c r="D25" s="101">
        <f t="shared" si="13"/>
        <v>0.0138808209</v>
      </c>
      <c r="E25" s="102">
        <v>21.0</v>
      </c>
      <c r="F25" s="101">
        <f t="shared" si="14"/>
        <v>0.01732673267</v>
      </c>
      <c r="G25" s="102">
        <v>1073.0</v>
      </c>
      <c r="H25" s="101">
        <f t="shared" si="15"/>
        <v>0.01225277486</v>
      </c>
      <c r="I25" s="102">
        <v>820.0</v>
      </c>
      <c r="J25" s="101">
        <f>SUM(I25/I126)</f>
        <v>0.01438581348</v>
      </c>
      <c r="K25" s="103">
        <v>11855.0</v>
      </c>
      <c r="L25" s="101">
        <f>SUM(K25/K126)</f>
        <v>0.01049365778</v>
      </c>
      <c r="M25" s="104">
        <v>21.44043960967607</v>
      </c>
      <c r="N25" s="101">
        <f>SUM(M25/M126)</f>
        <v>0.01256351873</v>
      </c>
      <c r="O25" s="105">
        <f t="shared" si="16"/>
        <v>612640508</v>
      </c>
      <c r="P25" s="106">
        <f t="shared" si="17"/>
        <v>612640508</v>
      </c>
      <c r="Q25" s="107"/>
      <c r="R25" s="108"/>
      <c r="S25" s="109"/>
      <c r="T25" s="109"/>
      <c r="U25" s="110"/>
      <c r="V25" s="110"/>
      <c r="W25" s="110"/>
      <c r="X25" s="110"/>
      <c r="Y25" s="110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</row>
    <row r="26" ht="17.25" customHeight="1">
      <c r="A26" s="66"/>
      <c r="B26" s="99">
        <v>16.0</v>
      </c>
      <c r="C26" s="100" t="s">
        <v>71</v>
      </c>
      <c r="D26" s="101">
        <f t="shared" si="13"/>
        <v>0.01105482424</v>
      </c>
      <c r="E26" s="102">
        <v>16.0</v>
      </c>
      <c r="F26" s="101">
        <f t="shared" si="14"/>
        <v>0.01320132013</v>
      </c>
      <c r="G26" s="102">
        <v>747.0</v>
      </c>
      <c r="H26" s="101">
        <f t="shared" si="15"/>
        <v>0.008530123784</v>
      </c>
      <c r="I26" s="102">
        <v>765.0</v>
      </c>
      <c r="J26" s="101">
        <f>SUM(I26/I126)</f>
        <v>0.01342091136</v>
      </c>
      <c r="K26" s="103">
        <v>7175.0</v>
      </c>
      <c r="L26" s="101">
        <f>SUM(K26/K126)</f>
        <v>0.006351075036</v>
      </c>
      <c r="M26" s="104">
        <v>24.472222552473735</v>
      </c>
      <c r="N26" s="101">
        <f>SUM(M26/M126)</f>
        <v>0.01434006168</v>
      </c>
      <c r="O26" s="105">
        <f t="shared" si="16"/>
        <v>487913012.5</v>
      </c>
      <c r="P26" s="106">
        <f t="shared" si="17"/>
        <v>487913013</v>
      </c>
      <c r="Q26" s="107"/>
      <c r="R26" s="108"/>
      <c r="S26" s="109"/>
      <c r="T26" s="109"/>
      <c r="U26" s="110"/>
      <c r="V26" s="110"/>
      <c r="W26" s="110"/>
      <c r="X26" s="110"/>
      <c r="Y26" s="110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</row>
    <row r="27" ht="17.25" customHeight="1">
      <c r="A27" s="111"/>
      <c r="B27" s="112"/>
      <c r="C27" s="112" t="s">
        <v>30</v>
      </c>
      <c r="D27" s="113">
        <f t="shared" ref="D27:P27" si="18">SUM(D23:D26)</f>
        <v>0.04483614673</v>
      </c>
      <c r="E27" s="114">
        <f t="shared" si="18"/>
        <v>65</v>
      </c>
      <c r="F27" s="113">
        <f t="shared" si="18"/>
        <v>0.05363036304</v>
      </c>
      <c r="G27" s="114">
        <f t="shared" si="18"/>
        <v>3199</v>
      </c>
      <c r="H27" s="113">
        <f t="shared" si="18"/>
        <v>0.03652994108</v>
      </c>
      <c r="I27" s="114">
        <f t="shared" si="18"/>
        <v>2762</v>
      </c>
      <c r="J27" s="113">
        <f t="shared" si="18"/>
        <v>0.04845563029</v>
      </c>
      <c r="K27" s="114">
        <f t="shared" si="18"/>
        <v>33984</v>
      </c>
      <c r="L27" s="113">
        <f t="shared" si="18"/>
        <v>0.0300815239</v>
      </c>
      <c r="M27" s="114">
        <f t="shared" si="18"/>
        <v>97.84783193</v>
      </c>
      <c r="N27" s="113">
        <f t="shared" si="18"/>
        <v>0.05733618766</v>
      </c>
      <c r="O27" s="115">
        <f t="shared" si="18"/>
        <v>1978877180</v>
      </c>
      <c r="P27" s="115">
        <f t="shared" si="18"/>
        <v>1978877181</v>
      </c>
      <c r="Q27" s="116"/>
      <c r="R27" s="117"/>
      <c r="S27" s="116"/>
      <c r="T27" s="116"/>
      <c r="U27" s="118"/>
      <c r="V27" s="118"/>
      <c r="W27" s="118"/>
      <c r="X27" s="118"/>
      <c r="Y27" s="118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</row>
    <row r="28" ht="17.25" customHeight="1">
      <c r="A28" s="66"/>
      <c r="B28" s="112" t="s">
        <v>72</v>
      </c>
      <c r="C28" s="119" t="s">
        <v>73</v>
      </c>
      <c r="D28" s="101"/>
      <c r="E28" s="102"/>
      <c r="F28" s="101"/>
      <c r="G28" s="102"/>
      <c r="H28" s="101"/>
      <c r="I28" s="120"/>
      <c r="J28" s="101"/>
      <c r="K28" s="102"/>
      <c r="L28" s="101"/>
      <c r="M28" s="102"/>
      <c r="N28" s="101"/>
      <c r="O28" s="105"/>
      <c r="P28" s="106"/>
      <c r="Q28" s="66"/>
      <c r="R28" s="108"/>
      <c r="S28" s="109"/>
      <c r="T28" s="109"/>
      <c r="U28" s="110"/>
      <c r="V28" s="110"/>
      <c r="W28" s="110"/>
      <c r="X28" s="110"/>
      <c r="Y28" s="110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</row>
    <row r="29" ht="17.25" customHeight="1">
      <c r="A29" s="66"/>
      <c r="B29" s="99">
        <v>17.0</v>
      </c>
      <c r="C29" s="100" t="s">
        <v>74</v>
      </c>
      <c r="D29" s="101">
        <f t="shared" ref="D29:D33" si="19">SUM((F29*$F$4)+(H29*$H$4)+($J$4*J29)+($L$4*L29)+($N$4*N29))</f>
        <v>0.005617334654</v>
      </c>
      <c r="E29" s="102">
        <v>9.0</v>
      </c>
      <c r="F29" s="101">
        <f t="shared" ref="F29:F33" si="20">E29/$E$126</f>
        <v>0.007425742574</v>
      </c>
      <c r="G29" s="102">
        <v>300.0</v>
      </c>
      <c r="H29" s="101">
        <f t="shared" ref="H29:H33" si="21">G29/$G$126</f>
        <v>0.003425752524</v>
      </c>
      <c r="I29" s="102">
        <v>345.0</v>
      </c>
      <c r="J29" s="101">
        <f>SUM(I29/I126)</f>
        <v>0.006052567868</v>
      </c>
      <c r="K29" s="103">
        <v>3635.0</v>
      </c>
      <c r="L29" s="101">
        <f>SUM(K29/K126)</f>
        <v>0.003217582962</v>
      </c>
      <c r="M29" s="104">
        <v>14.513146689450025</v>
      </c>
      <c r="N29" s="101">
        <f>SUM(M29/M126)</f>
        <v>0.008504312111</v>
      </c>
      <c r="O29" s="105">
        <f t="shared" ref="O29:O33" si="22">D29*$O$129</f>
        <v>247925305.1</v>
      </c>
      <c r="P29" s="106">
        <f t="shared" ref="P29:P33" si="23">ROUNDUP(O29,0)</f>
        <v>247925306</v>
      </c>
      <c r="Q29" s="107"/>
      <c r="R29" s="108"/>
      <c r="S29" s="109"/>
      <c r="T29" s="109"/>
      <c r="U29" s="110"/>
      <c r="V29" s="110"/>
      <c r="W29" s="110"/>
      <c r="X29" s="110"/>
      <c r="Y29" s="110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</row>
    <row r="30" ht="17.25" customHeight="1">
      <c r="A30" s="66"/>
      <c r="B30" s="99">
        <v>18.0</v>
      </c>
      <c r="C30" s="100" t="s">
        <v>75</v>
      </c>
      <c r="D30" s="101">
        <f t="shared" si="19"/>
        <v>0.01081089843</v>
      </c>
      <c r="E30" s="102">
        <v>16.0</v>
      </c>
      <c r="F30" s="101">
        <f t="shared" si="20"/>
        <v>0.01320132013</v>
      </c>
      <c r="G30" s="102">
        <v>960.0</v>
      </c>
      <c r="H30" s="101">
        <f t="shared" si="21"/>
        <v>0.01096240808</v>
      </c>
      <c r="I30" s="102">
        <v>670.0</v>
      </c>
      <c r="J30" s="101">
        <f>SUM(I30/I126)</f>
        <v>0.01175426224</v>
      </c>
      <c r="K30" s="103">
        <v>7025.0</v>
      </c>
      <c r="L30" s="101">
        <f>SUM(K30/K126)</f>
        <v>0.006218299948</v>
      </c>
      <c r="M30" s="104">
        <v>18.149442746435888</v>
      </c>
      <c r="N30" s="101">
        <f>SUM(M30/M126)</f>
        <v>0.01063508342</v>
      </c>
      <c r="O30" s="105">
        <f t="shared" si="22"/>
        <v>477147162.7</v>
      </c>
      <c r="P30" s="106">
        <f t="shared" si="23"/>
        <v>477147163</v>
      </c>
      <c r="Q30" s="107"/>
      <c r="R30" s="108"/>
      <c r="S30" s="109"/>
      <c r="T30" s="109"/>
      <c r="U30" s="110"/>
      <c r="V30" s="110"/>
      <c r="W30" s="110"/>
      <c r="X30" s="110"/>
      <c r="Y30" s="110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</row>
    <row r="31" ht="17.25" customHeight="1">
      <c r="A31" s="66"/>
      <c r="B31" s="99">
        <v>19.0</v>
      </c>
      <c r="C31" s="100" t="s">
        <v>76</v>
      </c>
      <c r="D31" s="101">
        <f t="shared" si="19"/>
        <v>0.0113772094</v>
      </c>
      <c r="E31" s="102">
        <v>15.0</v>
      </c>
      <c r="F31" s="101">
        <f t="shared" si="20"/>
        <v>0.01237623762</v>
      </c>
      <c r="G31" s="102">
        <v>1150.0</v>
      </c>
      <c r="H31" s="101">
        <f t="shared" si="21"/>
        <v>0.01313205134</v>
      </c>
      <c r="I31" s="102">
        <v>656.0</v>
      </c>
      <c r="J31" s="101">
        <f>SUM(I31/I126)</f>
        <v>0.01150865079</v>
      </c>
      <c r="K31" s="103">
        <v>8255.0</v>
      </c>
      <c r="L31" s="101">
        <f>SUM(K31/K126)</f>
        <v>0.007307055668</v>
      </c>
      <c r="M31" s="104">
        <v>21.755039143715067</v>
      </c>
      <c r="N31" s="101">
        <f>SUM(M31/M126)</f>
        <v>0.01274786556</v>
      </c>
      <c r="O31" s="105">
        <f t="shared" si="22"/>
        <v>502141724.8</v>
      </c>
      <c r="P31" s="106">
        <f t="shared" si="23"/>
        <v>502141725</v>
      </c>
      <c r="Q31" s="107"/>
      <c r="R31" s="108"/>
      <c r="S31" s="109"/>
      <c r="T31" s="109"/>
      <c r="U31" s="110"/>
      <c r="V31" s="110"/>
      <c r="W31" s="110"/>
      <c r="X31" s="110"/>
      <c r="Y31" s="110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</row>
    <row r="32" ht="17.25" customHeight="1">
      <c r="A32" s="66"/>
      <c r="B32" s="99">
        <v>20.0</v>
      </c>
      <c r="C32" s="100" t="s">
        <v>77</v>
      </c>
      <c r="D32" s="101">
        <f t="shared" si="19"/>
        <v>0.008383079497</v>
      </c>
      <c r="E32" s="102">
        <v>12.0</v>
      </c>
      <c r="F32" s="101">
        <f t="shared" si="20"/>
        <v>0.009900990099</v>
      </c>
      <c r="G32" s="102">
        <v>640.0</v>
      </c>
      <c r="H32" s="101">
        <f t="shared" si="21"/>
        <v>0.00730827205</v>
      </c>
      <c r="I32" s="102">
        <v>458.0</v>
      </c>
      <c r="J32" s="101">
        <f>SUM(I32/I126)</f>
        <v>0.00803500314</v>
      </c>
      <c r="K32" s="103">
        <v>5158.0</v>
      </c>
      <c r="L32" s="101">
        <f>SUM(K32/K126)</f>
        <v>0.004565692688</v>
      </c>
      <c r="M32" s="104">
        <v>24.420730824875072</v>
      </c>
      <c r="N32" s="101">
        <f>SUM(M32/M126)</f>
        <v>0.01430988891</v>
      </c>
      <c r="O32" s="105">
        <f t="shared" si="22"/>
        <v>369993541.4</v>
      </c>
      <c r="P32" s="106">
        <f t="shared" si="23"/>
        <v>369993542</v>
      </c>
      <c r="Q32" s="107"/>
      <c r="R32" s="108"/>
      <c r="S32" s="109"/>
      <c r="T32" s="109"/>
      <c r="U32" s="110"/>
      <c r="V32" s="110"/>
      <c r="W32" s="110"/>
      <c r="X32" s="110"/>
      <c r="Y32" s="110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</row>
    <row r="33" ht="17.25" customHeight="1">
      <c r="A33" s="66"/>
      <c r="B33" s="99">
        <v>21.0</v>
      </c>
      <c r="C33" s="100" t="s">
        <v>78</v>
      </c>
      <c r="D33" s="101">
        <f t="shared" si="19"/>
        <v>0.01129246407</v>
      </c>
      <c r="E33" s="102">
        <v>16.0</v>
      </c>
      <c r="F33" s="101">
        <f t="shared" si="20"/>
        <v>0.01320132013</v>
      </c>
      <c r="G33" s="102">
        <v>1046.0</v>
      </c>
      <c r="H33" s="101">
        <f t="shared" si="21"/>
        <v>0.01194445713</v>
      </c>
      <c r="I33" s="102">
        <v>598.0</v>
      </c>
      <c r="J33" s="101">
        <f>SUM(I33/I126)</f>
        <v>0.01049111764</v>
      </c>
      <c r="K33" s="103">
        <v>8759.0</v>
      </c>
      <c r="L33" s="101">
        <f>SUM(K33/K126)</f>
        <v>0.007753179963</v>
      </c>
      <c r="M33" s="104">
        <v>22.088339922263394</v>
      </c>
      <c r="N33" s="101">
        <f>SUM(M33/M126)</f>
        <v>0.01294317082</v>
      </c>
      <c r="O33" s="105">
        <f t="shared" si="22"/>
        <v>498401425.5</v>
      </c>
      <c r="P33" s="106">
        <f t="shared" si="23"/>
        <v>498401426</v>
      </c>
      <c r="Q33" s="107"/>
      <c r="R33" s="108"/>
      <c r="S33" s="109"/>
      <c r="T33" s="109"/>
      <c r="U33" s="110"/>
      <c r="V33" s="110"/>
      <c r="W33" s="110"/>
      <c r="X33" s="110"/>
      <c r="Y33" s="110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</row>
    <row r="34" ht="17.25" customHeight="1">
      <c r="A34" s="111"/>
      <c r="B34" s="112"/>
      <c r="C34" s="112" t="s">
        <v>30</v>
      </c>
      <c r="D34" s="113">
        <f t="shared" ref="D34:P34" si="24">SUM(D29:D33)</f>
        <v>0.04748098606</v>
      </c>
      <c r="E34" s="114">
        <f t="shared" si="24"/>
        <v>68</v>
      </c>
      <c r="F34" s="113">
        <f t="shared" si="24"/>
        <v>0.05610561056</v>
      </c>
      <c r="G34" s="114">
        <f t="shared" si="24"/>
        <v>4096</v>
      </c>
      <c r="H34" s="113">
        <f t="shared" si="24"/>
        <v>0.04677294112</v>
      </c>
      <c r="I34" s="114">
        <f t="shared" si="24"/>
        <v>2727</v>
      </c>
      <c r="J34" s="113">
        <f t="shared" si="24"/>
        <v>0.04784160167</v>
      </c>
      <c r="K34" s="114">
        <f t="shared" si="24"/>
        <v>32832</v>
      </c>
      <c r="L34" s="113">
        <f t="shared" si="24"/>
        <v>0.02906181123</v>
      </c>
      <c r="M34" s="114">
        <f t="shared" si="24"/>
        <v>100.9266993</v>
      </c>
      <c r="N34" s="113">
        <f t="shared" si="24"/>
        <v>0.05914032083</v>
      </c>
      <c r="O34" s="115">
        <f t="shared" si="24"/>
        <v>2095609160</v>
      </c>
      <c r="P34" s="115">
        <f t="shared" si="24"/>
        <v>2095609162</v>
      </c>
      <c r="Q34" s="116"/>
      <c r="R34" s="117"/>
      <c r="S34" s="116"/>
      <c r="T34" s="116"/>
      <c r="U34" s="118"/>
      <c r="V34" s="118"/>
      <c r="W34" s="118"/>
      <c r="X34" s="118"/>
      <c r="Y34" s="118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</row>
    <row r="35" ht="17.25" customHeight="1">
      <c r="A35" s="66"/>
      <c r="B35" s="112" t="s">
        <v>79</v>
      </c>
      <c r="C35" s="119" t="s">
        <v>80</v>
      </c>
      <c r="D35" s="101"/>
      <c r="E35" s="102"/>
      <c r="F35" s="101"/>
      <c r="G35" s="102"/>
      <c r="H35" s="101"/>
      <c r="I35" s="120"/>
      <c r="J35" s="101"/>
      <c r="K35" s="102"/>
      <c r="L35" s="101"/>
      <c r="M35" s="102"/>
      <c r="N35" s="101"/>
      <c r="O35" s="105"/>
      <c r="P35" s="106"/>
      <c r="Q35" s="66"/>
      <c r="R35" s="108"/>
      <c r="S35" s="109"/>
      <c r="T35" s="109"/>
      <c r="U35" s="110"/>
      <c r="V35" s="110"/>
      <c r="W35" s="110"/>
      <c r="X35" s="110"/>
      <c r="Y35" s="110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</row>
    <row r="36" ht="17.25" customHeight="1">
      <c r="A36" s="66"/>
      <c r="B36" s="99">
        <v>22.0</v>
      </c>
      <c r="C36" s="100" t="s">
        <v>81</v>
      </c>
      <c r="D36" s="101">
        <f t="shared" ref="D36:D40" si="25">SUM((F36*$F$4)+(H36*$H$4)+($J$4*J36)+($L$4*L36)+($N$4*N36))</f>
        <v>0.01212147741</v>
      </c>
      <c r="E36" s="102">
        <v>14.0</v>
      </c>
      <c r="F36" s="101">
        <f t="shared" ref="F36:F40" si="26">E36/$E$126</f>
        <v>0.01155115512</v>
      </c>
      <c r="G36" s="102">
        <v>1568.0</v>
      </c>
      <c r="H36" s="101">
        <f t="shared" ref="H36:H40" si="27">G36/$G$126</f>
        <v>0.01790526652</v>
      </c>
      <c r="I36" s="102">
        <v>500.0</v>
      </c>
      <c r="J36" s="101">
        <f>SUM(I36/I126)</f>
        <v>0.008771837489</v>
      </c>
      <c r="K36" s="103">
        <v>11292.0</v>
      </c>
      <c r="L36" s="101">
        <f>SUM(K36/K126)</f>
        <v>0.009995308614</v>
      </c>
      <c r="M36" s="104">
        <v>22.554765225507722</v>
      </c>
      <c r="N36" s="101">
        <f>SUM(M36/M126)</f>
        <v>0.01321648345</v>
      </c>
      <c r="O36" s="105">
        <f t="shared" ref="O36:O40" si="28">D36*$O$129</f>
        <v>534990554.9</v>
      </c>
      <c r="P36" s="106">
        <f t="shared" ref="P36:P40" si="29">ROUNDUP(O36,0)</f>
        <v>534990555</v>
      </c>
      <c r="Q36" s="107"/>
      <c r="R36" s="108"/>
      <c r="S36" s="109"/>
      <c r="T36" s="109"/>
      <c r="U36" s="110"/>
      <c r="V36" s="110"/>
      <c r="W36" s="110"/>
      <c r="X36" s="110"/>
      <c r="Y36" s="110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</row>
    <row r="37" ht="17.25" customHeight="1">
      <c r="A37" s="66"/>
      <c r="B37" s="99">
        <v>23.0</v>
      </c>
      <c r="C37" s="100" t="s">
        <v>82</v>
      </c>
      <c r="D37" s="101">
        <f t="shared" si="25"/>
        <v>0.01160380226</v>
      </c>
      <c r="E37" s="102">
        <v>16.0</v>
      </c>
      <c r="F37" s="101">
        <f t="shared" si="26"/>
        <v>0.01320132013</v>
      </c>
      <c r="G37" s="102">
        <v>1140.0</v>
      </c>
      <c r="H37" s="101">
        <f t="shared" si="27"/>
        <v>0.01301785959</v>
      </c>
      <c r="I37" s="102">
        <v>611.0</v>
      </c>
      <c r="J37" s="101">
        <f>SUM(I37/I126)</f>
        <v>0.01071918541</v>
      </c>
      <c r="K37" s="103">
        <v>9637.0</v>
      </c>
      <c r="L37" s="101">
        <f>SUM(K37/K126)</f>
        <v>0.008530356811</v>
      </c>
      <c r="M37" s="104">
        <v>20.3068375649541</v>
      </c>
      <c r="N37" s="101">
        <f>SUM(M37/M126)</f>
        <v>0.01189925854</v>
      </c>
      <c r="O37" s="105">
        <f t="shared" si="28"/>
        <v>512142571.4</v>
      </c>
      <c r="P37" s="106">
        <f t="shared" si="29"/>
        <v>512142572</v>
      </c>
      <c r="Q37" s="107"/>
      <c r="R37" s="108"/>
      <c r="S37" s="109"/>
      <c r="T37" s="109"/>
      <c r="U37" s="110"/>
      <c r="V37" s="110"/>
      <c r="W37" s="110"/>
      <c r="X37" s="110"/>
      <c r="Y37" s="110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</row>
    <row r="38" ht="17.25" customHeight="1">
      <c r="A38" s="66"/>
      <c r="B38" s="99">
        <v>24.0</v>
      </c>
      <c r="C38" s="100" t="s">
        <v>83</v>
      </c>
      <c r="D38" s="101">
        <f t="shared" si="25"/>
        <v>0.009699850719</v>
      </c>
      <c r="E38" s="102">
        <v>12.0</v>
      </c>
      <c r="F38" s="101">
        <f t="shared" si="26"/>
        <v>0.009900990099</v>
      </c>
      <c r="G38" s="102">
        <v>891.0</v>
      </c>
      <c r="H38" s="101">
        <f t="shared" si="27"/>
        <v>0.010174485</v>
      </c>
      <c r="I38" s="102">
        <v>515.0</v>
      </c>
      <c r="J38" s="101">
        <f>SUM(I38/I126)</f>
        <v>0.009034992614</v>
      </c>
      <c r="K38" s="103">
        <v>8098.0</v>
      </c>
      <c r="L38" s="101">
        <f>SUM(K38/K126)</f>
        <v>0.00716808441</v>
      </c>
      <c r="M38" s="104">
        <v>24.81413451501456</v>
      </c>
      <c r="N38" s="101">
        <f>SUM(M38/M126)</f>
        <v>0.01454041286</v>
      </c>
      <c r="O38" s="105">
        <f t="shared" si="28"/>
        <v>428110233.2</v>
      </c>
      <c r="P38" s="106">
        <f t="shared" si="29"/>
        <v>428110234</v>
      </c>
      <c r="Q38" s="107"/>
      <c r="R38" s="108"/>
      <c r="S38" s="109"/>
      <c r="T38" s="109"/>
      <c r="U38" s="110"/>
      <c r="V38" s="110"/>
      <c r="W38" s="110"/>
      <c r="X38" s="110"/>
      <c r="Y38" s="110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</row>
    <row r="39" ht="17.25" customHeight="1">
      <c r="A39" s="66"/>
      <c r="B39" s="99">
        <v>25.0</v>
      </c>
      <c r="C39" s="100" t="s">
        <v>84</v>
      </c>
      <c r="D39" s="101">
        <f t="shared" si="25"/>
        <v>0.01251594826</v>
      </c>
      <c r="E39" s="102">
        <v>13.0</v>
      </c>
      <c r="F39" s="101">
        <f t="shared" si="26"/>
        <v>0.01072607261</v>
      </c>
      <c r="G39" s="102">
        <v>1675.0</v>
      </c>
      <c r="H39" s="101">
        <f t="shared" si="27"/>
        <v>0.01912711826</v>
      </c>
      <c r="I39" s="102">
        <v>519.0</v>
      </c>
      <c r="J39" s="101">
        <f>SUM(I39/I126)</f>
        <v>0.009105167314</v>
      </c>
      <c r="K39" s="103">
        <v>13538.0</v>
      </c>
      <c r="L39" s="101">
        <f>SUM(K39/K126)</f>
        <v>0.01198339426</v>
      </c>
      <c r="M39" s="104">
        <v>21.417207109164842</v>
      </c>
      <c r="N39" s="101">
        <f>SUM(M39/M126)</f>
        <v>0.01254990511</v>
      </c>
      <c r="O39" s="105">
        <f t="shared" si="28"/>
        <v>552400823.8</v>
      </c>
      <c r="P39" s="106">
        <f t="shared" si="29"/>
        <v>552400824</v>
      </c>
      <c r="Q39" s="107"/>
      <c r="R39" s="108"/>
      <c r="S39" s="109"/>
      <c r="T39" s="109"/>
      <c r="U39" s="110"/>
      <c r="V39" s="110"/>
      <c r="W39" s="110"/>
      <c r="X39" s="110"/>
      <c r="Y39" s="110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</row>
    <row r="40" ht="17.25" customHeight="1">
      <c r="A40" s="66"/>
      <c r="B40" s="99">
        <v>26.0</v>
      </c>
      <c r="C40" s="100" t="s">
        <v>85</v>
      </c>
      <c r="D40" s="101">
        <f t="shared" si="25"/>
        <v>0.01152576301</v>
      </c>
      <c r="E40" s="102">
        <v>12.0</v>
      </c>
      <c r="F40" s="101">
        <f t="shared" si="26"/>
        <v>0.009900990099</v>
      </c>
      <c r="G40" s="102">
        <v>1502.0</v>
      </c>
      <c r="H40" s="101">
        <f t="shared" si="27"/>
        <v>0.01715160097</v>
      </c>
      <c r="I40" s="102">
        <v>518.0</v>
      </c>
      <c r="J40" s="101">
        <f>SUM(I40/I126)</f>
        <v>0.009087623639</v>
      </c>
      <c r="K40" s="103">
        <v>10795.0</v>
      </c>
      <c r="L40" s="101">
        <f>SUM(K40/K126)</f>
        <v>0.009555380489</v>
      </c>
      <c r="M40" s="104">
        <v>23.83292335507967</v>
      </c>
      <c r="N40" s="101">
        <f>SUM(M40/M126)</f>
        <v>0.01396544961</v>
      </c>
      <c r="O40" s="105">
        <f t="shared" si="28"/>
        <v>508698250.4</v>
      </c>
      <c r="P40" s="106">
        <f t="shared" si="29"/>
        <v>508698251</v>
      </c>
      <c r="Q40" s="107"/>
      <c r="R40" s="108"/>
      <c r="S40" s="109"/>
      <c r="T40" s="109"/>
      <c r="U40" s="110"/>
      <c r="V40" s="110"/>
      <c r="W40" s="110"/>
      <c r="X40" s="110"/>
      <c r="Y40" s="110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</row>
    <row r="41" ht="17.25" customHeight="1">
      <c r="A41" s="111"/>
      <c r="B41" s="112"/>
      <c r="C41" s="112" t="s">
        <v>30</v>
      </c>
      <c r="D41" s="113">
        <f t="shared" ref="D41:P41" si="30">SUM(D36:D40)</f>
        <v>0.05746684165</v>
      </c>
      <c r="E41" s="114">
        <f t="shared" si="30"/>
        <v>67</v>
      </c>
      <c r="F41" s="113">
        <f t="shared" si="30"/>
        <v>0.05528052805</v>
      </c>
      <c r="G41" s="114">
        <f t="shared" si="30"/>
        <v>6776</v>
      </c>
      <c r="H41" s="113">
        <f t="shared" si="30"/>
        <v>0.07737633033</v>
      </c>
      <c r="I41" s="114">
        <f t="shared" si="30"/>
        <v>2663</v>
      </c>
      <c r="J41" s="113">
        <f t="shared" si="30"/>
        <v>0.04671880647</v>
      </c>
      <c r="K41" s="114">
        <f t="shared" si="30"/>
        <v>53360</v>
      </c>
      <c r="L41" s="113">
        <f t="shared" si="30"/>
        <v>0.04723252459</v>
      </c>
      <c r="M41" s="114">
        <f t="shared" si="30"/>
        <v>112.9258678</v>
      </c>
      <c r="N41" s="113">
        <f t="shared" si="30"/>
        <v>0.06617150956</v>
      </c>
      <c r="O41" s="115">
        <f t="shared" si="30"/>
        <v>2536342434</v>
      </c>
      <c r="P41" s="115">
        <f t="shared" si="30"/>
        <v>2536342436</v>
      </c>
      <c r="Q41" s="116"/>
      <c r="R41" s="117"/>
      <c r="S41" s="116"/>
      <c r="T41" s="116"/>
      <c r="U41" s="118"/>
      <c r="V41" s="118"/>
      <c r="W41" s="118"/>
      <c r="X41" s="118"/>
      <c r="Y41" s="118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</row>
    <row r="42" ht="17.25" customHeight="1">
      <c r="A42" s="66"/>
      <c r="B42" s="112" t="s">
        <v>86</v>
      </c>
      <c r="C42" s="119" t="s">
        <v>87</v>
      </c>
      <c r="D42" s="101"/>
      <c r="E42" s="102"/>
      <c r="F42" s="101"/>
      <c r="G42" s="102"/>
      <c r="H42" s="101"/>
      <c r="I42" s="120"/>
      <c r="J42" s="101"/>
      <c r="K42" s="102"/>
      <c r="L42" s="101"/>
      <c r="M42" s="102"/>
      <c r="N42" s="101"/>
      <c r="O42" s="105"/>
      <c r="P42" s="106"/>
      <c r="Q42" s="66"/>
      <c r="R42" s="108"/>
      <c r="S42" s="109"/>
      <c r="T42" s="109"/>
      <c r="U42" s="110"/>
      <c r="V42" s="110"/>
      <c r="W42" s="110"/>
      <c r="X42" s="110"/>
      <c r="Y42" s="110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</row>
    <row r="43" ht="17.25" customHeight="1">
      <c r="A43" s="66"/>
      <c r="B43" s="99">
        <v>27.0</v>
      </c>
      <c r="C43" s="100" t="s">
        <v>88</v>
      </c>
      <c r="D43" s="101">
        <f t="shared" ref="D43:D47" si="31">SUM((F43*$F$4)+(H43*$H$4)+($J$4*J43)+($L$4*L43)+($N$4*N43))</f>
        <v>0.01915857082</v>
      </c>
      <c r="E43" s="102">
        <v>18.0</v>
      </c>
      <c r="F43" s="101">
        <f t="shared" ref="F43:F47" si="32">E43/$E$126</f>
        <v>0.01485148515</v>
      </c>
      <c r="G43" s="102">
        <v>1727.0</v>
      </c>
      <c r="H43" s="101">
        <f t="shared" ref="H43:H47" si="33">G43/$G$126</f>
        <v>0.01972091536</v>
      </c>
      <c r="I43" s="102">
        <v>737.0</v>
      </c>
      <c r="J43" s="101">
        <f>SUM(I43/I126)</f>
        <v>0.01292968846</v>
      </c>
      <c r="K43" s="103">
        <v>35427.0</v>
      </c>
      <c r="L43" s="101">
        <f>SUM(K43/K126)</f>
        <v>0.03135882025</v>
      </c>
      <c r="M43" s="104">
        <v>32.445871412382886</v>
      </c>
      <c r="N43" s="101">
        <f>SUM(M43/M126)</f>
        <v>0.01901240462</v>
      </c>
      <c r="O43" s="105">
        <f t="shared" ref="O43:O47" si="34">D43*$O$129</f>
        <v>845577984.6</v>
      </c>
      <c r="P43" s="106">
        <f t="shared" ref="P43:P47" si="35">ROUNDUP(O43,0)</f>
        <v>845577985</v>
      </c>
      <c r="Q43" s="107"/>
      <c r="R43" s="108"/>
      <c r="S43" s="109"/>
      <c r="T43" s="109"/>
      <c r="U43" s="110"/>
      <c r="V43" s="110"/>
      <c r="W43" s="110"/>
      <c r="X43" s="110"/>
      <c r="Y43" s="110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</row>
    <row r="44" ht="17.25" customHeight="1">
      <c r="A44" s="66"/>
      <c r="B44" s="99">
        <v>28.0</v>
      </c>
      <c r="C44" s="100" t="s">
        <v>89</v>
      </c>
      <c r="D44" s="101">
        <f t="shared" si="31"/>
        <v>0.01278448936</v>
      </c>
      <c r="E44" s="102">
        <v>14.0</v>
      </c>
      <c r="F44" s="101">
        <f t="shared" si="32"/>
        <v>0.01155115512</v>
      </c>
      <c r="G44" s="102">
        <v>1107.0</v>
      </c>
      <c r="H44" s="101">
        <f t="shared" si="33"/>
        <v>0.01264102681</v>
      </c>
      <c r="I44" s="102">
        <v>536.0</v>
      </c>
      <c r="J44" s="101">
        <f>SUM(I44/I126)</f>
        <v>0.009403409789</v>
      </c>
      <c r="K44" s="103">
        <v>18995.0</v>
      </c>
      <c r="L44" s="101">
        <f>SUM(K44/K126)</f>
        <v>0.01681375196</v>
      </c>
      <c r="M44" s="104">
        <v>26.409153939662144</v>
      </c>
      <c r="N44" s="101">
        <f>SUM(M44/M126)</f>
        <v>0.01547505117</v>
      </c>
      <c r="O44" s="105">
        <f t="shared" si="34"/>
        <v>564253088.2</v>
      </c>
      <c r="P44" s="106">
        <f t="shared" si="35"/>
        <v>564253089</v>
      </c>
      <c r="Q44" s="107"/>
      <c r="R44" s="108"/>
      <c r="S44" s="109"/>
      <c r="T44" s="109"/>
      <c r="U44" s="110"/>
      <c r="V44" s="110"/>
      <c r="W44" s="110"/>
      <c r="X44" s="110"/>
      <c r="Y44" s="110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</row>
    <row r="45" ht="17.25" customHeight="1">
      <c r="A45" s="66"/>
      <c r="B45" s="99">
        <v>29.0</v>
      </c>
      <c r="C45" s="100" t="s">
        <v>90</v>
      </c>
      <c r="D45" s="101">
        <f t="shared" si="31"/>
        <v>0.01124218296</v>
      </c>
      <c r="E45" s="102">
        <v>12.0</v>
      </c>
      <c r="F45" s="101">
        <f t="shared" si="32"/>
        <v>0.009900990099</v>
      </c>
      <c r="G45" s="102">
        <v>1179.0</v>
      </c>
      <c r="H45" s="101">
        <f t="shared" si="33"/>
        <v>0.01346320742</v>
      </c>
      <c r="I45" s="102">
        <v>482.0</v>
      </c>
      <c r="J45" s="101">
        <f>SUM(I45/I126)</f>
        <v>0.00845605134</v>
      </c>
      <c r="K45" s="103">
        <v>13755.0</v>
      </c>
      <c r="L45" s="101">
        <f>SUM(K45/K126)</f>
        <v>0.01217547556</v>
      </c>
      <c r="M45" s="104">
        <v>24.79532448431169</v>
      </c>
      <c r="N45" s="101">
        <f>SUM(M45/M126)</f>
        <v>0.01452939068</v>
      </c>
      <c r="O45" s="105">
        <f t="shared" si="34"/>
        <v>496182230.9</v>
      </c>
      <c r="P45" s="106">
        <f t="shared" si="35"/>
        <v>496182231</v>
      </c>
      <c r="Q45" s="107"/>
      <c r="R45" s="108"/>
      <c r="S45" s="109"/>
      <c r="T45" s="109"/>
      <c r="U45" s="110"/>
      <c r="V45" s="110"/>
      <c r="W45" s="110"/>
      <c r="X45" s="110"/>
      <c r="Y45" s="110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</row>
    <row r="46" ht="17.25" customHeight="1">
      <c r="A46" s="66"/>
      <c r="B46" s="99">
        <v>30.0</v>
      </c>
      <c r="C46" s="100" t="s">
        <v>91</v>
      </c>
      <c r="D46" s="101">
        <f t="shared" si="31"/>
        <v>0.01151774055</v>
      </c>
      <c r="E46" s="102">
        <v>15.0</v>
      </c>
      <c r="F46" s="101">
        <f t="shared" si="32"/>
        <v>0.01237623762</v>
      </c>
      <c r="G46" s="102">
        <v>1395.0</v>
      </c>
      <c r="H46" s="101">
        <f t="shared" si="33"/>
        <v>0.01592974923</v>
      </c>
      <c r="I46" s="102">
        <v>497.0</v>
      </c>
      <c r="J46" s="101">
        <f>SUM(I46/I126)</f>
        <v>0.008719206464</v>
      </c>
      <c r="K46" s="103">
        <v>11543.0</v>
      </c>
      <c r="L46" s="101">
        <f>SUM(K46/K126)</f>
        <v>0.01021748559</v>
      </c>
      <c r="M46" s="104">
        <v>14.191456036891681</v>
      </c>
      <c r="N46" s="101">
        <f>SUM(M46/M126)</f>
        <v>0.008315810075</v>
      </c>
      <c r="O46" s="105">
        <f t="shared" si="34"/>
        <v>508344173.2</v>
      </c>
      <c r="P46" s="106">
        <f t="shared" si="35"/>
        <v>508344174</v>
      </c>
      <c r="Q46" s="107"/>
      <c r="R46" s="108"/>
      <c r="S46" s="109"/>
      <c r="T46" s="109"/>
      <c r="U46" s="110"/>
      <c r="V46" s="110"/>
      <c r="W46" s="110"/>
      <c r="X46" s="110"/>
      <c r="Y46" s="110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</row>
    <row r="47" ht="17.25" customHeight="1">
      <c r="A47" s="66"/>
      <c r="B47" s="99">
        <v>31.0</v>
      </c>
      <c r="C47" s="100" t="s">
        <v>92</v>
      </c>
      <c r="D47" s="101">
        <f t="shared" si="31"/>
        <v>0.01355713761</v>
      </c>
      <c r="E47" s="102">
        <v>15.0</v>
      </c>
      <c r="F47" s="101">
        <f t="shared" si="32"/>
        <v>0.01237623762</v>
      </c>
      <c r="G47" s="102">
        <v>1914.0</v>
      </c>
      <c r="H47" s="101">
        <f t="shared" si="33"/>
        <v>0.0218563011</v>
      </c>
      <c r="I47" s="102">
        <v>600.0</v>
      </c>
      <c r="J47" s="101">
        <f>SUM(I47/I126)</f>
        <v>0.01052620499</v>
      </c>
      <c r="K47" s="103">
        <v>16760.0</v>
      </c>
      <c r="L47" s="101">
        <f>SUM(K47/K126)</f>
        <v>0.01483540315</v>
      </c>
      <c r="M47" s="104">
        <v>6.837934119010741</v>
      </c>
      <c r="N47" s="101">
        <f>SUM(M47/M126)</f>
        <v>0.004006844773</v>
      </c>
      <c r="O47" s="105">
        <f t="shared" si="34"/>
        <v>598354501.8</v>
      </c>
      <c r="P47" s="106">
        <f t="shared" si="35"/>
        <v>598354502</v>
      </c>
      <c r="Q47" s="107"/>
      <c r="R47" s="108"/>
      <c r="S47" s="109"/>
      <c r="T47" s="109"/>
      <c r="U47" s="110"/>
      <c r="V47" s="110"/>
      <c r="W47" s="110"/>
      <c r="X47" s="110"/>
      <c r="Y47" s="110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</row>
    <row r="48" ht="17.25" customHeight="1">
      <c r="A48" s="111"/>
      <c r="B48" s="112"/>
      <c r="C48" s="112" t="s">
        <v>30</v>
      </c>
      <c r="D48" s="113">
        <f t="shared" ref="D48:P48" si="36">SUM(D43:D47)</f>
        <v>0.06826012131</v>
      </c>
      <c r="E48" s="114">
        <f t="shared" si="36"/>
        <v>74</v>
      </c>
      <c r="F48" s="113">
        <f t="shared" si="36"/>
        <v>0.06105610561</v>
      </c>
      <c r="G48" s="114">
        <f t="shared" si="36"/>
        <v>7322</v>
      </c>
      <c r="H48" s="113">
        <f t="shared" si="36"/>
        <v>0.08361119993</v>
      </c>
      <c r="I48" s="114">
        <f t="shared" si="36"/>
        <v>2852</v>
      </c>
      <c r="J48" s="113">
        <f t="shared" si="36"/>
        <v>0.05003456104</v>
      </c>
      <c r="K48" s="114">
        <f t="shared" si="36"/>
        <v>96480</v>
      </c>
      <c r="L48" s="113">
        <f t="shared" si="36"/>
        <v>0.08540093651</v>
      </c>
      <c r="M48" s="114">
        <f t="shared" si="36"/>
        <v>104.67974</v>
      </c>
      <c r="N48" s="113">
        <f t="shared" si="36"/>
        <v>0.06133950133</v>
      </c>
      <c r="O48" s="115">
        <f t="shared" si="36"/>
        <v>3012711979</v>
      </c>
      <c r="P48" s="115">
        <f t="shared" si="36"/>
        <v>3012711981</v>
      </c>
      <c r="Q48" s="116"/>
      <c r="R48" s="117"/>
      <c r="S48" s="116"/>
      <c r="T48" s="116"/>
      <c r="U48" s="118"/>
      <c r="V48" s="118"/>
      <c r="W48" s="118"/>
      <c r="X48" s="118"/>
      <c r="Y48" s="118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</row>
    <row r="49" ht="17.25" customHeight="1">
      <c r="A49" s="66"/>
      <c r="B49" s="112" t="s">
        <v>93</v>
      </c>
      <c r="C49" s="119" t="s">
        <v>94</v>
      </c>
      <c r="D49" s="101"/>
      <c r="E49" s="102"/>
      <c r="F49" s="101"/>
      <c r="G49" s="102"/>
      <c r="H49" s="101"/>
      <c r="I49" s="120"/>
      <c r="J49" s="101"/>
      <c r="K49" s="102"/>
      <c r="L49" s="101"/>
      <c r="M49" s="102"/>
      <c r="N49" s="101"/>
      <c r="O49" s="105"/>
      <c r="P49" s="106"/>
      <c r="Q49" s="66"/>
      <c r="R49" s="108"/>
      <c r="S49" s="109"/>
      <c r="T49" s="109"/>
      <c r="U49" s="110"/>
      <c r="V49" s="110"/>
      <c r="W49" s="110"/>
      <c r="X49" s="110"/>
      <c r="Y49" s="110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</row>
    <row r="50" ht="17.25" customHeight="1">
      <c r="A50" s="66"/>
      <c r="B50" s="99">
        <v>32.0</v>
      </c>
      <c r="C50" s="100" t="s">
        <v>95</v>
      </c>
      <c r="D50" s="101">
        <f t="shared" ref="D50:D52" si="37">SUM((F50*$F$4)+(H50*$H$4)+($J$4*J50)+($L$4*L50)+($N$4*N50))</f>
        <v>0.0199392828</v>
      </c>
      <c r="E50" s="102">
        <v>20.0</v>
      </c>
      <c r="F50" s="101">
        <f t="shared" ref="F50:F52" si="38">E50/$E$126</f>
        <v>0.01650165017</v>
      </c>
      <c r="G50" s="102">
        <v>1288.0</v>
      </c>
      <c r="H50" s="101">
        <f t="shared" ref="H50:H52" si="39">G50/$G$126</f>
        <v>0.0147078975</v>
      </c>
      <c r="I50" s="102">
        <v>1104.0</v>
      </c>
      <c r="J50" s="101">
        <f>SUM(I50/I126)</f>
        <v>0.01936821718</v>
      </c>
      <c r="K50" s="103">
        <v>44573.0</v>
      </c>
      <c r="L50" s="101">
        <f>SUM(K50/K126)</f>
        <v>0.03945455994</v>
      </c>
      <c r="M50" s="104">
        <v>4.823649366913933</v>
      </c>
      <c r="N50" s="101">
        <f>SUM(M50/M126)</f>
        <v>0.002826528293</v>
      </c>
      <c r="O50" s="105">
        <f t="shared" ref="O50:O52" si="40">D50*$O$129</f>
        <v>880035297.2</v>
      </c>
      <c r="P50" s="106">
        <f>ROUNDUP(O50,0)</f>
        <v>880035298</v>
      </c>
      <c r="Q50" s="107"/>
      <c r="R50" s="108"/>
      <c r="S50" s="109"/>
      <c r="T50" s="109"/>
      <c r="U50" s="110"/>
      <c r="V50" s="110"/>
      <c r="W50" s="110"/>
      <c r="X50" s="110"/>
      <c r="Y50" s="110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</row>
    <row r="51" ht="17.25" customHeight="1">
      <c r="A51" s="66"/>
      <c r="B51" s="99">
        <v>33.0</v>
      </c>
      <c r="C51" s="100" t="s">
        <v>96</v>
      </c>
      <c r="D51" s="101">
        <f t="shared" si="37"/>
        <v>0.02134231621</v>
      </c>
      <c r="E51" s="102">
        <v>20.0</v>
      </c>
      <c r="F51" s="101">
        <f t="shared" si="38"/>
        <v>0.01650165017</v>
      </c>
      <c r="G51" s="102">
        <v>1651.0</v>
      </c>
      <c r="H51" s="101">
        <f t="shared" si="39"/>
        <v>0.01885305806</v>
      </c>
      <c r="I51" s="102">
        <v>1501.0</v>
      </c>
      <c r="J51" s="101">
        <f>SUM(I51/I126)</f>
        <v>0.02633305614</v>
      </c>
      <c r="K51" s="103">
        <v>38121.0</v>
      </c>
      <c r="L51" s="101">
        <f>SUM(K51/K126)</f>
        <v>0.03374346083</v>
      </c>
      <c r="M51" s="104">
        <v>10.340171837036214</v>
      </c>
      <c r="N51" s="101">
        <f>SUM(M51/M126)</f>
        <v>0.006059061516</v>
      </c>
      <c r="O51" s="105">
        <f t="shared" si="40"/>
        <v>941959235.5</v>
      </c>
      <c r="P51" s="106">
        <f>ROUNDUP(O51,0)-38</f>
        <v>941959198</v>
      </c>
      <c r="Q51" s="107"/>
      <c r="R51" s="108"/>
      <c r="S51" s="109"/>
      <c r="T51" s="109"/>
      <c r="U51" s="110"/>
      <c r="V51" s="110"/>
      <c r="W51" s="110"/>
      <c r="X51" s="110"/>
      <c r="Y51" s="110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</row>
    <row r="52" ht="17.25" customHeight="1">
      <c r="A52" s="66"/>
      <c r="B52" s="99">
        <v>34.0</v>
      </c>
      <c r="C52" s="100" t="s">
        <v>97</v>
      </c>
      <c r="D52" s="101">
        <f t="shared" si="37"/>
        <v>0.01928481419</v>
      </c>
      <c r="E52" s="102">
        <v>18.0</v>
      </c>
      <c r="F52" s="101">
        <f t="shared" si="38"/>
        <v>0.01485148515</v>
      </c>
      <c r="G52" s="102">
        <v>1319.0</v>
      </c>
      <c r="H52" s="101">
        <f t="shared" si="39"/>
        <v>0.01506189193</v>
      </c>
      <c r="I52" s="102">
        <v>950.0</v>
      </c>
      <c r="J52" s="101">
        <f>SUM(I52/I126)</f>
        <v>0.01666649123</v>
      </c>
      <c r="K52" s="103">
        <v>44649.0</v>
      </c>
      <c r="L52" s="101">
        <f>SUM(K52/K126)</f>
        <v>0.03952183265</v>
      </c>
      <c r="M52" s="104">
        <v>9.886555910349088</v>
      </c>
      <c r="N52" s="101">
        <f>SUM(M52/M126)</f>
        <v>0.005793254831</v>
      </c>
      <c r="O52" s="105">
        <f t="shared" si="40"/>
        <v>851149831</v>
      </c>
      <c r="P52" s="106">
        <f>ROUNDUP(O52,0)</f>
        <v>851149831</v>
      </c>
      <c r="Q52" s="107"/>
      <c r="R52" s="108"/>
      <c r="S52" s="109"/>
      <c r="T52" s="109"/>
      <c r="U52" s="110"/>
      <c r="V52" s="110"/>
      <c r="W52" s="110"/>
      <c r="X52" s="110"/>
      <c r="Y52" s="110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</row>
    <row r="53" ht="17.25" customHeight="1">
      <c r="A53" s="111"/>
      <c r="B53" s="112"/>
      <c r="C53" s="112" t="s">
        <v>30</v>
      </c>
      <c r="D53" s="113">
        <f t="shared" ref="D53:P53" si="41">SUM(D50:D52)</f>
        <v>0.0605664132</v>
      </c>
      <c r="E53" s="114">
        <f t="shared" si="41"/>
        <v>58</v>
      </c>
      <c r="F53" s="113">
        <f t="shared" si="41"/>
        <v>0.04785478548</v>
      </c>
      <c r="G53" s="114">
        <f t="shared" si="41"/>
        <v>4258</v>
      </c>
      <c r="H53" s="113">
        <f t="shared" si="41"/>
        <v>0.04862284749</v>
      </c>
      <c r="I53" s="114">
        <f t="shared" si="41"/>
        <v>3555</v>
      </c>
      <c r="J53" s="113">
        <f t="shared" si="41"/>
        <v>0.06236776455</v>
      </c>
      <c r="K53" s="114">
        <f t="shared" si="41"/>
        <v>127343</v>
      </c>
      <c r="L53" s="113">
        <f t="shared" si="41"/>
        <v>0.1127198534</v>
      </c>
      <c r="M53" s="114">
        <f t="shared" si="41"/>
        <v>25.05037711</v>
      </c>
      <c r="N53" s="113">
        <f t="shared" si="41"/>
        <v>0.01467884464</v>
      </c>
      <c r="O53" s="115">
        <f t="shared" si="41"/>
        <v>2673144364</v>
      </c>
      <c r="P53" s="115">
        <f t="shared" si="41"/>
        <v>2673144327</v>
      </c>
      <c r="Q53" s="116"/>
      <c r="R53" s="117"/>
      <c r="S53" s="116"/>
      <c r="T53" s="116"/>
      <c r="U53" s="118"/>
      <c r="V53" s="118"/>
      <c r="W53" s="118"/>
      <c r="X53" s="118"/>
      <c r="Y53" s="118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</row>
    <row r="54" ht="17.25" customHeight="1">
      <c r="A54" s="66"/>
      <c r="B54" s="112" t="s">
        <v>98</v>
      </c>
      <c r="C54" s="119" t="s">
        <v>99</v>
      </c>
      <c r="D54" s="101"/>
      <c r="E54" s="102"/>
      <c r="F54" s="101"/>
      <c r="G54" s="102"/>
      <c r="H54" s="101"/>
      <c r="I54" s="120"/>
      <c r="J54" s="101"/>
      <c r="K54" s="102"/>
      <c r="L54" s="101"/>
      <c r="M54" s="102"/>
      <c r="N54" s="101"/>
      <c r="O54" s="105"/>
      <c r="P54" s="106"/>
      <c r="Q54" s="66"/>
      <c r="R54" s="108"/>
      <c r="S54" s="109"/>
      <c r="T54" s="109"/>
      <c r="U54" s="110"/>
      <c r="V54" s="110"/>
      <c r="W54" s="110"/>
      <c r="X54" s="110"/>
      <c r="Y54" s="110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</row>
    <row r="55" ht="17.25" customHeight="1">
      <c r="A55" s="66"/>
      <c r="B55" s="99">
        <v>35.0</v>
      </c>
      <c r="C55" s="100" t="s">
        <v>100</v>
      </c>
      <c r="D55" s="101">
        <f t="shared" ref="D55:D58" si="42">SUM((F55*$F$4)+(H55*$H$4)+($J$4*J55)+($L$4*L55)+($N$4*N55))</f>
        <v>0.0138375709</v>
      </c>
      <c r="E55" s="102">
        <v>18.0</v>
      </c>
      <c r="F55" s="101">
        <f t="shared" ref="F55:F58" si="43">E55/$E$126</f>
        <v>0.01485148515</v>
      </c>
      <c r="G55" s="102">
        <v>1424.0</v>
      </c>
      <c r="H55" s="101">
        <f t="shared" ref="H55:H58" si="44">G55/$G$126</f>
        <v>0.01626090531</v>
      </c>
      <c r="I55" s="102">
        <v>522.0</v>
      </c>
      <c r="J55" s="101">
        <f>SUM(I55/I126)</f>
        <v>0.009157798339</v>
      </c>
      <c r="K55" s="103">
        <v>18770.0</v>
      </c>
      <c r="L55" s="101">
        <f>SUM(K55/K126)</f>
        <v>0.01661458933</v>
      </c>
      <c r="M55" s="104">
        <v>16.64695736972286</v>
      </c>
      <c r="N55" s="101">
        <f>SUM(M55/M126)</f>
        <v>0.009754667558</v>
      </c>
      <c r="O55" s="105">
        <f t="shared" ref="O55:O58" si="45">D55*$O$129</f>
        <v>610731636.5</v>
      </c>
      <c r="P55" s="106">
        <f t="shared" ref="P55:P58" si="46">ROUNDUP(O55,0)</f>
        <v>610731637</v>
      </c>
      <c r="Q55" s="107"/>
      <c r="R55" s="108"/>
      <c r="S55" s="109"/>
      <c r="T55" s="109"/>
      <c r="U55" s="110"/>
      <c r="V55" s="110"/>
      <c r="W55" s="110"/>
      <c r="X55" s="110"/>
      <c r="Y55" s="110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</row>
    <row r="56" ht="17.25" customHeight="1">
      <c r="A56" s="66"/>
      <c r="B56" s="99">
        <v>36.0</v>
      </c>
      <c r="C56" s="100" t="s">
        <v>101</v>
      </c>
      <c r="D56" s="101">
        <f t="shared" si="42"/>
        <v>0.01139452013</v>
      </c>
      <c r="E56" s="102">
        <v>14.0</v>
      </c>
      <c r="F56" s="101">
        <f t="shared" si="43"/>
        <v>0.01155115512</v>
      </c>
      <c r="G56" s="102">
        <v>1003.0</v>
      </c>
      <c r="H56" s="101">
        <f t="shared" si="44"/>
        <v>0.0114534326</v>
      </c>
      <c r="I56" s="102">
        <v>572.0</v>
      </c>
      <c r="J56" s="101">
        <f>SUM(I56/I126)</f>
        <v>0.01003498209</v>
      </c>
      <c r="K56" s="103">
        <v>13530.0</v>
      </c>
      <c r="L56" s="101">
        <f>SUM(K56/K126)</f>
        <v>0.01197631292</v>
      </c>
      <c r="M56" s="104">
        <v>21.09701427760948</v>
      </c>
      <c r="N56" s="101">
        <f>SUM(M56/M126)</f>
        <v>0.01236228076</v>
      </c>
      <c r="O56" s="105">
        <f t="shared" si="45"/>
        <v>502905747</v>
      </c>
      <c r="P56" s="106">
        <f t="shared" si="46"/>
        <v>502905747</v>
      </c>
      <c r="Q56" s="107"/>
      <c r="R56" s="108"/>
      <c r="S56" s="109"/>
      <c r="T56" s="109"/>
      <c r="U56" s="110"/>
      <c r="V56" s="110"/>
      <c r="W56" s="110"/>
      <c r="X56" s="110"/>
      <c r="Y56" s="110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</row>
    <row r="57" ht="17.25" customHeight="1">
      <c r="A57" s="66"/>
      <c r="B57" s="99">
        <v>37.0</v>
      </c>
      <c r="C57" s="100" t="s">
        <v>102</v>
      </c>
      <c r="D57" s="101">
        <f t="shared" si="42"/>
        <v>0.01258897602</v>
      </c>
      <c r="E57" s="102">
        <v>16.0</v>
      </c>
      <c r="F57" s="101">
        <f t="shared" si="43"/>
        <v>0.01320132013</v>
      </c>
      <c r="G57" s="102">
        <v>1042.0</v>
      </c>
      <c r="H57" s="101">
        <f t="shared" si="44"/>
        <v>0.01189878043</v>
      </c>
      <c r="I57" s="102">
        <v>621.0</v>
      </c>
      <c r="J57" s="101">
        <f>SUM(I57/I126)</f>
        <v>0.01089462216</v>
      </c>
      <c r="K57" s="103">
        <v>14717.0</v>
      </c>
      <c r="L57" s="101">
        <f>SUM(K57/K126)</f>
        <v>0.01302700645</v>
      </c>
      <c r="M57" s="104">
        <v>24.99258780244368</v>
      </c>
      <c r="N57" s="101">
        <f>SUM(M57/M126)</f>
        <v>0.01464498166</v>
      </c>
      <c r="O57" s="105">
        <f t="shared" si="45"/>
        <v>555623958.9</v>
      </c>
      <c r="P57" s="106">
        <f t="shared" si="46"/>
        <v>555623959</v>
      </c>
      <c r="Q57" s="107"/>
      <c r="R57" s="108"/>
      <c r="S57" s="109"/>
      <c r="T57" s="109"/>
      <c r="U57" s="110"/>
      <c r="V57" s="110"/>
      <c r="W57" s="110"/>
      <c r="X57" s="110"/>
      <c r="Y57" s="110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</row>
    <row r="58" ht="17.25" customHeight="1">
      <c r="A58" s="66"/>
      <c r="B58" s="99">
        <v>38.0</v>
      </c>
      <c r="C58" s="100" t="s">
        <v>103</v>
      </c>
      <c r="D58" s="101">
        <f t="shared" si="42"/>
        <v>0.009952068675</v>
      </c>
      <c r="E58" s="102">
        <v>10.0</v>
      </c>
      <c r="F58" s="101">
        <f t="shared" si="43"/>
        <v>0.008250825083</v>
      </c>
      <c r="G58" s="102">
        <v>959.0</v>
      </c>
      <c r="H58" s="101">
        <f t="shared" si="44"/>
        <v>0.0109509889</v>
      </c>
      <c r="I58" s="102">
        <v>584.0</v>
      </c>
      <c r="J58" s="101">
        <f>SUM(I58/I126)</f>
        <v>0.01024550619</v>
      </c>
      <c r="K58" s="103">
        <v>11512.0</v>
      </c>
      <c r="L58" s="101">
        <f>SUM(K58/K126)</f>
        <v>0.01019004541</v>
      </c>
      <c r="M58" s="104">
        <v>20.47044914905721</v>
      </c>
      <c r="N58" s="101">
        <f>SUM(M58/M126)</f>
        <v>0.01199513051</v>
      </c>
      <c r="O58" s="105">
        <f t="shared" si="45"/>
        <v>439242063.1</v>
      </c>
      <c r="P58" s="106">
        <f t="shared" si="46"/>
        <v>439242064</v>
      </c>
      <c r="Q58" s="107"/>
      <c r="R58" s="108"/>
      <c r="S58" s="109"/>
      <c r="T58" s="109"/>
      <c r="U58" s="110"/>
      <c r="V58" s="110"/>
      <c r="W58" s="110"/>
      <c r="X58" s="110"/>
      <c r="Y58" s="110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</row>
    <row r="59" ht="17.25" customHeight="1">
      <c r="A59" s="111"/>
      <c r="B59" s="112"/>
      <c r="C59" s="112" t="s">
        <v>30</v>
      </c>
      <c r="D59" s="113">
        <f t="shared" ref="D59:P59" si="47">SUM(D55:D58)</f>
        <v>0.04777313572</v>
      </c>
      <c r="E59" s="114">
        <f t="shared" si="47"/>
        <v>58</v>
      </c>
      <c r="F59" s="113">
        <f t="shared" si="47"/>
        <v>0.04785478548</v>
      </c>
      <c r="G59" s="114">
        <f t="shared" si="47"/>
        <v>4428</v>
      </c>
      <c r="H59" s="113">
        <f t="shared" si="47"/>
        <v>0.05056410725</v>
      </c>
      <c r="I59" s="114">
        <f t="shared" si="47"/>
        <v>2299</v>
      </c>
      <c r="J59" s="113">
        <f t="shared" si="47"/>
        <v>0.04033290878</v>
      </c>
      <c r="K59" s="114">
        <f t="shared" si="47"/>
        <v>58529</v>
      </c>
      <c r="L59" s="113">
        <f t="shared" si="47"/>
        <v>0.05180795411</v>
      </c>
      <c r="M59" s="114">
        <f t="shared" si="47"/>
        <v>83.2070086</v>
      </c>
      <c r="N59" s="113">
        <f t="shared" si="47"/>
        <v>0.04875706049</v>
      </c>
      <c r="O59" s="115">
        <f t="shared" si="47"/>
        <v>2108503405</v>
      </c>
      <c r="P59" s="115">
        <f t="shared" si="47"/>
        <v>2108503407</v>
      </c>
      <c r="Q59" s="116"/>
      <c r="R59" s="117"/>
      <c r="S59" s="116"/>
      <c r="T59" s="116"/>
      <c r="U59" s="118"/>
      <c r="V59" s="118"/>
      <c r="W59" s="118"/>
      <c r="X59" s="118"/>
      <c r="Y59" s="118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</row>
    <row r="60" ht="17.25" customHeight="1">
      <c r="A60" s="66"/>
      <c r="B60" s="112" t="s">
        <v>104</v>
      </c>
      <c r="C60" s="119" t="s">
        <v>105</v>
      </c>
      <c r="D60" s="101"/>
      <c r="E60" s="102"/>
      <c r="F60" s="101"/>
      <c r="G60" s="102"/>
      <c r="H60" s="101"/>
      <c r="I60" s="120"/>
      <c r="J60" s="101"/>
      <c r="K60" s="102"/>
      <c r="L60" s="101"/>
      <c r="M60" s="102"/>
      <c r="N60" s="101"/>
      <c r="O60" s="105"/>
      <c r="P60" s="106"/>
      <c r="Q60" s="66"/>
      <c r="R60" s="108"/>
      <c r="S60" s="109"/>
      <c r="T60" s="109"/>
      <c r="U60" s="110"/>
      <c r="V60" s="110"/>
      <c r="W60" s="110"/>
      <c r="X60" s="110"/>
      <c r="Y60" s="110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</row>
    <row r="61" ht="17.25" customHeight="1">
      <c r="A61" s="66"/>
      <c r="B61" s="99">
        <v>39.0</v>
      </c>
      <c r="C61" s="100" t="s">
        <v>106</v>
      </c>
      <c r="D61" s="101">
        <f t="shared" ref="D61:D66" si="48">SUM((F61*$F$4)+(H61*$H$4)+($J$4*J61)+($L$4*L61)+($N$4*N61))</f>
        <v>0.01522749587</v>
      </c>
      <c r="E61" s="102">
        <v>18.0</v>
      </c>
      <c r="F61" s="101">
        <f t="shared" ref="F61:F66" si="49">E61/$E$126</f>
        <v>0.01485148515</v>
      </c>
      <c r="G61" s="102">
        <v>1637.0</v>
      </c>
      <c r="H61" s="101">
        <f t="shared" ref="H61:H66" si="50">G61/$G$126</f>
        <v>0.0186931896</v>
      </c>
      <c r="I61" s="102">
        <v>917.0</v>
      </c>
      <c r="J61" s="101">
        <f>SUM(I61/I126)</f>
        <v>0.01608754996</v>
      </c>
      <c r="K61" s="103">
        <v>15452.0</v>
      </c>
      <c r="L61" s="101">
        <f>SUM(K61/K126)</f>
        <v>0.01367760438</v>
      </c>
      <c r="M61" s="104">
        <v>18.437394480679338</v>
      </c>
      <c r="N61" s="101">
        <f>SUM(M61/M126)</f>
        <v>0.01080381536</v>
      </c>
      <c r="O61" s="105">
        <f t="shared" ref="O61:O66" si="51">D61*$O$129</f>
        <v>672077024.3</v>
      </c>
      <c r="P61" s="106">
        <f t="shared" ref="P61:P66" si="52">ROUNDUP(O61,0)</f>
        <v>672077025</v>
      </c>
      <c r="Q61" s="107"/>
      <c r="R61" s="108"/>
      <c r="S61" s="109"/>
      <c r="T61" s="109"/>
      <c r="U61" s="110"/>
      <c r="V61" s="110"/>
      <c r="W61" s="110"/>
      <c r="X61" s="110"/>
      <c r="Y61" s="110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</row>
    <row r="62" ht="17.25" customHeight="1">
      <c r="A62" s="66"/>
      <c r="B62" s="99">
        <v>40.0</v>
      </c>
      <c r="C62" s="100" t="s">
        <v>107</v>
      </c>
      <c r="D62" s="101">
        <f t="shared" si="48"/>
        <v>0.006928672418</v>
      </c>
      <c r="E62" s="102">
        <v>6.0</v>
      </c>
      <c r="F62" s="101">
        <f t="shared" si="49"/>
        <v>0.00495049505</v>
      </c>
      <c r="G62" s="102">
        <v>513.0</v>
      </c>
      <c r="H62" s="101">
        <f t="shared" si="50"/>
        <v>0.005858036815</v>
      </c>
      <c r="I62" s="102">
        <v>475.0</v>
      </c>
      <c r="J62" s="101">
        <f>SUM(I62/I126)</f>
        <v>0.008333245615</v>
      </c>
      <c r="K62" s="103">
        <v>2794.0</v>
      </c>
      <c r="L62" s="101">
        <f>SUM(K62/K126)</f>
        <v>0.002473157303</v>
      </c>
      <c r="M62" s="104">
        <v>36.01933800078533</v>
      </c>
      <c r="N62" s="101">
        <f>SUM(M62/M126)</f>
        <v>0.02110635956</v>
      </c>
      <c r="O62" s="105">
        <f t="shared" si="51"/>
        <v>305802187.1</v>
      </c>
      <c r="P62" s="106">
        <f t="shared" si="52"/>
        <v>305802188</v>
      </c>
      <c r="Q62" s="107"/>
      <c r="R62" s="108"/>
      <c r="S62" s="109"/>
      <c r="T62" s="109"/>
      <c r="U62" s="110"/>
      <c r="V62" s="110"/>
      <c r="W62" s="110"/>
      <c r="X62" s="110"/>
      <c r="Y62" s="110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</row>
    <row r="63" ht="17.25" customHeight="1">
      <c r="A63" s="66"/>
      <c r="B63" s="99">
        <v>41.0</v>
      </c>
      <c r="C63" s="100" t="s">
        <v>108</v>
      </c>
      <c r="D63" s="101">
        <f t="shared" si="48"/>
        <v>0.007758371327</v>
      </c>
      <c r="E63" s="102">
        <v>7.0</v>
      </c>
      <c r="F63" s="101">
        <f t="shared" si="49"/>
        <v>0.005775577558</v>
      </c>
      <c r="G63" s="102">
        <v>554.0</v>
      </c>
      <c r="H63" s="101">
        <f t="shared" si="50"/>
        <v>0.006326222994</v>
      </c>
      <c r="I63" s="102">
        <v>655.0</v>
      </c>
      <c r="J63" s="101">
        <f>SUM(I63/I126)</f>
        <v>0.01149110711</v>
      </c>
      <c r="K63" s="103">
        <v>4761.0</v>
      </c>
      <c r="L63" s="101">
        <f>SUM(K63/K126)</f>
        <v>0.004214281288</v>
      </c>
      <c r="M63" s="104">
        <v>27.635672295283456</v>
      </c>
      <c r="N63" s="101">
        <f>SUM(M63/M126)</f>
        <v>0.01619375781</v>
      </c>
      <c r="O63" s="105">
        <f t="shared" si="51"/>
        <v>342421574.8</v>
      </c>
      <c r="P63" s="106">
        <f t="shared" si="52"/>
        <v>342421575</v>
      </c>
      <c r="Q63" s="107"/>
      <c r="R63" s="108"/>
      <c r="S63" s="109"/>
      <c r="T63" s="109"/>
      <c r="U63" s="110"/>
      <c r="V63" s="110"/>
      <c r="W63" s="110"/>
      <c r="X63" s="110"/>
      <c r="Y63" s="110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</row>
    <row r="64" ht="17.25" customHeight="1">
      <c r="A64" s="66"/>
      <c r="B64" s="99">
        <v>42.0</v>
      </c>
      <c r="C64" s="100" t="s">
        <v>109</v>
      </c>
      <c r="D64" s="101">
        <f t="shared" si="48"/>
        <v>0.00925323381</v>
      </c>
      <c r="E64" s="102">
        <v>8.0</v>
      </c>
      <c r="F64" s="101">
        <f t="shared" si="49"/>
        <v>0.006600660066</v>
      </c>
      <c r="G64" s="102">
        <v>602.0</v>
      </c>
      <c r="H64" s="101">
        <f t="shared" si="50"/>
        <v>0.006874343397</v>
      </c>
      <c r="I64" s="102">
        <v>839.0</v>
      </c>
      <c r="J64" s="101">
        <f>SUM(I64/I126)</f>
        <v>0.01471914331</v>
      </c>
      <c r="K64" s="103">
        <v>6047.0</v>
      </c>
      <c r="L64" s="101">
        <f>SUM(K64/K126)</f>
        <v>0.005352606375</v>
      </c>
      <c r="M64" s="104">
        <v>32.14853197386621</v>
      </c>
      <c r="N64" s="101">
        <f>SUM(M64/M126)</f>
        <v>0.01883817174</v>
      </c>
      <c r="O64" s="105">
        <f t="shared" si="51"/>
        <v>408398458.8</v>
      </c>
      <c r="P64" s="106">
        <f t="shared" si="52"/>
        <v>408398459</v>
      </c>
      <c r="Q64" s="107"/>
      <c r="R64" s="108"/>
      <c r="S64" s="109"/>
      <c r="T64" s="109"/>
      <c r="U64" s="110"/>
      <c r="V64" s="110"/>
      <c r="W64" s="110"/>
      <c r="X64" s="110"/>
      <c r="Y64" s="110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</row>
    <row r="65" ht="17.25" customHeight="1">
      <c r="A65" s="66"/>
      <c r="B65" s="99">
        <v>43.0</v>
      </c>
      <c r="C65" s="100" t="s">
        <v>110</v>
      </c>
      <c r="D65" s="101">
        <f t="shared" si="48"/>
        <v>0.01354223985</v>
      </c>
      <c r="E65" s="102">
        <v>16.0</v>
      </c>
      <c r="F65" s="101">
        <f t="shared" si="49"/>
        <v>0.01320132013</v>
      </c>
      <c r="G65" s="102">
        <v>1459.0</v>
      </c>
      <c r="H65" s="101">
        <f t="shared" si="50"/>
        <v>0.01666057644</v>
      </c>
      <c r="I65" s="102">
        <v>709.0</v>
      </c>
      <c r="J65" s="101">
        <f>SUM(I65/I126)</f>
        <v>0.01243846556</v>
      </c>
      <c r="K65" s="103">
        <v>14200.0</v>
      </c>
      <c r="L65" s="101">
        <f>SUM(K65/K126)</f>
        <v>0.01256937498</v>
      </c>
      <c r="M65" s="104">
        <v>21.300647100114084</v>
      </c>
      <c r="N65" s="101">
        <f>SUM(M65/M126)</f>
        <v>0.01248160409</v>
      </c>
      <c r="O65" s="105">
        <f t="shared" si="51"/>
        <v>597696977.6</v>
      </c>
      <c r="P65" s="106">
        <f t="shared" si="52"/>
        <v>597696978</v>
      </c>
      <c r="Q65" s="107"/>
      <c r="R65" s="108"/>
      <c r="S65" s="109"/>
      <c r="T65" s="109"/>
      <c r="U65" s="110"/>
      <c r="V65" s="110"/>
      <c r="W65" s="110"/>
      <c r="X65" s="110"/>
      <c r="Y65" s="110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</row>
    <row r="66" ht="17.25" customHeight="1">
      <c r="A66" s="66"/>
      <c r="B66" s="99">
        <v>44.0</v>
      </c>
      <c r="C66" s="100" t="s">
        <v>111</v>
      </c>
      <c r="D66" s="101">
        <f t="shared" si="48"/>
        <v>0.01021543184</v>
      </c>
      <c r="E66" s="102">
        <v>13.0</v>
      </c>
      <c r="F66" s="101">
        <f t="shared" si="49"/>
        <v>0.01072607261</v>
      </c>
      <c r="G66" s="102">
        <v>1054.0</v>
      </c>
      <c r="H66" s="101">
        <f t="shared" si="50"/>
        <v>0.01203581053</v>
      </c>
      <c r="I66" s="102">
        <v>540.0</v>
      </c>
      <c r="J66" s="101">
        <f>SUM(I66/I126)</f>
        <v>0.009473584489</v>
      </c>
      <c r="K66" s="103">
        <v>12586.0</v>
      </c>
      <c r="L66" s="101">
        <f>SUM(K66/K126)</f>
        <v>0.01114071504</v>
      </c>
      <c r="M66" s="104">
        <v>7.979685875470181</v>
      </c>
      <c r="N66" s="101">
        <f>SUM(M66/M126)</f>
        <v>0.004675880475</v>
      </c>
      <c r="O66" s="105">
        <f t="shared" si="51"/>
        <v>450865795.2</v>
      </c>
      <c r="P66" s="106">
        <f t="shared" si="52"/>
        <v>450865796</v>
      </c>
      <c r="Q66" s="107"/>
      <c r="R66" s="108"/>
      <c r="S66" s="109"/>
      <c r="T66" s="109"/>
      <c r="U66" s="110"/>
      <c r="V66" s="110"/>
      <c r="W66" s="110"/>
      <c r="X66" s="110"/>
      <c r="Y66" s="110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</row>
    <row r="67" ht="17.25" customHeight="1">
      <c r="A67" s="111"/>
      <c r="B67" s="112"/>
      <c r="C67" s="112" t="s">
        <v>30</v>
      </c>
      <c r="D67" s="113">
        <f t="shared" ref="D67:P67" si="53">SUM(D61:D66)</f>
        <v>0.06292544511</v>
      </c>
      <c r="E67" s="114">
        <f t="shared" si="53"/>
        <v>68</v>
      </c>
      <c r="F67" s="113">
        <f t="shared" si="53"/>
        <v>0.05610561056</v>
      </c>
      <c r="G67" s="114">
        <f t="shared" si="53"/>
        <v>5819</v>
      </c>
      <c r="H67" s="113">
        <f t="shared" si="53"/>
        <v>0.06644817978</v>
      </c>
      <c r="I67" s="114">
        <f t="shared" si="53"/>
        <v>4135</v>
      </c>
      <c r="J67" s="113">
        <f t="shared" si="53"/>
        <v>0.07254309604</v>
      </c>
      <c r="K67" s="114">
        <f t="shared" si="53"/>
        <v>55840</v>
      </c>
      <c r="L67" s="113">
        <f t="shared" si="53"/>
        <v>0.04942773937</v>
      </c>
      <c r="M67" s="114">
        <f t="shared" si="53"/>
        <v>143.5212697</v>
      </c>
      <c r="N67" s="113">
        <f t="shared" si="53"/>
        <v>0.08409958905</v>
      </c>
      <c r="O67" s="115">
        <f t="shared" si="53"/>
        <v>2777262018</v>
      </c>
      <c r="P67" s="115">
        <f t="shared" si="53"/>
        <v>2777262021</v>
      </c>
      <c r="Q67" s="116"/>
      <c r="R67" s="117"/>
      <c r="S67" s="116"/>
      <c r="T67" s="116"/>
      <c r="U67" s="118"/>
      <c r="V67" s="118"/>
      <c r="W67" s="118"/>
      <c r="X67" s="118"/>
      <c r="Y67" s="118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</row>
    <row r="68" ht="17.25" customHeight="1">
      <c r="A68" s="66"/>
      <c r="B68" s="112" t="s">
        <v>112</v>
      </c>
      <c r="C68" s="119" t="s">
        <v>113</v>
      </c>
      <c r="D68" s="101"/>
      <c r="E68" s="102"/>
      <c r="F68" s="101"/>
      <c r="G68" s="102"/>
      <c r="H68" s="101"/>
      <c r="I68" s="120"/>
      <c r="J68" s="101"/>
      <c r="K68" s="102"/>
      <c r="L68" s="101"/>
      <c r="M68" s="102"/>
      <c r="N68" s="101"/>
      <c r="O68" s="105"/>
      <c r="P68" s="106"/>
      <c r="Q68" s="66"/>
      <c r="R68" s="108"/>
      <c r="S68" s="109"/>
      <c r="T68" s="109"/>
      <c r="U68" s="110"/>
      <c r="V68" s="110"/>
      <c r="W68" s="110"/>
      <c r="X68" s="110"/>
      <c r="Y68" s="110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</row>
    <row r="69" ht="17.25" customHeight="1">
      <c r="A69" s="66"/>
      <c r="B69" s="99">
        <v>45.0</v>
      </c>
      <c r="C69" s="100" t="s">
        <v>114</v>
      </c>
      <c r="D69" s="101">
        <f t="shared" ref="D69:D72" si="54">SUM((F69*$F$4)+(H69*$H$4)+($J$4*J69)+($L$4*L69)+($N$4*N69))</f>
        <v>0.02142100862</v>
      </c>
      <c r="E69" s="102">
        <v>21.0</v>
      </c>
      <c r="F69" s="101">
        <f t="shared" ref="F69:F72" si="55">E69/$E$126</f>
        <v>0.01732673267</v>
      </c>
      <c r="G69" s="102">
        <v>1948.0</v>
      </c>
      <c r="H69" s="101">
        <f t="shared" ref="H69:H72" si="56">G69/$G$126</f>
        <v>0.02224455305</v>
      </c>
      <c r="I69" s="102">
        <v>1205.0</v>
      </c>
      <c r="J69" s="101">
        <f>SUM(I69/I126)</f>
        <v>0.02114012835</v>
      </c>
      <c r="K69" s="103">
        <v>38563.0</v>
      </c>
      <c r="L69" s="101">
        <f>SUM(K69/K126)</f>
        <v>0.03413470475</v>
      </c>
      <c r="M69" s="104">
        <v>12.272094200906231</v>
      </c>
      <c r="N69" s="101">
        <f>SUM(M69/M126)</f>
        <v>0.007191115861</v>
      </c>
      <c r="O69" s="105">
        <f t="shared" ref="O69:O72" si="57">D69*$O$129</f>
        <v>945432384.6</v>
      </c>
      <c r="P69" s="106">
        <f t="shared" ref="P69:P72" si="58">ROUNDUP(O69,0)</f>
        <v>945432385</v>
      </c>
      <c r="Q69" s="107"/>
      <c r="R69" s="108"/>
      <c r="S69" s="109"/>
      <c r="T69" s="109"/>
      <c r="U69" s="110"/>
      <c r="V69" s="110"/>
      <c r="W69" s="110"/>
      <c r="X69" s="110"/>
      <c r="Y69" s="110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</row>
    <row r="70" ht="17.25" customHeight="1">
      <c r="A70" s="66"/>
      <c r="B70" s="99">
        <v>46.0</v>
      </c>
      <c r="C70" s="100" t="s">
        <v>115</v>
      </c>
      <c r="D70" s="101">
        <f t="shared" si="54"/>
        <v>0.01418046607</v>
      </c>
      <c r="E70" s="102">
        <v>17.0</v>
      </c>
      <c r="F70" s="101">
        <f t="shared" si="55"/>
        <v>0.01402640264</v>
      </c>
      <c r="G70" s="102">
        <v>1495.0</v>
      </c>
      <c r="H70" s="101">
        <f t="shared" si="56"/>
        <v>0.01707166674</v>
      </c>
      <c r="I70" s="102">
        <v>753.0</v>
      </c>
      <c r="J70" s="101">
        <f>SUM(I70/I126)</f>
        <v>0.01321038726</v>
      </c>
      <c r="K70" s="103">
        <v>18685.0</v>
      </c>
      <c r="L70" s="101">
        <f>SUM(K70/K126)</f>
        <v>0.01653935011</v>
      </c>
      <c r="M70" s="104">
        <v>10.380417714346471</v>
      </c>
      <c r="N70" s="101">
        <f>SUM(M70/M126)</f>
        <v>0.006082644514</v>
      </c>
      <c r="O70" s="105">
        <f t="shared" si="57"/>
        <v>625865573.6</v>
      </c>
      <c r="P70" s="106">
        <f t="shared" si="58"/>
        <v>625865574</v>
      </c>
      <c r="Q70" s="107"/>
      <c r="R70" s="108"/>
      <c r="S70" s="109"/>
      <c r="T70" s="109"/>
      <c r="U70" s="110"/>
      <c r="V70" s="110"/>
      <c r="W70" s="110"/>
      <c r="X70" s="110"/>
      <c r="Y70" s="110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</row>
    <row r="71" ht="17.25" customHeight="1">
      <c r="A71" s="66"/>
      <c r="B71" s="99">
        <v>47.0</v>
      </c>
      <c r="C71" s="100" t="s">
        <v>116</v>
      </c>
      <c r="D71" s="101">
        <f t="shared" si="54"/>
        <v>0.01610518099</v>
      </c>
      <c r="E71" s="102">
        <v>22.0</v>
      </c>
      <c r="F71" s="101">
        <f t="shared" si="55"/>
        <v>0.01815181518</v>
      </c>
      <c r="G71" s="102">
        <v>1637.0</v>
      </c>
      <c r="H71" s="101">
        <f t="shared" si="56"/>
        <v>0.0186931896</v>
      </c>
      <c r="I71" s="102">
        <v>730.0</v>
      </c>
      <c r="J71" s="101">
        <f>SUM(I71/I126)</f>
        <v>0.01280688273</v>
      </c>
      <c r="K71" s="103">
        <v>17254.0</v>
      </c>
      <c r="L71" s="101">
        <f>SUM(K71/K126)</f>
        <v>0.01527267577</v>
      </c>
      <c r="M71" s="104">
        <v>22.272132283237973</v>
      </c>
      <c r="N71" s="101">
        <f>SUM(M71/M126)</f>
        <v>0.01305086818</v>
      </c>
      <c r="O71" s="105">
        <f t="shared" si="57"/>
        <v>710814319.8</v>
      </c>
      <c r="P71" s="106">
        <f t="shared" si="58"/>
        <v>710814320</v>
      </c>
      <c r="Q71" s="107"/>
      <c r="R71" s="108"/>
      <c r="S71" s="109"/>
      <c r="T71" s="109"/>
      <c r="U71" s="110"/>
      <c r="V71" s="110"/>
      <c r="W71" s="110"/>
      <c r="X71" s="110"/>
      <c r="Y71" s="110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</row>
    <row r="72" ht="17.25" customHeight="1">
      <c r="A72" s="66"/>
      <c r="B72" s="99">
        <v>48.0</v>
      </c>
      <c r="C72" s="100" t="s">
        <v>117</v>
      </c>
      <c r="D72" s="101">
        <f t="shared" si="54"/>
        <v>0.01492162631</v>
      </c>
      <c r="E72" s="102">
        <v>20.0</v>
      </c>
      <c r="F72" s="101">
        <f t="shared" si="55"/>
        <v>0.01650165017</v>
      </c>
      <c r="G72" s="102">
        <v>1279.0</v>
      </c>
      <c r="H72" s="101">
        <f t="shared" si="56"/>
        <v>0.01460512493</v>
      </c>
      <c r="I72" s="102">
        <v>896.0</v>
      </c>
      <c r="J72" s="101">
        <f>SUM(I72/I126)</f>
        <v>0.01571913278</v>
      </c>
      <c r="K72" s="103">
        <v>13871.0</v>
      </c>
      <c r="L72" s="101">
        <f>SUM(K72/K126)</f>
        <v>0.01227815496</v>
      </c>
      <c r="M72" s="104">
        <v>24.756238376537638</v>
      </c>
      <c r="N72" s="101">
        <f>SUM(M72/M126)</f>
        <v>0.01450648728</v>
      </c>
      <c r="O72" s="105">
        <f t="shared" si="57"/>
        <v>658577240.5</v>
      </c>
      <c r="P72" s="106">
        <f t="shared" si="58"/>
        <v>658577241</v>
      </c>
      <c r="Q72" s="107"/>
      <c r="R72" s="108"/>
      <c r="S72" s="109"/>
      <c r="T72" s="109"/>
      <c r="U72" s="110"/>
      <c r="V72" s="110"/>
      <c r="W72" s="110"/>
      <c r="X72" s="110"/>
      <c r="Y72" s="110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</row>
    <row r="73" ht="17.25" customHeight="1">
      <c r="A73" s="111"/>
      <c r="B73" s="112"/>
      <c r="C73" s="112" t="s">
        <v>30</v>
      </c>
      <c r="D73" s="113">
        <f t="shared" ref="D73:P73" si="59">SUM(D69:D72)</f>
        <v>0.06662828199</v>
      </c>
      <c r="E73" s="114">
        <f t="shared" si="59"/>
        <v>80</v>
      </c>
      <c r="F73" s="113">
        <f t="shared" si="59"/>
        <v>0.06600660066</v>
      </c>
      <c r="G73" s="114">
        <f t="shared" si="59"/>
        <v>6359</v>
      </c>
      <c r="H73" s="113">
        <f t="shared" si="59"/>
        <v>0.07261453433</v>
      </c>
      <c r="I73" s="114">
        <f t="shared" si="59"/>
        <v>3584</v>
      </c>
      <c r="J73" s="113">
        <f t="shared" si="59"/>
        <v>0.06287653112</v>
      </c>
      <c r="K73" s="114">
        <f t="shared" si="59"/>
        <v>88373</v>
      </c>
      <c r="L73" s="113">
        <f t="shared" si="59"/>
        <v>0.07822488559</v>
      </c>
      <c r="M73" s="114">
        <f t="shared" si="59"/>
        <v>69.68088258</v>
      </c>
      <c r="N73" s="113">
        <f t="shared" si="59"/>
        <v>0.04083111584</v>
      </c>
      <c r="O73" s="115">
        <f t="shared" si="59"/>
        <v>2940689519</v>
      </c>
      <c r="P73" s="115">
        <f t="shared" si="59"/>
        <v>2940689520</v>
      </c>
      <c r="Q73" s="116"/>
      <c r="R73" s="117"/>
      <c r="S73" s="116"/>
      <c r="T73" s="116"/>
      <c r="U73" s="118"/>
      <c r="V73" s="118"/>
      <c r="W73" s="118"/>
      <c r="X73" s="118"/>
      <c r="Y73" s="118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</row>
    <row r="74" ht="17.25" customHeight="1">
      <c r="A74" s="66"/>
      <c r="B74" s="112" t="s">
        <v>118</v>
      </c>
      <c r="C74" s="119" t="s">
        <v>119</v>
      </c>
      <c r="D74" s="101"/>
      <c r="E74" s="102"/>
      <c r="F74" s="101"/>
      <c r="G74" s="102"/>
      <c r="H74" s="101"/>
      <c r="I74" s="120"/>
      <c r="J74" s="101"/>
      <c r="K74" s="102"/>
      <c r="L74" s="101"/>
      <c r="M74" s="102"/>
      <c r="N74" s="101"/>
      <c r="O74" s="105"/>
      <c r="P74" s="106"/>
      <c r="Q74" s="66"/>
      <c r="R74" s="108"/>
      <c r="S74" s="109"/>
      <c r="T74" s="109"/>
      <c r="U74" s="110"/>
      <c r="V74" s="110"/>
      <c r="W74" s="110"/>
      <c r="X74" s="110"/>
      <c r="Y74" s="110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</row>
    <row r="75" ht="17.25" customHeight="1">
      <c r="A75" s="66"/>
      <c r="B75" s="99">
        <v>49.0</v>
      </c>
      <c r="C75" s="100" t="s">
        <v>120</v>
      </c>
      <c r="D75" s="101">
        <f t="shared" ref="D75:D79" si="60">SUM((F75*$F$4)+(H75*$H$4)+($J$4*J75)+($L$4*L75)+($N$4*N75))</f>
        <v>0.009138556155</v>
      </c>
      <c r="E75" s="102">
        <v>11.0</v>
      </c>
      <c r="F75" s="101">
        <f t="shared" ref="F75:F79" si="61">E75/$E$126</f>
        <v>0.009075907591</v>
      </c>
      <c r="G75" s="102">
        <v>793.0</v>
      </c>
      <c r="H75" s="101">
        <f t="shared" ref="H75:H79" si="62">G75/$G$126</f>
        <v>0.009055405837</v>
      </c>
      <c r="I75" s="102">
        <v>444.0</v>
      </c>
      <c r="J75" s="101">
        <f>SUM(I75/I126)</f>
        <v>0.007789391691</v>
      </c>
      <c r="K75" s="103">
        <v>8193.0</v>
      </c>
      <c r="L75" s="101">
        <f>SUM(K75/K126)</f>
        <v>0.007252175299</v>
      </c>
      <c r="M75" s="104">
        <v>27.243393654932557</v>
      </c>
      <c r="N75" s="101">
        <f>SUM(M75/M126)</f>
        <v>0.01596389312</v>
      </c>
      <c r="O75" s="105">
        <f t="shared" ref="O75:O79" si="63">D75*$O$129</f>
        <v>403337073.9</v>
      </c>
      <c r="P75" s="106">
        <f t="shared" ref="P75:P79" si="64">ROUNDUP(O75,0)</f>
        <v>403337074</v>
      </c>
      <c r="Q75" s="107"/>
      <c r="R75" s="108"/>
      <c r="S75" s="109"/>
      <c r="T75" s="109"/>
      <c r="U75" s="110"/>
      <c r="V75" s="110"/>
      <c r="W75" s="110"/>
      <c r="X75" s="110"/>
      <c r="Y75" s="110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</row>
    <row r="76" ht="17.25" customHeight="1">
      <c r="A76" s="66"/>
      <c r="B76" s="99">
        <v>50.0</v>
      </c>
      <c r="C76" s="100" t="s">
        <v>121</v>
      </c>
      <c r="D76" s="101">
        <f t="shared" si="60"/>
        <v>0.008926546176</v>
      </c>
      <c r="E76" s="102">
        <v>12.0</v>
      </c>
      <c r="F76" s="101">
        <f t="shared" si="61"/>
        <v>0.009900990099</v>
      </c>
      <c r="G76" s="102">
        <v>553.0</v>
      </c>
      <c r="H76" s="101">
        <f t="shared" si="62"/>
        <v>0.006314803819</v>
      </c>
      <c r="I76" s="102">
        <v>602.0</v>
      </c>
      <c r="J76" s="101">
        <f>SUM(I76/I126)</f>
        <v>0.01056129234</v>
      </c>
      <c r="K76" s="103">
        <v>8039.0</v>
      </c>
      <c r="L76" s="101">
        <f>SUM(K76/K126)</f>
        <v>0.007115859542</v>
      </c>
      <c r="M76" s="104">
        <v>19.759579467866303</v>
      </c>
      <c r="N76" s="101">
        <f>SUM(M76/M126)</f>
        <v>0.01157858007</v>
      </c>
      <c r="O76" s="105">
        <f t="shared" si="63"/>
        <v>393979853.5</v>
      </c>
      <c r="P76" s="106">
        <f t="shared" si="64"/>
        <v>393979854</v>
      </c>
      <c r="Q76" s="107"/>
      <c r="R76" s="108"/>
      <c r="S76" s="109"/>
      <c r="T76" s="109"/>
      <c r="U76" s="110"/>
      <c r="V76" s="110"/>
      <c r="W76" s="110"/>
      <c r="X76" s="110"/>
      <c r="Y76" s="110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</row>
    <row r="77" ht="17.25" customHeight="1">
      <c r="A77" s="66"/>
      <c r="B77" s="99">
        <v>51.0</v>
      </c>
      <c r="C77" s="100" t="s">
        <v>122</v>
      </c>
      <c r="D77" s="101">
        <f t="shared" si="60"/>
        <v>0.01089975085</v>
      </c>
      <c r="E77" s="102">
        <v>19.0</v>
      </c>
      <c r="F77" s="101">
        <f t="shared" si="61"/>
        <v>0.01567656766</v>
      </c>
      <c r="G77" s="102">
        <v>648.0</v>
      </c>
      <c r="H77" s="101">
        <f t="shared" si="62"/>
        <v>0.007399625451</v>
      </c>
      <c r="I77" s="102">
        <v>615.0</v>
      </c>
      <c r="J77" s="101">
        <f>SUM(I77/I126)</f>
        <v>0.01078936011</v>
      </c>
      <c r="K77" s="103">
        <v>9054.0</v>
      </c>
      <c r="L77" s="101">
        <f>SUM(K77/K126)</f>
        <v>0.008014304303</v>
      </c>
      <c r="M77" s="104">
        <v>16.316836778802</v>
      </c>
      <c r="N77" s="101">
        <f>SUM(M77/M126)</f>
        <v>0.009561225805</v>
      </c>
      <c r="O77" s="105">
        <f t="shared" si="63"/>
        <v>481068731.2</v>
      </c>
      <c r="P77" s="106">
        <f t="shared" si="64"/>
        <v>481068732</v>
      </c>
      <c r="Q77" s="107"/>
      <c r="R77" s="108"/>
      <c r="S77" s="109"/>
      <c r="T77" s="109"/>
      <c r="U77" s="110"/>
      <c r="V77" s="110"/>
      <c r="W77" s="110"/>
      <c r="X77" s="110"/>
      <c r="Y77" s="110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</row>
    <row r="78" ht="17.25" customHeight="1">
      <c r="A78" s="66"/>
      <c r="B78" s="99">
        <v>52.0</v>
      </c>
      <c r="C78" s="100" t="s">
        <v>123</v>
      </c>
      <c r="D78" s="101">
        <f t="shared" si="60"/>
        <v>0.01994110598</v>
      </c>
      <c r="E78" s="102">
        <v>25.0</v>
      </c>
      <c r="F78" s="101">
        <f t="shared" si="61"/>
        <v>0.02062706271</v>
      </c>
      <c r="G78" s="102">
        <v>1330.0</v>
      </c>
      <c r="H78" s="101">
        <f t="shared" si="62"/>
        <v>0.01518750285</v>
      </c>
      <c r="I78" s="102">
        <v>1244.0</v>
      </c>
      <c r="J78" s="101">
        <f>SUM(I78/I126)</f>
        <v>0.02182433167</v>
      </c>
      <c r="K78" s="103">
        <v>32202.0</v>
      </c>
      <c r="L78" s="101">
        <f>SUM(K78/K126)</f>
        <v>0.02850415586</v>
      </c>
      <c r="M78" s="104">
        <v>11.089061962090408</v>
      </c>
      <c r="N78" s="101">
        <f>SUM(M78/M126)</f>
        <v>0.00649789091</v>
      </c>
      <c r="O78" s="105">
        <f t="shared" si="63"/>
        <v>880115764.6</v>
      </c>
      <c r="P78" s="106">
        <f t="shared" si="64"/>
        <v>880115765</v>
      </c>
      <c r="Q78" s="107"/>
      <c r="R78" s="108"/>
      <c r="S78" s="109"/>
      <c r="T78" s="109"/>
      <c r="U78" s="110"/>
      <c r="V78" s="110"/>
      <c r="W78" s="110"/>
      <c r="X78" s="110"/>
      <c r="Y78" s="110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</row>
    <row r="79" ht="17.25" customHeight="1">
      <c r="A79" s="66"/>
      <c r="B79" s="99">
        <v>53.0</v>
      </c>
      <c r="C79" s="100" t="s">
        <v>124</v>
      </c>
      <c r="D79" s="101">
        <f t="shared" si="60"/>
        <v>0.009682936308</v>
      </c>
      <c r="E79" s="102">
        <v>15.0</v>
      </c>
      <c r="F79" s="101">
        <f t="shared" si="61"/>
        <v>0.01237623762</v>
      </c>
      <c r="G79" s="102">
        <v>554.0</v>
      </c>
      <c r="H79" s="101">
        <f t="shared" si="62"/>
        <v>0.006326222994</v>
      </c>
      <c r="I79" s="102">
        <v>666.0</v>
      </c>
      <c r="J79" s="101">
        <f>SUM(I79/I126)</f>
        <v>0.01168408754</v>
      </c>
      <c r="K79" s="103">
        <v>9833.0</v>
      </c>
      <c r="L79" s="101">
        <f>SUM(K79/K126)</f>
        <v>0.008703849592</v>
      </c>
      <c r="M79" s="104">
        <v>10.704127936223578</v>
      </c>
      <c r="N79" s="101">
        <f>SUM(M79/M126)</f>
        <v>0.006272329964</v>
      </c>
      <c r="O79" s="105">
        <f t="shared" si="63"/>
        <v>427363702.9</v>
      </c>
      <c r="P79" s="106">
        <f t="shared" si="64"/>
        <v>427363703</v>
      </c>
      <c r="Q79" s="107"/>
      <c r="R79" s="108"/>
      <c r="S79" s="109"/>
      <c r="T79" s="109"/>
      <c r="U79" s="110"/>
      <c r="V79" s="110"/>
      <c r="W79" s="110"/>
      <c r="X79" s="110"/>
      <c r="Y79" s="110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</row>
    <row r="80" ht="17.25" customHeight="1">
      <c r="A80" s="111"/>
      <c r="B80" s="112"/>
      <c r="C80" s="112" t="s">
        <v>30</v>
      </c>
      <c r="D80" s="113">
        <f t="shared" ref="D80:P80" si="65">SUM(D75:D79)</f>
        <v>0.05858889547</v>
      </c>
      <c r="E80" s="114">
        <f t="shared" si="65"/>
        <v>82</v>
      </c>
      <c r="F80" s="113">
        <f t="shared" si="65"/>
        <v>0.06765676568</v>
      </c>
      <c r="G80" s="114">
        <f t="shared" si="65"/>
        <v>3878</v>
      </c>
      <c r="H80" s="113">
        <f t="shared" si="65"/>
        <v>0.04428356096</v>
      </c>
      <c r="I80" s="114">
        <f t="shared" si="65"/>
        <v>3571</v>
      </c>
      <c r="J80" s="113">
        <f t="shared" si="65"/>
        <v>0.06264846335</v>
      </c>
      <c r="K80" s="114">
        <f t="shared" si="65"/>
        <v>67321</v>
      </c>
      <c r="L80" s="113">
        <f t="shared" si="65"/>
        <v>0.0595903446</v>
      </c>
      <c r="M80" s="114">
        <f t="shared" si="65"/>
        <v>85.1129998</v>
      </c>
      <c r="N80" s="113">
        <f t="shared" si="65"/>
        <v>0.04987391987</v>
      </c>
      <c r="O80" s="115">
        <f t="shared" si="65"/>
        <v>2585865126</v>
      </c>
      <c r="P80" s="115">
        <f t="shared" si="65"/>
        <v>2585865128</v>
      </c>
      <c r="Q80" s="116"/>
      <c r="R80" s="117"/>
      <c r="S80" s="116"/>
      <c r="T80" s="116"/>
      <c r="U80" s="118"/>
      <c r="V80" s="118"/>
      <c r="W80" s="118"/>
      <c r="X80" s="118"/>
      <c r="Y80" s="118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</row>
    <row r="81" ht="17.25" customHeight="1">
      <c r="A81" s="66"/>
      <c r="B81" s="112" t="s">
        <v>125</v>
      </c>
      <c r="C81" s="119" t="s">
        <v>126</v>
      </c>
      <c r="D81" s="101"/>
      <c r="E81" s="102"/>
      <c r="F81" s="101"/>
      <c r="G81" s="102"/>
      <c r="H81" s="101"/>
      <c r="I81" s="120"/>
      <c r="J81" s="101"/>
      <c r="K81" s="102"/>
      <c r="L81" s="101"/>
      <c r="M81" s="102"/>
      <c r="N81" s="101"/>
      <c r="O81" s="105"/>
      <c r="P81" s="106"/>
      <c r="Q81" s="66"/>
      <c r="R81" s="108"/>
      <c r="S81" s="109"/>
      <c r="T81" s="109"/>
      <c r="U81" s="110"/>
      <c r="V81" s="110"/>
      <c r="W81" s="110"/>
      <c r="X81" s="110"/>
      <c r="Y81" s="110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</row>
    <row r="82" ht="17.25" customHeight="1">
      <c r="A82" s="66"/>
      <c r="B82" s="99">
        <v>54.0</v>
      </c>
      <c r="C82" s="100" t="s">
        <v>127</v>
      </c>
      <c r="D82" s="101">
        <f t="shared" ref="D82:D87" si="66">SUM((F82*$F$4)+(H82*$H$4)+($J$4*J82)+($L$4*L82)+($N$4*N82))</f>
        <v>0.01283682167</v>
      </c>
      <c r="E82" s="102">
        <v>16.0</v>
      </c>
      <c r="F82" s="101">
        <f t="shared" ref="F82:F87" si="67">E82/$E$126</f>
        <v>0.01320132013</v>
      </c>
      <c r="G82" s="102">
        <v>885.0</v>
      </c>
      <c r="H82" s="101">
        <f t="shared" ref="H82:H87" si="68">G82/$G$126</f>
        <v>0.01010596994</v>
      </c>
      <c r="I82" s="102">
        <v>660.0</v>
      </c>
      <c r="J82" s="101">
        <f>SUM(I82/I126)</f>
        <v>0.01157882549</v>
      </c>
      <c r="K82" s="103">
        <v>22467.0</v>
      </c>
      <c r="L82" s="101">
        <f>SUM(K82/K126)</f>
        <v>0.01988705266</v>
      </c>
      <c r="M82" s="104">
        <v>9.591841500880175</v>
      </c>
      <c r="N82" s="101">
        <f>SUM(M82/M126)</f>
        <v>0.005620560144</v>
      </c>
      <c r="O82" s="105">
        <f t="shared" ref="O82:O87" si="69">D82*$O$129</f>
        <v>566562814.1</v>
      </c>
      <c r="P82" s="106">
        <f t="shared" ref="P82:P87" si="70">ROUNDUP(O82,0)</f>
        <v>566562815</v>
      </c>
      <c r="Q82" s="107"/>
      <c r="R82" s="108"/>
      <c r="S82" s="109"/>
      <c r="T82" s="109"/>
      <c r="U82" s="110"/>
      <c r="V82" s="110"/>
      <c r="W82" s="110"/>
      <c r="X82" s="110"/>
      <c r="Y82" s="110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</row>
    <row r="83" ht="17.25" customHeight="1">
      <c r="A83" s="66"/>
      <c r="B83" s="99">
        <v>55.0</v>
      </c>
      <c r="C83" s="100" t="s">
        <v>128</v>
      </c>
      <c r="D83" s="101">
        <f t="shared" si="66"/>
        <v>0.006217933338</v>
      </c>
      <c r="E83" s="102">
        <v>6.0</v>
      </c>
      <c r="F83" s="101">
        <f t="shared" si="67"/>
        <v>0.00495049505</v>
      </c>
      <c r="G83" s="102">
        <v>423.0</v>
      </c>
      <c r="H83" s="101">
        <f t="shared" si="68"/>
        <v>0.004830311058</v>
      </c>
      <c r="I83" s="102">
        <v>153.0</v>
      </c>
      <c r="J83" s="101">
        <f>SUM(I83/I126)</f>
        <v>0.002684182272</v>
      </c>
      <c r="K83" s="103">
        <v>12737.0</v>
      </c>
      <c r="L83" s="101">
        <f>SUM(K83/K126)</f>
        <v>0.01127437529</v>
      </c>
      <c r="M83" s="104">
        <v>16.63918129036491</v>
      </c>
      <c r="N83" s="101">
        <f>SUM(M83/M126)</f>
        <v>0.009750110986</v>
      </c>
      <c r="O83" s="105">
        <f t="shared" si="69"/>
        <v>274433181.3</v>
      </c>
      <c r="P83" s="106">
        <f t="shared" si="70"/>
        <v>274433182</v>
      </c>
      <c r="Q83" s="107"/>
      <c r="R83" s="108"/>
      <c r="S83" s="109"/>
      <c r="T83" s="109"/>
      <c r="U83" s="110"/>
      <c r="V83" s="110"/>
      <c r="W83" s="110"/>
      <c r="X83" s="110"/>
      <c r="Y83" s="110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</row>
    <row r="84" ht="17.25" customHeight="1">
      <c r="A84" s="66"/>
      <c r="B84" s="99">
        <v>56.0</v>
      </c>
      <c r="C84" s="100" t="s">
        <v>129</v>
      </c>
      <c r="D84" s="101">
        <f t="shared" si="66"/>
        <v>0.01299686498</v>
      </c>
      <c r="E84" s="102">
        <v>17.0</v>
      </c>
      <c r="F84" s="101">
        <f t="shared" si="67"/>
        <v>0.01402640264</v>
      </c>
      <c r="G84" s="102">
        <v>807.0</v>
      </c>
      <c r="H84" s="101">
        <f t="shared" si="68"/>
        <v>0.009215274289</v>
      </c>
      <c r="I84" s="102">
        <v>609.0</v>
      </c>
      <c r="J84" s="101">
        <f>SUM(I84/I126)</f>
        <v>0.01068409806</v>
      </c>
      <c r="K84" s="103">
        <v>19914.0</v>
      </c>
      <c r="L84" s="101">
        <f>SUM(K84/K126)</f>
        <v>0.01762722066</v>
      </c>
      <c r="M84" s="104">
        <v>21.905882702562888</v>
      </c>
      <c r="N84" s="101">
        <f>SUM(M84/M126)</f>
        <v>0.01283625581</v>
      </c>
      <c r="O84" s="105">
        <f t="shared" si="69"/>
        <v>573626446.1</v>
      </c>
      <c r="P84" s="106">
        <f t="shared" si="70"/>
        <v>573626447</v>
      </c>
      <c r="Q84" s="107"/>
      <c r="R84" s="108"/>
      <c r="S84" s="109"/>
      <c r="T84" s="109"/>
      <c r="U84" s="110"/>
      <c r="V84" s="110"/>
      <c r="W84" s="110"/>
      <c r="X84" s="110"/>
      <c r="Y84" s="110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</row>
    <row r="85" ht="17.25" customHeight="1">
      <c r="A85" s="66"/>
      <c r="B85" s="99">
        <v>57.0</v>
      </c>
      <c r="C85" s="100" t="s">
        <v>130</v>
      </c>
      <c r="D85" s="101">
        <f t="shared" si="66"/>
        <v>0.01293267246</v>
      </c>
      <c r="E85" s="102">
        <v>14.0</v>
      </c>
      <c r="F85" s="101">
        <f t="shared" si="67"/>
        <v>0.01155115512</v>
      </c>
      <c r="G85" s="102">
        <v>1052.0</v>
      </c>
      <c r="H85" s="101">
        <f t="shared" si="68"/>
        <v>0.01201297218</v>
      </c>
      <c r="I85" s="102">
        <v>803.0</v>
      </c>
      <c r="J85" s="101">
        <f>SUM(I85/I126)</f>
        <v>0.01408757101</v>
      </c>
      <c r="K85" s="103">
        <v>17153.0</v>
      </c>
      <c r="L85" s="101">
        <f>SUM(K85/K126)</f>
        <v>0.01518327388</v>
      </c>
      <c r="M85" s="104">
        <v>20.659015236026907</v>
      </c>
      <c r="N85" s="101">
        <f>SUM(M85/M126)</f>
        <v>0.01210562514</v>
      </c>
      <c r="O85" s="105">
        <f t="shared" si="69"/>
        <v>570793261.1</v>
      </c>
      <c r="P85" s="106">
        <f t="shared" si="70"/>
        <v>570793262</v>
      </c>
      <c r="Q85" s="107"/>
      <c r="R85" s="108"/>
      <c r="S85" s="109"/>
      <c r="T85" s="109"/>
      <c r="U85" s="110"/>
      <c r="V85" s="110"/>
      <c r="W85" s="110"/>
      <c r="X85" s="110"/>
      <c r="Y85" s="110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</row>
    <row r="86" ht="17.25" customHeight="1">
      <c r="A86" s="66"/>
      <c r="B86" s="99">
        <v>58.0</v>
      </c>
      <c r="C86" s="100" t="s">
        <v>131</v>
      </c>
      <c r="D86" s="101">
        <f t="shared" si="66"/>
        <v>0.01567260315</v>
      </c>
      <c r="E86" s="102">
        <v>18.0</v>
      </c>
      <c r="F86" s="101">
        <f t="shared" si="67"/>
        <v>0.01485148515</v>
      </c>
      <c r="G86" s="102">
        <v>1423.0</v>
      </c>
      <c r="H86" s="101">
        <f t="shared" si="68"/>
        <v>0.01624948614</v>
      </c>
      <c r="I86" s="102">
        <v>938.0</v>
      </c>
      <c r="J86" s="101">
        <f>SUM(I86/I126)</f>
        <v>0.01645596713</v>
      </c>
      <c r="K86" s="103">
        <v>22061.0</v>
      </c>
      <c r="L86" s="101">
        <f>SUM(K86/K126)</f>
        <v>0.01952767475</v>
      </c>
      <c r="M86" s="104">
        <v>13.14961613295996</v>
      </c>
      <c r="N86" s="101">
        <f>SUM(M86/M126)</f>
        <v>0.00770532002</v>
      </c>
      <c r="O86" s="105">
        <f t="shared" si="69"/>
        <v>691722170.2</v>
      </c>
      <c r="P86" s="106">
        <f t="shared" si="70"/>
        <v>691722171</v>
      </c>
      <c r="Q86" s="107"/>
      <c r="R86" s="108"/>
      <c r="S86" s="109"/>
      <c r="T86" s="109"/>
      <c r="U86" s="110"/>
      <c r="V86" s="110"/>
      <c r="W86" s="110"/>
      <c r="X86" s="110"/>
      <c r="Y86" s="110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</row>
    <row r="87" ht="17.25" customHeight="1">
      <c r="A87" s="66"/>
      <c r="B87" s="99">
        <v>59.0</v>
      </c>
      <c r="C87" s="100" t="s">
        <v>132</v>
      </c>
      <c r="D87" s="101">
        <f t="shared" si="66"/>
        <v>0.01152228075</v>
      </c>
      <c r="E87" s="102">
        <v>16.0</v>
      </c>
      <c r="F87" s="101">
        <f t="shared" si="67"/>
        <v>0.01320132013</v>
      </c>
      <c r="G87" s="102">
        <v>815.0</v>
      </c>
      <c r="H87" s="101">
        <f t="shared" si="68"/>
        <v>0.009306627689</v>
      </c>
      <c r="I87" s="102">
        <v>660.0</v>
      </c>
      <c r="J87" s="101">
        <f>SUM(I87/I126)</f>
        <v>0.01157882549</v>
      </c>
      <c r="K87" s="103">
        <v>10593.0</v>
      </c>
      <c r="L87" s="101">
        <f>SUM(K87/K126)</f>
        <v>0.009376576704</v>
      </c>
      <c r="M87" s="104">
        <v>25.76020961437053</v>
      </c>
      <c r="N87" s="101">
        <f>SUM(M87/M126)</f>
        <v>0.01509478732</v>
      </c>
      <c r="O87" s="105">
        <f t="shared" si="69"/>
        <v>508544558.1</v>
      </c>
      <c r="P87" s="106">
        <f t="shared" si="70"/>
        <v>508544559</v>
      </c>
      <c r="Q87" s="107"/>
      <c r="R87" s="108"/>
      <c r="S87" s="109"/>
      <c r="T87" s="109"/>
      <c r="U87" s="110"/>
      <c r="V87" s="110"/>
      <c r="W87" s="110"/>
      <c r="X87" s="110"/>
      <c r="Y87" s="110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</row>
    <row r="88" ht="17.25" customHeight="1">
      <c r="A88" s="111"/>
      <c r="B88" s="112"/>
      <c r="C88" s="112" t="s">
        <v>30</v>
      </c>
      <c r="D88" s="113">
        <f t="shared" ref="D88:P88" si="71">SUM(D82:D87)</f>
        <v>0.07217917635</v>
      </c>
      <c r="E88" s="114">
        <f t="shared" si="71"/>
        <v>87</v>
      </c>
      <c r="F88" s="113">
        <f t="shared" si="71"/>
        <v>0.07178217822</v>
      </c>
      <c r="G88" s="114">
        <f t="shared" si="71"/>
        <v>5405</v>
      </c>
      <c r="H88" s="113">
        <f t="shared" si="71"/>
        <v>0.0617206413</v>
      </c>
      <c r="I88" s="114">
        <f t="shared" si="71"/>
        <v>3823</v>
      </c>
      <c r="J88" s="113">
        <f t="shared" si="71"/>
        <v>0.06706946944</v>
      </c>
      <c r="K88" s="114">
        <f t="shared" si="71"/>
        <v>104925</v>
      </c>
      <c r="L88" s="113">
        <f t="shared" si="71"/>
        <v>0.09287617395</v>
      </c>
      <c r="M88" s="114">
        <f t="shared" si="71"/>
        <v>107.7057465</v>
      </c>
      <c r="N88" s="113">
        <f t="shared" si="71"/>
        <v>0.06311265943</v>
      </c>
      <c r="O88" s="115">
        <f t="shared" si="71"/>
        <v>3185682431</v>
      </c>
      <c r="P88" s="115">
        <f t="shared" si="71"/>
        <v>3185682436</v>
      </c>
      <c r="Q88" s="116"/>
      <c r="R88" s="117"/>
      <c r="S88" s="116"/>
      <c r="T88" s="116"/>
      <c r="U88" s="118"/>
      <c r="V88" s="118"/>
      <c r="W88" s="118"/>
      <c r="X88" s="118"/>
      <c r="Y88" s="118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</row>
    <row r="89" ht="17.25" customHeight="1">
      <c r="A89" s="66"/>
      <c r="B89" s="112" t="s">
        <v>133</v>
      </c>
      <c r="C89" s="119" t="s">
        <v>134</v>
      </c>
      <c r="D89" s="101"/>
      <c r="E89" s="102"/>
      <c r="F89" s="101"/>
      <c r="G89" s="102"/>
      <c r="H89" s="101"/>
      <c r="I89" s="120"/>
      <c r="J89" s="101"/>
      <c r="K89" s="102"/>
      <c r="L89" s="101"/>
      <c r="M89" s="102"/>
      <c r="N89" s="101"/>
      <c r="O89" s="105"/>
      <c r="P89" s="106"/>
      <c r="Q89" s="66"/>
      <c r="R89" s="108"/>
      <c r="S89" s="109"/>
      <c r="T89" s="109"/>
      <c r="U89" s="110"/>
      <c r="V89" s="110"/>
      <c r="W89" s="110"/>
      <c r="X89" s="110"/>
      <c r="Y89" s="110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</row>
    <row r="90" ht="17.25" customHeight="1">
      <c r="A90" s="66"/>
      <c r="B90" s="99">
        <v>60.0</v>
      </c>
      <c r="C90" s="100" t="s">
        <v>135</v>
      </c>
      <c r="D90" s="101">
        <f t="shared" ref="D90:D94" si="72">SUM((F90*$F$4)+(H90*$H$4)+($J$4*J90)+($L$4*L90)+($N$4*N90))</f>
        <v>0.01463428008</v>
      </c>
      <c r="E90" s="102">
        <v>20.0</v>
      </c>
      <c r="F90" s="101">
        <f t="shared" ref="F90:F94" si="73">E90/$E$126</f>
        <v>0.01650165017</v>
      </c>
      <c r="G90" s="102">
        <v>1436.0</v>
      </c>
      <c r="H90" s="101">
        <f t="shared" ref="H90:H94" si="74">G90/$G$126</f>
        <v>0.01639793541</v>
      </c>
      <c r="I90" s="102">
        <v>744.0</v>
      </c>
      <c r="J90" s="101">
        <f>SUM(I90/I126)</f>
        <v>0.01305249418</v>
      </c>
      <c r="K90" s="103">
        <v>15622.0</v>
      </c>
      <c r="L90" s="101">
        <f>SUM(K90/K126)</f>
        <v>0.01382808282</v>
      </c>
      <c r="M90" s="104">
        <v>17.54487909544891</v>
      </c>
      <c r="N90" s="101">
        <f>SUM(M90/M126)</f>
        <v>0.01028082545</v>
      </c>
      <c r="O90" s="105">
        <f t="shared" ref="O90:O94" si="75">D90*$O$129</f>
        <v>645894997.6</v>
      </c>
      <c r="P90" s="106">
        <f t="shared" ref="P90:P94" si="76">ROUNDUP(O90,0)</f>
        <v>645894998</v>
      </c>
      <c r="Q90" s="107"/>
      <c r="R90" s="108"/>
      <c r="S90" s="109"/>
      <c r="T90" s="109"/>
      <c r="U90" s="110"/>
      <c r="V90" s="110"/>
      <c r="W90" s="110"/>
      <c r="X90" s="110"/>
      <c r="Y90" s="110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</row>
    <row r="91" ht="17.25" customHeight="1">
      <c r="A91" s="66"/>
      <c r="B91" s="99">
        <v>61.0</v>
      </c>
      <c r="C91" s="100" t="s">
        <v>136</v>
      </c>
      <c r="D91" s="101">
        <f t="shared" si="72"/>
        <v>0.01271002307</v>
      </c>
      <c r="E91" s="102">
        <v>12.0</v>
      </c>
      <c r="F91" s="101">
        <f t="shared" si="73"/>
        <v>0.009900990099</v>
      </c>
      <c r="G91" s="102">
        <v>1598.0</v>
      </c>
      <c r="H91" s="101">
        <f t="shared" si="74"/>
        <v>0.01824784178</v>
      </c>
      <c r="I91" s="102">
        <v>578.0</v>
      </c>
      <c r="J91" s="101">
        <f>SUM(I91/I126)</f>
        <v>0.01014024414</v>
      </c>
      <c r="K91" s="103">
        <v>18964.0</v>
      </c>
      <c r="L91" s="101">
        <f>SUM(K91/K126)</f>
        <v>0.01678631177</v>
      </c>
      <c r="M91" s="104">
        <v>12.028651490360915</v>
      </c>
      <c r="N91" s="101">
        <f>SUM(M91/M126)</f>
        <v>0.007048465005</v>
      </c>
      <c r="O91" s="105">
        <f t="shared" si="75"/>
        <v>560966462</v>
      </c>
      <c r="P91" s="106">
        <f t="shared" si="76"/>
        <v>560966462</v>
      </c>
      <c r="Q91" s="107"/>
      <c r="R91" s="108"/>
      <c r="S91" s="109"/>
      <c r="T91" s="109"/>
      <c r="U91" s="110"/>
      <c r="V91" s="110"/>
      <c r="W91" s="110"/>
      <c r="X91" s="110"/>
      <c r="Y91" s="110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</row>
    <row r="92" ht="17.25" customHeight="1">
      <c r="A92" s="66"/>
      <c r="B92" s="99">
        <v>62.0</v>
      </c>
      <c r="C92" s="100" t="s">
        <v>137</v>
      </c>
      <c r="D92" s="101">
        <f t="shared" si="72"/>
        <v>0.01142499719</v>
      </c>
      <c r="E92" s="102">
        <v>15.0</v>
      </c>
      <c r="F92" s="101">
        <f t="shared" si="73"/>
        <v>0.01237623762</v>
      </c>
      <c r="G92" s="102">
        <v>1039.0</v>
      </c>
      <c r="H92" s="101">
        <f t="shared" si="74"/>
        <v>0.01186452291</v>
      </c>
      <c r="I92" s="102">
        <v>504.0</v>
      </c>
      <c r="J92" s="101">
        <f>SUM(I92/I126)</f>
        <v>0.008842012189</v>
      </c>
      <c r="K92" s="103">
        <v>15622.0</v>
      </c>
      <c r="L92" s="101">
        <f>SUM(K92/K126)</f>
        <v>0.01382808282</v>
      </c>
      <c r="M92" s="104">
        <v>13.741287094847314</v>
      </c>
      <c r="N92" s="101">
        <f>SUM(M92/M126)</f>
        <v>0.008052023229</v>
      </c>
      <c r="O92" s="105">
        <f t="shared" si="75"/>
        <v>504250875</v>
      </c>
      <c r="P92" s="106">
        <f t="shared" si="76"/>
        <v>504250875</v>
      </c>
      <c r="Q92" s="107"/>
      <c r="R92" s="108"/>
      <c r="S92" s="109"/>
      <c r="T92" s="109"/>
      <c r="U92" s="110"/>
      <c r="V92" s="110"/>
      <c r="W92" s="110"/>
      <c r="X92" s="110"/>
      <c r="Y92" s="110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</row>
    <row r="93" ht="17.25" customHeight="1">
      <c r="A93" s="66"/>
      <c r="B93" s="99">
        <v>63.0</v>
      </c>
      <c r="C93" s="100" t="s">
        <v>138</v>
      </c>
      <c r="D93" s="101">
        <f t="shared" si="72"/>
        <v>0.01401020704</v>
      </c>
      <c r="E93" s="102">
        <v>22.0</v>
      </c>
      <c r="F93" s="101">
        <f t="shared" si="73"/>
        <v>0.01815181518</v>
      </c>
      <c r="G93" s="102">
        <v>1096.0</v>
      </c>
      <c r="H93" s="101">
        <f t="shared" si="74"/>
        <v>0.01251541589</v>
      </c>
      <c r="I93" s="102">
        <v>727.0</v>
      </c>
      <c r="J93" s="101">
        <f>SUM(I93/I126)</f>
        <v>0.01275425171</v>
      </c>
      <c r="K93" s="103">
        <v>12969.0</v>
      </c>
      <c r="L93" s="101">
        <f>SUM(K93/K126)</f>
        <v>0.0114797341</v>
      </c>
      <c r="M93" s="104">
        <v>20.73102600349944</v>
      </c>
      <c r="N93" s="101">
        <f>SUM(M93/M126)</f>
        <v>0.01214782151</v>
      </c>
      <c r="O93" s="105">
        <f t="shared" si="75"/>
        <v>618351063.2</v>
      </c>
      <c r="P93" s="106">
        <f t="shared" si="76"/>
        <v>618351064</v>
      </c>
      <c r="Q93" s="107"/>
      <c r="R93" s="108"/>
      <c r="S93" s="109"/>
      <c r="T93" s="109"/>
      <c r="U93" s="110"/>
      <c r="V93" s="110"/>
      <c r="W93" s="110"/>
      <c r="X93" s="110"/>
      <c r="Y93" s="110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</row>
    <row r="94" ht="17.25" customHeight="1">
      <c r="A94" s="66"/>
      <c r="B94" s="99">
        <v>64.0</v>
      </c>
      <c r="C94" s="100" t="s">
        <v>139</v>
      </c>
      <c r="D94" s="101">
        <f t="shared" si="72"/>
        <v>0.01090761446</v>
      </c>
      <c r="E94" s="102">
        <v>14.0</v>
      </c>
      <c r="F94" s="101">
        <f t="shared" si="73"/>
        <v>0.01155115512</v>
      </c>
      <c r="G94" s="102">
        <v>951.0</v>
      </c>
      <c r="H94" s="101">
        <f t="shared" si="74"/>
        <v>0.0108596355</v>
      </c>
      <c r="I94" s="102">
        <v>579.0</v>
      </c>
      <c r="J94" s="101">
        <f>SUM(I94/I126)</f>
        <v>0.01015778781</v>
      </c>
      <c r="K94" s="103">
        <v>10078.0</v>
      </c>
      <c r="L94" s="101">
        <f>SUM(K94/K126)</f>
        <v>0.008920715569</v>
      </c>
      <c r="M94" s="104">
        <v>24.82435450570089</v>
      </c>
      <c r="N94" s="101">
        <f>SUM(M94/M126)</f>
        <v>0.01454640149</v>
      </c>
      <c r="O94" s="105">
        <f t="shared" si="75"/>
        <v>481415797.6</v>
      </c>
      <c r="P94" s="106">
        <f t="shared" si="76"/>
        <v>481415798</v>
      </c>
      <c r="Q94" s="107"/>
      <c r="R94" s="108"/>
      <c r="S94" s="109"/>
      <c r="T94" s="109"/>
      <c r="U94" s="110"/>
      <c r="V94" s="110"/>
      <c r="W94" s="110"/>
      <c r="X94" s="110"/>
      <c r="Y94" s="110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</row>
    <row r="95" ht="17.25" customHeight="1">
      <c r="A95" s="111"/>
      <c r="B95" s="112"/>
      <c r="C95" s="112" t="s">
        <v>30</v>
      </c>
      <c r="D95" s="113">
        <f t="shared" ref="D95:P95" si="77">SUM(D90:D94)</f>
        <v>0.06368712184</v>
      </c>
      <c r="E95" s="114">
        <f t="shared" si="77"/>
        <v>83</v>
      </c>
      <c r="F95" s="113">
        <f t="shared" si="77"/>
        <v>0.06848184818</v>
      </c>
      <c r="G95" s="114">
        <f t="shared" si="77"/>
        <v>6120</v>
      </c>
      <c r="H95" s="113">
        <f t="shared" si="77"/>
        <v>0.06988535148</v>
      </c>
      <c r="I95" s="114">
        <f t="shared" si="77"/>
        <v>3132</v>
      </c>
      <c r="J95" s="113">
        <f t="shared" si="77"/>
        <v>0.05494679003</v>
      </c>
      <c r="K95" s="114">
        <f t="shared" si="77"/>
        <v>73255</v>
      </c>
      <c r="L95" s="113">
        <f t="shared" si="77"/>
        <v>0.06484292707</v>
      </c>
      <c r="M95" s="114">
        <f t="shared" si="77"/>
        <v>88.87019819</v>
      </c>
      <c r="N95" s="113">
        <f t="shared" si="77"/>
        <v>0.05207553668</v>
      </c>
      <c r="O95" s="115">
        <f t="shared" si="77"/>
        <v>2810879195</v>
      </c>
      <c r="P95" s="115">
        <f t="shared" si="77"/>
        <v>2810879197</v>
      </c>
      <c r="Q95" s="116"/>
      <c r="R95" s="117"/>
      <c r="S95" s="116"/>
      <c r="T95" s="116"/>
      <c r="U95" s="118"/>
      <c r="V95" s="118"/>
      <c r="W95" s="118"/>
      <c r="X95" s="118"/>
      <c r="Y95" s="118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</row>
    <row r="96" ht="17.25" customHeight="1">
      <c r="A96" s="66"/>
      <c r="B96" s="112" t="s">
        <v>140</v>
      </c>
      <c r="C96" s="119" t="s">
        <v>141</v>
      </c>
      <c r="D96" s="101"/>
      <c r="E96" s="102"/>
      <c r="F96" s="101"/>
      <c r="G96" s="102"/>
      <c r="H96" s="101"/>
      <c r="I96" s="120"/>
      <c r="J96" s="101"/>
      <c r="K96" s="102"/>
      <c r="L96" s="101"/>
      <c r="M96" s="102"/>
      <c r="N96" s="101"/>
      <c r="O96" s="105"/>
      <c r="P96" s="106"/>
      <c r="Q96" s="66"/>
      <c r="R96" s="108"/>
      <c r="S96" s="109"/>
      <c r="T96" s="109"/>
      <c r="U96" s="110"/>
      <c r="V96" s="110"/>
      <c r="W96" s="110"/>
      <c r="X96" s="110"/>
      <c r="Y96" s="110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</row>
    <row r="97" ht="17.25" customHeight="1">
      <c r="A97" s="66"/>
      <c r="B97" s="99">
        <v>65.0</v>
      </c>
      <c r="C97" s="100" t="s">
        <v>142</v>
      </c>
      <c r="D97" s="101">
        <f t="shared" ref="D97:D104" si="78">SUM((F97*$F$4)+(H97*$H$4)+($J$4*J97)+($L$4*L97)+($N$4*N97))</f>
        <v>0.009935720372</v>
      </c>
      <c r="E97" s="102">
        <v>14.0</v>
      </c>
      <c r="F97" s="101">
        <f t="shared" ref="F97:F104" si="79">E97/$E$126</f>
        <v>0.01155115512</v>
      </c>
      <c r="G97" s="102">
        <v>885.0</v>
      </c>
      <c r="H97" s="101">
        <f t="shared" ref="H97:H104" si="80">G97/$G$126</f>
        <v>0.01010596994</v>
      </c>
      <c r="I97" s="102">
        <v>483.0</v>
      </c>
      <c r="J97" s="101">
        <f>SUM(I97/I126)</f>
        <v>0.008473595015</v>
      </c>
      <c r="K97" s="103">
        <v>7712.0</v>
      </c>
      <c r="L97" s="101">
        <f>SUM(K97/K126)</f>
        <v>0.00682640985</v>
      </c>
      <c r="M97" s="104">
        <v>23.707216451188696</v>
      </c>
      <c r="N97" s="101">
        <f>SUM(M97/M126)</f>
        <v>0.01389178876</v>
      </c>
      <c r="O97" s="105">
        <f t="shared" ref="O97:O104" si="81">D97*$O$129</f>
        <v>438520518.4</v>
      </c>
      <c r="P97" s="106">
        <f t="shared" ref="P97:P104" si="82">ROUNDUP(O97,0)</f>
        <v>438520519</v>
      </c>
      <c r="Q97" s="107"/>
      <c r="R97" s="108"/>
      <c r="S97" s="109"/>
      <c r="T97" s="109"/>
      <c r="U97" s="110"/>
      <c r="V97" s="110"/>
      <c r="W97" s="110"/>
      <c r="X97" s="110"/>
      <c r="Y97" s="110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</row>
    <row r="98" ht="17.25" customHeight="1">
      <c r="A98" s="66"/>
      <c r="B98" s="99">
        <v>66.0</v>
      </c>
      <c r="C98" s="100" t="s">
        <v>143</v>
      </c>
      <c r="D98" s="101">
        <f t="shared" si="78"/>
        <v>0.007559713582</v>
      </c>
      <c r="E98" s="102">
        <v>11.0</v>
      </c>
      <c r="F98" s="101">
        <f t="shared" si="79"/>
        <v>0.009075907591</v>
      </c>
      <c r="G98" s="102">
        <v>544.0</v>
      </c>
      <c r="H98" s="101">
        <f t="shared" si="80"/>
        <v>0.006212031243</v>
      </c>
      <c r="I98" s="102">
        <v>326.0</v>
      </c>
      <c r="J98" s="101">
        <f>SUM(I98/I126)</f>
        <v>0.005719238043</v>
      </c>
      <c r="K98" s="103">
        <v>5223.0</v>
      </c>
      <c r="L98" s="101">
        <f>SUM(K98/K126)</f>
        <v>0.004623228559</v>
      </c>
      <c r="M98" s="104">
        <v>26.042867756154156</v>
      </c>
      <c r="N98" s="101">
        <f>SUM(M98/M126)</f>
        <v>0.01526041736</v>
      </c>
      <c r="O98" s="105">
        <f t="shared" si="81"/>
        <v>333653665.2</v>
      </c>
      <c r="P98" s="106">
        <f t="shared" si="82"/>
        <v>333653666</v>
      </c>
      <c r="Q98" s="107"/>
      <c r="R98" s="108"/>
      <c r="S98" s="109"/>
      <c r="T98" s="109"/>
      <c r="U98" s="110"/>
      <c r="V98" s="110"/>
      <c r="W98" s="110"/>
      <c r="X98" s="110"/>
      <c r="Y98" s="110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</row>
    <row r="99" ht="17.25" customHeight="1">
      <c r="A99" s="66"/>
      <c r="B99" s="99">
        <v>67.0</v>
      </c>
      <c r="C99" s="100" t="s">
        <v>144</v>
      </c>
      <c r="D99" s="101">
        <f t="shared" si="78"/>
        <v>0.006933961883</v>
      </c>
      <c r="E99" s="102">
        <v>10.0</v>
      </c>
      <c r="F99" s="101">
        <f t="shared" si="79"/>
        <v>0.008250825083</v>
      </c>
      <c r="G99" s="102">
        <v>514.0</v>
      </c>
      <c r="H99" s="101">
        <f t="shared" si="80"/>
        <v>0.00586945599</v>
      </c>
      <c r="I99" s="102">
        <v>293.0</v>
      </c>
      <c r="J99" s="101">
        <f>SUM(I99/I126)</f>
        <v>0.005140296769</v>
      </c>
      <c r="K99" s="103">
        <v>4724.0</v>
      </c>
      <c r="L99" s="101">
        <f>SUM(K99/K126)</f>
        <v>0.0041815301</v>
      </c>
      <c r="M99" s="104">
        <v>24.241010853171225</v>
      </c>
      <c r="N99" s="101">
        <f>SUM(M99/M126)</f>
        <v>0.01420457786</v>
      </c>
      <c r="O99" s="105">
        <f t="shared" si="81"/>
        <v>306035641.7</v>
      </c>
      <c r="P99" s="106">
        <f t="shared" si="82"/>
        <v>306035642</v>
      </c>
      <c r="Q99" s="107"/>
      <c r="R99" s="108"/>
      <c r="S99" s="109"/>
      <c r="T99" s="109"/>
      <c r="U99" s="110"/>
      <c r="V99" s="110"/>
      <c r="W99" s="110"/>
      <c r="X99" s="110"/>
      <c r="Y99" s="110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</row>
    <row r="100" ht="17.25" customHeight="1">
      <c r="A100" s="66"/>
      <c r="B100" s="99">
        <v>68.0</v>
      </c>
      <c r="C100" s="100" t="s">
        <v>145</v>
      </c>
      <c r="D100" s="101">
        <f t="shared" si="78"/>
        <v>0.007762686528</v>
      </c>
      <c r="E100" s="102">
        <v>9.0</v>
      </c>
      <c r="F100" s="101">
        <f t="shared" si="79"/>
        <v>0.007425742574</v>
      </c>
      <c r="G100" s="102">
        <v>762.0</v>
      </c>
      <c r="H100" s="101">
        <f t="shared" si="80"/>
        <v>0.00870141141</v>
      </c>
      <c r="I100" s="102">
        <v>327.0</v>
      </c>
      <c r="J100" s="101">
        <f>SUM(I100/I126)</f>
        <v>0.005736781718</v>
      </c>
      <c r="K100" s="103">
        <v>6610.0</v>
      </c>
      <c r="L100" s="101">
        <f>SUM(K100/K126)</f>
        <v>0.005850955538</v>
      </c>
      <c r="M100" s="104">
        <v>25.208226682965382</v>
      </c>
      <c r="N100" s="101">
        <f>SUM(M100/M126)</f>
        <v>0.01477134023</v>
      </c>
      <c r="O100" s="105">
        <f t="shared" si="81"/>
        <v>342612029.4</v>
      </c>
      <c r="P100" s="106">
        <f t="shared" si="82"/>
        <v>342612030</v>
      </c>
      <c r="Q100" s="107"/>
      <c r="R100" s="108"/>
      <c r="S100" s="109"/>
      <c r="T100" s="109"/>
      <c r="U100" s="110"/>
      <c r="V100" s="110"/>
      <c r="W100" s="110"/>
      <c r="X100" s="110"/>
      <c r="Y100" s="110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</row>
    <row r="101" ht="17.25" customHeight="1">
      <c r="A101" s="66"/>
      <c r="B101" s="99">
        <v>69.0</v>
      </c>
      <c r="C101" s="100" t="s">
        <v>146</v>
      </c>
      <c r="D101" s="101">
        <f t="shared" si="78"/>
        <v>0.008161829662</v>
      </c>
      <c r="E101" s="102">
        <v>13.0</v>
      </c>
      <c r="F101" s="101">
        <f t="shared" si="79"/>
        <v>0.01072607261</v>
      </c>
      <c r="G101" s="102">
        <v>589.0</v>
      </c>
      <c r="H101" s="101">
        <f t="shared" si="80"/>
        <v>0.006725894121</v>
      </c>
      <c r="I101" s="102">
        <v>337.0</v>
      </c>
      <c r="J101" s="101">
        <f>SUM(I101/I126)</f>
        <v>0.005912218468</v>
      </c>
      <c r="K101" s="103">
        <v>5390.0</v>
      </c>
      <c r="L101" s="101">
        <f>SUM(K101/K126)</f>
        <v>0.00477105149</v>
      </c>
      <c r="M101" s="104">
        <v>24.952942585903894</v>
      </c>
      <c r="N101" s="101">
        <f>SUM(M101/M126)</f>
        <v>0.01462175064</v>
      </c>
      <c r="O101" s="105">
        <f t="shared" si="81"/>
        <v>360228512.9</v>
      </c>
      <c r="P101" s="106">
        <f t="shared" si="82"/>
        <v>360228513</v>
      </c>
      <c r="Q101" s="107"/>
      <c r="R101" s="108"/>
      <c r="S101" s="109"/>
      <c r="T101" s="109"/>
      <c r="U101" s="110"/>
      <c r="V101" s="110"/>
      <c r="W101" s="110"/>
      <c r="X101" s="110"/>
      <c r="Y101" s="110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</row>
    <row r="102" ht="17.25" customHeight="1">
      <c r="A102" s="66"/>
      <c r="B102" s="99">
        <v>70.0</v>
      </c>
      <c r="C102" s="100" t="s">
        <v>147</v>
      </c>
      <c r="D102" s="101">
        <f t="shared" si="78"/>
        <v>0.01079450961</v>
      </c>
      <c r="E102" s="102">
        <v>14.0</v>
      </c>
      <c r="F102" s="101">
        <f t="shared" si="79"/>
        <v>0.01155115512</v>
      </c>
      <c r="G102" s="102">
        <v>1126.0</v>
      </c>
      <c r="H102" s="101">
        <f t="shared" si="80"/>
        <v>0.01285799114</v>
      </c>
      <c r="I102" s="102">
        <v>539.0</v>
      </c>
      <c r="J102" s="101">
        <f>SUM(I102/I126)</f>
        <v>0.009456040814</v>
      </c>
      <c r="K102" s="103">
        <v>11269.0</v>
      </c>
      <c r="L102" s="101">
        <f>SUM(K102/K126)</f>
        <v>0.009974949767</v>
      </c>
      <c r="M102" s="104">
        <v>14.870424612867879</v>
      </c>
      <c r="N102" s="101">
        <f>SUM(M102/M126)</f>
        <v>0.008713667328</v>
      </c>
      <c r="O102" s="105">
        <f t="shared" si="81"/>
        <v>476423829.7</v>
      </c>
      <c r="P102" s="106">
        <f t="shared" si="82"/>
        <v>476423830</v>
      </c>
      <c r="Q102" s="107"/>
      <c r="R102" s="108"/>
      <c r="S102" s="109"/>
      <c r="T102" s="109"/>
      <c r="U102" s="110"/>
      <c r="V102" s="110"/>
      <c r="W102" s="110"/>
      <c r="X102" s="110"/>
      <c r="Y102" s="110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</row>
    <row r="103" ht="17.25" customHeight="1">
      <c r="A103" s="66"/>
      <c r="B103" s="99">
        <v>71.0</v>
      </c>
      <c r="C103" s="100" t="s">
        <v>148</v>
      </c>
      <c r="D103" s="101">
        <f t="shared" si="78"/>
        <v>0.007972608796</v>
      </c>
      <c r="E103" s="102">
        <v>10.0</v>
      </c>
      <c r="F103" s="101">
        <f t="shared" si="79"/>
        <v>0.008250825083</v>
      </c>
      <c r="G103" s="102">
        <v>881.0</v>
      </c>
      <c r="H103" s="101">
        <f t="shared" si="80"/>
        <v>0.01006029324</v>
      </c>
      <c r="I103" s="102">
        <v>333.0</v>
      </c>
      <c r="J103" s="101">
        <f>SUM(I103/I126)</f>
        <v>0.005842043768</v>
      </c>
      <c r="K103" s="103">
        <v>7833.0</v>
      </c>
      <c r="L103" s="101">
        <f>SUM(K103/K126)</f>
        <v>0.006933515088</v>
      </c>
      <c r="M103" s="104">
        <v>15.874295407874556</v>
      </c>
      <c r="N103" s="101">
        <f>SUM(M103/M126)</f>
        <v>0.00930190851</v>
      </c>
      <c r="O103" s="105">
        <f t="shared" si="81"/>
        <v>351877107.1</v>
      </c>
      <c r="P103" s="106">
        <f t="shared" si="82"/>
        <v>351877108</v>
      </c>
      <c r="Q103" s="107"/>
      <c r="R103" s="108"/>
      <c r="S103" s="109"/>
      <c r="T103" s="109"/>
      <c r="U103" s="110"/>
      <c r="V103" s="110"/>
      <c r="W103" s="110"/>
      <c r="X103" s="110"/>
      <c r="Y103" s="110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</row>
    <row r="104" ht="17.25" customHeight="1">
      <c r="A104" s="66"/>
      <c r="B104" s="99">
        <v>72.0</v>
      </c>
      <c r="C104" s="100" t="s">
        <v>149</v>
      </c>
      <c r="D104" s="101">
        <f t="shared" si="78"/>
        <v>0.01075493763</v>
      </c>
      <c r="E104" s="102">
        <v>17.0</v>
      </c>
      <c r="F104" s="101">
        <f t="shared" si="79"/>
        <v>0.01402640264</v>
      </c>
      <c r="G104" s="102">
        <v>740.0</v>
      </c>
      <c r="H104" s="101">
        <f t="shared" si="80"/>
        <v>0.008450189558</v>
      </c>
      <c r="I104" s="102">
        <v>612.0</v>
      </c>
      <c r="J104" s="101">
        <f>SUM(I104/I126)</f>
        <v>0.01073672909</v>
      </c>
      <c r="K104" s="103">
        <v>6906.0</v>
      </c>
      <c r="L104" s="101">
        <f>SUM(K104/K126)</f>
        <v>0.006112965045</v>
      </c>
      <c r="M104" s="104">
        <v>25.37728013938721</v>
      </c>
      <c r="N104" s="101">
        <f>SUM(M104/M126)</f>
        <v>0.01487040099</v>
      </c>
      <c r="O104" s="105">
        <f t="shared" si="81"/>
        <v>474677290.4</v>
      </c>
      <c r="P104" s="106">
        <f t="shared" si="82"/>
        <v>474677291</v>
      </c>
      <c r="Q104" s="107"/>
      <c r="R104" s="108"/>
      <c r="S104" s="109"/>
      <c r="T104" s="109"/>
      <c r="U104" s="110"/>
      <c r="V104" s="110"/>
      <c r="W104" s="110"/>
      <c r="X104" s="110"/>
      <c r="Y104" s="110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</row>
    <row r="105" ht="17.25" customHeight="1">
      <c r="A105" s="111"/>
      <c r="B105" s="112"/>
      <c r="C105" s="112" t="s">
        <v>30</v>
      </c>
      <c r="D105" s="113">
        <f t="shared" ref="D105:P105" si="83">SUM(D97:D104)</f>
        <v>0.06987596806</v>
      </c>
      <c r="E105" s="114">
        <f t="shared" si="83"/>
        <v>98</v>
      </c>
      <c r="F105" s="113">
        <f t="shared" si="83"/>
        <v>0.08085808581</v>
      </c>
      <c r="G105" s="114">
        <f t="shared" si="83"/>
        <v>6041</v>
      </c>
      <c r="H105" s="113">
        <f t="shared" si="83"/>
        <v>0.06898323665</v>
      </c>
      <c r="I105" s="114">
        <f t="shared" si="83"/>
        <v>3250</v>
      </c>
      <c r="J105" s="113">
        <f t="shared" si="83"/>
        <v>0.05701694368</v>
      </c>
      <c r="K105" s="114">
        <f t="shared" si="83"/>
        <v>55667</v>
      </c>
      <c r="L105" s="113">
        <f t="shared" si="83"/>
        <v>0.04927460544</v>
      </c>
      <c r="M105" s="114">
        <f t="shared" si="83"/>
        <v>180.2742645</v>
      </c>
      <c r="N105" s="113">
        <f t="shared" si="83"/>
        <v>0.1056358517</v>
      </c>
      <c r="O105" s="115">
        <f t="shared" si="83"/>
        <v>3084028595</v>
      </c>
      <c r="P105" s="115">
        <f t="shared" si="83"/>
        <v>3084028599</v>
      </c>
      <c r="Q105" s="116"/>
      <c r="R105" s="117"/>
      <c r="S105" s="116"/>
      <c r="T105" s="116"/>
      <c r="U105" s="118"/>
      <c r="V105" s="118"/>
      <c r="W105" s="118"/>
      <c r="X105" s="118"/>
      <c r="Y105" s="118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</row>
    <row r="106" ht="17.25" customHeight="1">
      <c r="A106" s="66"/>
      <c r="B106" s="112" t="s">
        <v>150</v>
      </c>
      <c r="C106" s="119" t="s">
        <v>151</v>
      </c>
      <c r="D106" s="101"/>
      <c r="E106" s="102"/>
      <c r="F106" s="101"/>
      <c r="G106" s="102"/>
      <c r="H106" s="101"/>
      <c r="I106" s="120"/>
      <c r="J106" s="101"/>
      <c r="K106" s="102"/>
      <c r="L106" s="101"/>
      <c r="M106" s="102"/>
      <c r="N106" s="101"/>
      <c r="O106" s="105"/>
      <c r="P106" s="106"/>
      <c r="Q106" s="66"/>
      <c r="R106" s="108"/>
      <c r="S106" s="109"/>
      <c r="T106" s="109"/>
      <c r="U106" s="110"/>
      <c r="V106" s="110"/>
      <c r="W106" s="110"/>
      <c r="X106" s="110"/>
      <c r="Y106" s="110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</row>
    <row r="107" ht="17.25" customHeight="1">
      <c r="A107" s="66"/>
      <c r="B107" s="99">
        <v>73.0</v>
      </c>
      <c r="C107" s="100" t="s">
        <v>152</v>
      </c>
      <c r="D107" s="101">
        <f t="shared" ref="D107:D110" si="84">SUM((F107*$F$4)+(H107*$H$4)+($J$4*J107)+($L$4*L107)+($N$4*N107))</f>
        <v>0.01139908734</v>
      </c>
      <c r="E107" s="102">
        <v>12.0</v>
      </c>
      <c r="F107" s="101">
        <f t="shared" ref="F107:F110" si="85">E107/$E$126</f>
        <v>0.009900990099</v>
      </c>
      <c r="G107" s="102">
        <v>1194.0</v>
      </c>
      <c r="H107" s="101">
        <f t="shared" ref="H107:H110" si="86">G107/$G$126</f>
        <v>0.01363449504</v>
      </c>
      <c r="I107" s="102">
        <v>703.0</v>
      </c>
      <c r="J107" s="101">
        <f>SUM(I107/I126)</f>
        <v>0.01233320351</v>
      </c>
      <c r="K107" s="103">
        <v>9690.0</v>
      </c>
      <c r="L107" s="101">
        <f>SUM(K107/K126)</f>
        <v>0.008577270675</v>
      </c>
      <c r="M107" s="104">
        <v>25.936288282676344</v>
      </c>
      <c r="N107" s="101">
        <f>SUM(M107/M126)</f>
        <v>0.01519796467</v>
      </c>
      <c r="O107" s="105">
        <f t="shared" ref="O107:O110" si="87">D107*$O$129</f>
        <v>503107324.2</v>
      </c>
      <c r="P107" s="106">
        <f t="shared" ref="P107:P110" si="88">ROUNDUP(O107,0)</f>
        <v>503107325</v>
      </c>
      <c r="Q107" s="107"/>
      <c r="R107" s="108"/>
      <c r="S107" s="109"/>
      <c r="T107" s="109"/>
      <c r="U107" s="110"/>
      <c r="V107" s="110"/>
      <c r="W107" s="110"/>
      <c r="X107" s="110"/>
      <c r="Y107" s="110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</row>
    <row r="108" ht="17.25" customHeight="1">
      <c r="A108" s="66"/>
      <c r="B108" s="99">
        <v>74.0</v>
      </c>
      <c r="C108" s="100" t="s">
        <v>153</v>
      </c>
      <c r="D108" s="101">
        <f t="shared" si="84"/>
        <v>0.01112786514</v>
      </c>
      <c r="E108" s="102">
        <v>16.0</v>
      </c>
      <c r="F108" s="101">
        <f t="shared" si="85"/>
        <v>0.01320132013</v>
      </c>
      <c r="G108" s="102">
        <v>762.0</v>
      </c>
      <c r="H108" s="101">
        <f t="shared" si="86"/>
        <v>0.00870141141</v>
      </c>
      <c r="I108" s="102">
        <v>741.0</v>
      </c>
      <c r="J108" s="101">
        <f>SUM(I108/I126)</f>
        <v>0.01299986316</v>
      </c>
      <c r="K108" s="103">
        <v>9662.0</v>
      </c>
      <c r="L108" s="101">
        <f>SUM(K108/K126)</f>
        <v>0.008552485992</v>
      </c>
      <c r="M108" s="104">
        <v>19.057481950831484</v>
      </c>
      <c r="N108" s="101">
        <f>SUM(M108/M126)</f>
        <v>0.01116716988</v>
      </c>
      <c r="O108" s="105">
        <f t="shared" si="87"/>
        <v>491136727.6</v>
      </c>
      <c r="P108" s="106">
        <f t="shared" si="88"/>
        <v>491136728</v>
      </c>
      <c r="Q108" s="107"/>
      <c r="R108" s="108"/>
      <c r="S108" s="109"/>
      <c r="T108" s="109"/>
      <c r="U108" s="110"/>
      <c r="V108" s="110"/>
      <c r="W108" s="110"/>
      <c r="X108" s="110"/>
      <c r="Y108" s="110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</row>
    <row r="109" ht="17.25" customHeight="1">
      <c r="A109" s="66"/>
      <c r="B109" s="99">
        <v>75.0</v>
      </c>
      <c r="C109" s="100" t="s">
        <v>154</v>
      </c>
      <c r="D109" s="101">
        <f t="shared" si="84"/>
        <v>0.01213790388</v>
      </c>
      <c r="E109" s="102">
        <v>13.0</v>
      </c>
      <c r="F109" s="101">
        <f t="shared" si="85"/>
        <v>0.01072607261</v>
      </c>
      <c r="G109" s="102">
        <v>787.0</v>
      </c>
      <c r="H109" s="101">
        <f t="shared" si="86"/>
        <v>0.008986890787</v>
      </c>
      <c r="I109" s="102">
        <v>1307.0</v>
      </c>
      <c r="J109" s="101">
        <f>SUM(I109/I126)</f>
        <v>0.0229295832</v>
      </c>
      <c r="K109" s="103">
        <v>8569.0</v>
      </c>
      <c r="L109" s="101">
        <f>SUM(K109/K126)</f>
        <v>0.007584998185</v>
      </c>
      <c r="M109" s="104">
        <v>17.403321721299513</v>
      </c>
      <c r="N109" s="101">
        <f>SUM(M109/M126)</f>
        <v>0.01019787665</v>
      </c>
      <c r="O109" s="105">
        <f t="shared" si="87"/>
        <v>535715549.8</v>
      </c>
      <c r="P109" s="106">
        <f t="shared" si="88"/>
        <v>535715550</v>
      </c>
      <c r="Q109" s="107"/>
      <c r="R109" s="108"/>
      <c r="S109" s="109"/>
      <c r="T109" s="109"/>
      <c r="U109" s="110"/>
      <c r="V109" s="110"/>
      <c r="W109" s="110"/>
      <c r="X109" s="110"/>
      <c r="Y109" s="110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</row>
    <row r="110" ht="17.25" customHeight="1">
      <c r="A110" s="66"/>
      <c r="B110" s="99">
        <v>76.0</v>
      </c>
      <c r="C110" s="100" t="s">
        <v>155</v>
      </c>
      <c r="D110" s="101">
        <f t="shared" si="84"/>
        <v>0.0154400856</v>
      </c>
      <c r="E110" s="102">
        <v>13.0</v>
      </c>
      <c r="F110" s="101">
        <f t="shared" si="85"/>
        <v>0.01072607261</v>
      </c>
      <c r="G110" s="102">
        <v>1414.0</v>
      </c>
      <c r="H110" s="101">
        <f t="shared" si="86"/>
        <v>0.01614671356</v>
      </c>
      <c r="I110" s="102">
        <v>1558.0</v>
      </c>
      <c r="J110" s="101">
        <f>SUM(I110/I126)</f>
        <v>0.02733304562</v>
      </c>
      <c r="K110" s="103">
        <v>10989.0</v>
      </c>
      <c r="L110" s="101">
        <f>SUM(K110/K126)</f>
        <v>0.009727102936</v>
      </c>
      <c r="M110" s="104">
        <v>26.97891184540005</v>
      </c>
      <c r="N110" s="101">
        <f>SUM(M110/M126)</f>
        <v>0.01580891392</v>
      </c>
      <c r="O110" s="105">
        <f t="shared" si="87"/>
        <v>681459832.4</v>
      </c>
      <c r="P110" s="106">
        <f t="shared" si="88"/>
        <v>681459833</v>
      </c>
      <c r="Q110" s="107"/>
      <c r="R110" s="108"/>
      <c r="S110" s="109"/>
      <c r="T110" s="109"/>
      <c r="U110" s="110"/>
      <c r="V110" s="110"/>
      <c r="W110" s="110"/>
      <c r="X110" s="110"/>
      <c r="Y110" s="110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</row>
    <row r="111" ht="17.25" customHeight="1">
      <c r="A111" s="111"/>
      <c r="B111" s="112"/>
      <c r="C111" s="112" t="s">
        <v>30</v>
      </c>
      <c r="D111" s="113">
        <f t="shared" ref="D111:P111" si="89">SUM(D107:D110)</f>
        <v>0.05010494196</v>
      </c>
      <c r="E111" s="114">
        <f t="shared" si="89"/>
        <v>54</v>
      </c>
      <c r="F111" s="113">
        <f t="shared" si="89"/>
        <v>0.04455445545</v>
      </c>
      <c r="G111" s="114">
        <f t="shared" si="89"/>
        <v>4157</v>
      </c>
      <c r="H111" s="113">
        <f t="shared" si="89"/>
        <v>0.0474695108</v>
      </c>
      <c r="I111" s="114">
        <f t="shared" si="89"/>
        <v>4309</v>
      </c>
      <c r="J111" s="113">
        <f t="shared" si="89"/>
        <v>0.07559569548</v>
      </c>
      <c r="K111" s="114">
        <f t="shared" si="89"/>
        <v>38910</v>
      </c>
      <c r="L111" s="113">
        <f t="shared" si="89"/>
        <v>0.03444185779</v>
      </c>
      <c r="M111" s="114">
        <f t="shared" si="89"/>
        <v>89.3760038</v>
      </c>
      <c r="N111" s="113">
        <f t="shared" si="89"/>
        <v>0.05237192511</v>
      </c>
      <c r="O111" s="115">
        <f t="shared" si="89"/>
        <v>2211419434</v>
      </c>
      <c r="P111" s="115">
        <f t="shared" si="89"/>
        <v>2211419436</v>
      </c>
      <c r="Q111" s="116"/>
      <c r="R111" s="117"/>
      <c r="S111" s="116"/>
      <c r="T111" s="116"/>
      <c r="U111" s="118"/>
      <c r="V111" s="118"/>
      <c r="W111" s="118"/>
      <c r="X111" s="118"/>
      <c r="Y111" s="118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</row>
    <row r="112" ht="17.25" customHeight="1">
      <c r="A112" s="66"/>
      <c r="B112" s="112" t="s">
        <v>156</v>
      </c>
      <c r="C112" s="119" t="s">
        <v>157</v>
      </c>
      <c r="D112" s="101"/>
      <c r="E112" s="102"/>
      <c r="F112" s="101"/>
      <c r="G112" s="102"/>
      <c r="H112" s="101"/>
      <c r="I112" s="120"/>
      <c r="J112" s="101"/>
      <c r="K112" s="102"/>
      <c r="L112" s="101"/>
      <c r="M112" s="102"/>
      <c r="N112" s="101"/>
      <c r="O112" s="105"/>
      <c r="P112" s="106"/>
      <c r="Q112" s="66"/>
      <c r="R112" s="108"/>
      <c r="S112" s="109"/>
      <c r="T112" s="109"/>
      <c r="U112" s="110"/>
      <c r="V112" s="110"/>
      <c r="W112" s="110"/>
      <c r="X112" s="110"/>
      <c r="Y112" s="110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</row>
    <row r="113" ht="17.25" customHeight="1">
      <c r="A113" s="66"/>
      <c r="B113" s="99">
        <v>77.0</v>
      </c>
      <c r="C113" s="100" t="s">
        <v>158</v>
      </c>
      <c r="D113" s="101">
        <f t="shared" ref="D113:D117" si="90">SUM((F113*$F$4)+(H113*$H$4)+($J$4*J113)+($L$4*L113)+($N$4*N113))</f>
        <v>0.01331447556</v>
      </c>
      <c r="E113" s="102">
        <v>16.0</v>
      </c>
      <c r="F113" s="101">
        <f t="shared" ref="F113:F117" si="91">E113/$E$126</f>
        <v>0.01320132013</v>
      </c>
      <c r="G113" s="102">
        <v>710.0</v>
      </c>
      <c r="H113" s="101">
        <f t="shared" ref="H113:H117" si="92">G113/$G$126</f>
        <v>0.008107614306</v>
      </c>
      <c r="I113" s="102">
        <v>1348.0</v>
      </c>
      <c r="J113" s="101">
        <f>SUM(I113/I126)</f>
        <v>0.02364887387</v>
      </c>
      <c r="K113" s="103">
        <v>9838.0</v>
      </c>
      <c r="L113" s="101">
        <f>SUM(K113/K126)</f>
        <v>0.008708275429</v>
      </c>
      <c r="M113" s="104">
        <v>21.521926718297223</v>
      </c>
      <c r="N113" s="101">
        <f>SUM(M113/M126)</f>
        <v>0.01261126797</v>
      </c>
      <c r="O113" s="105">
        <f t="shared" ref="O113:O117" si="93">D113*$O$129</f>
        <v>587644428.9</v>
      </c>
      <c r="P113" s="106">
        <f t="shared" ref="P113:P117" si="94">ROUNDUP(O113,0)</f>
        <v>587644429</v>
      </c>
      <c r="Q113" s="107"/>
      <c r="R113" s="108"/>
      <c r="S113" s="109"/>
      <c r="T113" s="109"/>
      <c r="U113" s="110"/>
      <c r="V113" s="110"/>
      <c r="W113" s="110"/>
      <c r="X113" s="110"/>
      <c r="Y113" s="110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</row>
    <row r="114" ht="17.25" customHeight="1">
      <c r="A114" s="66"/>
      <c r="B114" s="99">
        <v>78.0</v>
      </c>
      <c r="C114" s="100" t="s">
        <v>159</v>
      </c>
      <c r="D114" s="101">
        <f t="shared" si="90"/>
        <v>0.009319798193</v>
      </c>
      <c r="E114" s="102">
        <v>12.0</v>
      </c>
      <c r="F114" s="101">
        <f t="shared" si="91"/>
        <v>0.009900990099</v>
      </c>
      <c r="G114" s="102">
        <v>591.0</v>
      </c>
      <c r="H114" s="101">
        <f t="shared" si="92"/>
        <v>0.006748732472</v>
      </c>
      <c r="I114" s="102">
        <v>636.0</v>
      </c>
      <c r="J114" s="101">
        <f>SUM(I114/I126)</f>
        <v>0.01115777729</v>
      </c>
      <c r="K114" s="103">
        <v>6866.0</v>
      </c>
      <c r="L114" s="101">
        <f>SUM(K114/K126)</f>
        <v>0.006077558355</v>
      </c>
      <c r="M114" s="104">
        <v>26.497595277018014</v>
      </c>
      <c r="N114" s="101">
        <f>SUM(M114/M126)</f>
        <v>0.01552687541</v>
      </c>
      <c r="O114" s="105">
        <f t="shared" si="93"/>
        <v>411336328.1</v>
      </c>
      <c r="P114" s="106">
        <f t="shared" si="94"/>
        <v>411336329</v>
      </c>
      <c r="Q114" s="107"/>
      <c r="R114" s="108"/>
      <c r="S114" s="109"/>
      <c r="T114" s="109"/>
      <c r="U114" s="110"/>
      <c r="V114" s="110"/>
      <c r="W114" s="110"/>
      <c r="X114" s="110"/>
      <c r="Y114" s="110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</row>
    <row r="115" ht="17.25" customHeight="1">
      <c r="A115" s="66"/>
      <c r="B115" s="99">
        <v>79.0</v>
      </c>
      <c r="C115" s="100" t="s">
        <v>160</v>
      </c>
      <c r="D115" s="101">
        <f t="shared" si="90"/>
        <v>0.007912133903</v>
      </c>
      <c r="E115" s="102">
        <v>11.0</v>
      </c>
      <c r="F115" s="101">
        <f t="shared" si="91"/>
        <v>0.009075907591</v>
      </c>
      <c r="G115" s="102">
        <v>437.0</v>
      </c>
      <c r="H115" s="101">
        <f t="shared" si="92"/>
        <v>0.004990179509</v>
      </c>
      <c r="I115" s="102">
        <v>552.0</v>
      </c>
      <c r="J115" s="101">
        <f>SUM(I115/I126)</f>
        <v>0.009684108588</v>
      </c>
      <c r="K115" s="103">
        <v>6812.0</v>
      </c>
      <c r="L115" s="101">
        <f>SUM(K115/K126)</f>
        <v>0.006029759323</v>
      </c>
      <c r="M115" s="104">
        <v>17.89420571236917</v>
      </c>
      <c r="N115" s="101">
        <f>SUM(M115/M126)</f>
        <v>0.01048552141</v>
      </c>
      <c r="O115" s="105">
        <f t="shared" si="93"/>
        <v>349208002.1</v>
      </c>
      <c r="P115" s="106">
        <f t="shared" si="94"/>
        <v>349208003</v>
      </c>
      <c r="Q115" s="107"/>
      <c r="R115" s="108"/>
      <c r="S115" s="109"/>
      <c r="T115" s="109"/>
      <c r="U115" s="110"/>
      <c r="V115" s="110"/>
      <c r="W115" s="110"/>
      <c r="X115" s="110"/>
      <c r="Y115" s="110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</row>
    <row r="116" ht="17.25" customHeight="1">
      <c r="A116" s="66"/>
      <c r="B116" s="99">
        <v>80.0</v>
      </c>
      <c r="C116" s="100" t="s">
        <v>161</v>
      </c>
      <c r="D116" s="101">
        <f t="shared" si="90"/>
        <v>0.005856520699</v>
      </c>
      <c r="E116" s="102">
        <v>10.0</v>
      </c>
      <c r="F116" s="101">
        <f t="shared" si="91"/>
        <v>0.008250825083</v>
      </c>
      <c r="G116" s="102">
        <v>204.0</v>
      </c>
      <c r="H116" s="101">
        <f t="shared" si="92"/>
        <v>0.002329511716</v>
      </c>
      <c r="I116" s="102">
        <v>418.0</v>
      </c>
      <c r="J116" s="101">
        <f>SUM(I116/I126)</f>
        <v>0.007333256141</v>
      </c>
      <c r="K116" s="103">
        <v>6955.0</v>
      </c>
      <c r="L116" s="101">
        <f>SUM(K116/K126)</f>
        <v>0.00615633824</v>
      </c>
      <c r="M116" s="104">
        <v>3.7109551857034164</v>
      </c>
      <c r="N116" s="101">
        <f>SUM(M116/M126)</f>
        <v>0.002174519545</v>
      </c>
      <c r="O116" s="105">
        <f t="shared" si="93"/>
        <v>258481961.7</v>
      </c>
      <c r="P116" s="106">
        <f t="shared" si="94"/>
        <v>258481962</v>
      </c>
      <c r="Q116" s="107"/>
      <c r="R116" s="108"/>
      <c r="S116" s="109"/>
      <c r="T116" s="109"/>
      <c r="U116" s="110"/>
      <c r="V116" s="110"/>
      <c r="W116" s="110"/>
      <c r="X116" s="110"/>
      <c r="Y116" s="110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</row>
    <row r="117" ht="17.25" customHeight="1">
      <c r="A117" s="66"/>
      <c r="B117" s="99">
        <v>81.0</v>
      </c>
      <c r="C117" s="100" t="s">
        <v>162</v>
      </c>
      <c r="D117" s="101">
        <f t="shared" si="90"/>
        <v>0.01166443266</v>
      </c>
      <c r="E117" s="102">
        <v>12.0</v>
      </c>
      <c r="F117" s="101">
        <f t="shared" si="91"/>
        <v>0.009900990099</v>
      </c>
      <c r="G117" s="102">
        <v>493.0</v>
      </c>
      <c r="H117" s="101">
        <f t="shared" si="92"/>
        <v>0.005629653314</v>
      </c>
      <c r="I117" s="102">
        <v>1430.0</v>
      </c>
      <c r="J117" s="101">
        <f>SUM(I117/I126)</f>
        <v>0.02508745522</v>
      </c>
      <c r="K117" s="103">
        <v>9123.0</v>
      </c>
      <c r="L117" s="101">
        <f>SUM(K117/K126)</f>
        <v>0.008075380843</v>
      </c>
      <c r="M117" s="104">
        <v>15.967250256665215</v>
      </c>
      <c r="N117" s="101">
        <f>SUM(M117/M126)</f>
        <v>0.009356377542</v>
      </c>
      <c r="O117" s="105">
        <f t="shared" si="93"/>
        <v>514818540.1</v>
      </c>
      <c r="P117" s="106">
        <f t="shared" si="94"/>
        <v>514818541</v>
      </c>
      <c r="Q117" s="107"/>
      <c r="R117" s="108"/>
      <c r="S117" s="109"/>
      <c r="T117" s="109"/>
      <c r="U117" s="110"/>
      <c r="V117" s="110"/>
      <c r="W117" s="110"/>
      <c r="X117" s="110"/>
      <c r="Y117" s="110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</row>
    <row r="118" ht="17.25" customHeight="1">
      <c r="A118" s="111"/>
      <c r="B118" s="112"/>
      <c r="C118" s="112" t="s">
        <v>30</v>
      </c>
      <c r="D118" s="113">
        <f t="shared" ref="D118:P118" si="95">SUM(D113:D117)</f>
        <v>0.04806736101</v>
      </c>
      <c r="E118" s="114">
        <f t="shared" si="95"/>
        <v>61</v>
      </c>
      <c r="F118" s="113">
        <f t="shared" si="95"/>
        <v>0.050330033</v>
      </c>
      <c r="G118" s="114">
        <f t="shared" si="95"/>
        <v>2435</v>
      </c>
      <c r="H118" s="113">
        <f t="shared" si="95"/>
        <v>0.02780569132</v>
      </c>
      <c r="I118" s="114">
        <f t="shared" si="95"/>
        <v>4384</v>
      </c>
      <c r="J118" s="113">
        <f t="shared" si="95"/>
        <v>0.07691147111</v>
      </c>
      <c r="K118" s="114">
        <f t="shared" si="95"/>
        <v>39594</v>
      </c>
      <c r="L118" s="113">
        <f t="shared" si="95"/>
        <v>0.03504731219</v>
      </c>
      <c r="M118" s="114">
        <f t="shared" si="95"/>
        <v>85.59193315</v>
      </c>
      <c r="N118" s="113">
        <f t="shared" si="95"/>
        <v>0.05015456188</v>
      </c>
      <c r="O118" s="115">
        <f t="shared" si="95"/>
        <v>2121489261</v>
      </c>
      <c r="P118" s="115">
        <f t="shared" si="95"/>
        <v>2121489264</v>
      </c>
      <c r="Q118" s="116"/>
      <c r="R118" s="117"/>
      <c r="S118" s="116"/>
      <c r="T118" s="116"/>
      <c r="U118" s="118"/>
      <c r="V118" s="118"/>
      <c r="W118" s="118"/>
      <c r="X118" s="118"/>
      <c r="Y118" s="118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</row>
    <row r="119" ht="17.25" customHeight="1">
      <c r="A119" s="66"/>
      <c r="B119" s="112" t="s">
        <v>163</v>
      </c>
      <c r="C119" s="119" t="s">
        <v>164</v>
      </c>
      <c r="D119" s="101"/>
      <c r="E119" s="102"/>
      <c r="F119" s="101"/>
      <c r="G119" s="102"/>
      <c r="H119" s="101"/>
      <c r="I119" s="120"/>
      <c r="J119" s="101"/>
      <c r="K119" s="102"/>
      <c r="L119" s="101"/>
      <c r="M119" s="102"/>
      <c r="N119" s="101"/>
      <c r="O119" s="105"/>
      <c r="P119" s="106"/>
      <c r="Q119" s="66"/>
      <c r="R119" s="108"/>
      <c r="S119" s="109"/>
      <c r="T119" s="109"/>
      <c r="U119" s="110"/>
      <c r="V119" s="110"/>
      <c r="W119" s="110"/>
      <c r="X119" s="110"/>
      <c r="Y119" s="110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</row>
    <row r="120" ht="17.25" customHeight="1">
      <c r="A120" s="66"/>
      <c r="B120" s="99">
        <v>82.0</v>
      </c>
      <c r="C120" s="100" t="s">
        <v>165</v>
      </c>
      <c r="D120" s="101">
        <f t="shared" ref="D120:D124" si="96">SUM((F120*$F$4)+(H120*$H$4)+($J$4*J120)+($L$4*L120)+($N$4*N120))</f>
        <v>0.01278108492</v>
      </c>
      <c r="E120" s="102">
        <v>22.0</v>
      </c>
      <c r="F120" s="101">
        <f t="shared" ref="F120:F124" si="97">E120/$E$126</f>
        <v>0.01815181518</v>
      </c>
      <c r="G120" s="102">
        <v>739.0</v>
      </c>
      <c r="H120" s="101">
        <f t="shared" ref="H120:H124" si="98">G120/$G$126</f>
        <v>0.008438770383</v>
      </c>
      <c r="I120" s="102">
        <v>823.0</v>
      </c>
      <c r="J120" s="101">
        <f>SUM(I120/I126)</f>
        <v>0.01443844451</v>
      </c>
      <c r="K120" s="121">
        <v>8063.0</v>
      </c>
      <c r="L120" s="101">
        <f>SUM(K120/K126)</f>
        <v>0.007137103556</v>
      </c>
      <c r="M120" s="104">
        <v>22.74297067694329</v>
      </c>
      <c r="N120" s="101">
        <f>SUM(M120/M126)</f>
        <v>0.01332676677</v>
      </c>
      <c r="O120" s="105">
        <f t="shared" ref="O120:O124" si="99">D120*$O$129</f>
        <v>564102830.5</v>
      </c>
      <c r="P120" s="106">
        <f t="shared" ref="P120:P124" si="100">ROUNDUP(O120,0)</f>
        <v>564102831</v>
      </c>
      <c r="Q120" s="107"/>
      <c r="R120" s="108"/>
      <c r="S120" s="109"/>
      <c r="T120" s="109"/>
      <c r="U120" s="110"/>
      <c r="V120" s="110"/>
      <c r="W120" s="110"/>
      <c r="X120" s="110"/>
      <c r="Y120" s="110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</row>
    <row r="121" ht="17.25" customHeight="1">
      <c r="A121" s="66"/>
      <c r="B121" s="99">
        <v>83.0</v>
      </c>
      <c r="C121" s="100" t="s">
        <v>166</v>
      </c>
      <c r="D121" s="101">
        <f t="shared" si="96"/>
        <v>0.01622015189</v>
      </c>
      <c r="E121" s="102">
        <v>24.0</v>
      </c>
      <c r="F121" s="101">
        <f t="shared" si="97"/>
        <v>0.0198019802</v>
      </c>
      <c r="G121" s="102">
        <v>1074.0</v>
      </c>
      <c r="H121" s="101">
        <f t="shared" si="98"/>
        <v>0.01226419403</v>
      </c>
      <c r="I121" s="102">
        <v>1301.0</v>
      </c>
      <c r="J121" s="101">
        <f>SUM(I121/I126)</f>
        <v>0.02282432115</v>
      </c>
      <c r="K121" s="122">
        <v>11355.0</v>
      </c>
      <c r="L121" s="101">
        <f>SUM(K121/K126)</f>
        <v>0.01005107415</v>
      </c>
      <c r="M121" s="104">
        <v>21.360027950330625</v>
      </c>
      <c r="N121" s="101">
        <f>SUM(M121/M126)</f>
        <v>0.01251639967</v>
      </c>
      <c r="O121" s="105">
        <f t="shared" si="99"/>
        <v>715888647.2</v>
      </c>
      <c r="P121" s="106">
        <f t="shared" si="100"/>
        <v>715888648</v>
      </c>
      <c r="Q121" s="107"/>
      <c r="R121" s="108"/>
      <c r="S121" s="109"/>
      <c r="T121" s="109"/>
      <c r="U121" s="110"/>
      <c r="V121" s="110"/>
      <c r="W121" s="110"/>
      <c r="X121" s="110"/>
      <c r="Y121" s="110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</row>
    <row r="122" ht="17.25" customHeight="1">
      <c r="A122" s="66"/>
      <c r="B122" s="99">
        <v>84.0</v>
      </c>
      <c r="C122" s="100" t="s">
        <v>167</v>
      </c>
      <c r="D122" s="101">
        <f t="shared" si="96"/>
        <v>0.008499449539</v>
      </c>
      <c r="E122" s="102">
        <v>10.0</v>
      </c>
      <c r="F122" s="101">
        <f t="shared" si="97"/>
        <v>0.008250825083</v>
      </c>
      <c r="G122" s="102">
        <v>407.0</v>
      </c>
      <c r="H122" s="101">
        <f t="shared" si="98"/>
        <v>0.004647604257</v>
      </c>
      <c r="I122" s="102">
        <v>795.0</v>
      </c>
      <c r="J122" s="101">
        <f>SUM(I122/I126)</f>
        <v>0.01394722161</v>
      </c>
      <c r="K122" s="122">
        <v>4139.0</v>
      </c>
      <c r="L122" s="101">
        <f>SUM(K122/K126)</f>
        <v>0.003663707257</v>
      </c>
      <c r="M122" s="104">
        <v>26.835628752990914</v>
      </c>
      <c r="N122" s="101">
        <f>SUM(M122/M126)</f>
        <v>0.0157249539</v>
      </c>
      <c r="O122" s="105">
        <f t="shared" si="99"/>
        <v>375129621</v>
      </c>
      <c r="P122" s="106">
        <f t="shared" si="100"/>
        <v>375129622</v>
      </c>
      <c r="Q122" s="107"/>
      <c r="R122" s="108"/>
      <c r="S122" s="109"/>
      <c r="T122" s="109"/>
      <c r="U122" s="110"/>
      <c r="V122" s="110"/>
      <c r="W122" s="110"/>
      <c r="X122" s="110"/>
      <c r="Y122" s="110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</row>
    <row r="123" ht="17.25" customHeight="1">
      <c r="A123" s="66"/>
      <c r="B123" s="99">
        <v>85.0</v>
      </c>
      <c r="C123" s="100" t="s">
        <v>168</v>
      </c>
      <c r="D123" s="101">
        <f t="shared" si="96"/>
        <v>0.00784890059</v>
      </c>
      <c r="E123" s="102">
        <v>8.0</v>
      </c>
      <c r="F123" s="101">
        <f t="shared" si="97"/>
        <v>0.006600660066</v>
      </c>
      <c r="G123" s="102">
        <v>334.0</v>
      </c>
      <c r="H123" s="101">
        <f t="shared" si="98"/>
        <v>0.003814004476</v>
      </c>
      <c r="I123" s="102">
        <v>750.0</v>
      </c>
      <c r="J123" s="101">
        <f>SUM(I123/I126)</f>
        <v>0.01315775623</v>
      </c>
      <c r="K123" s="122">
        <v>3599.0</v>
      </c>
      <c r="L123" s="101">
        <f>SUM(K123/K126)</f>
        <v>0.003185716941</v>
      </c>
      <c r="M123" s="104">
        <v>31.353100547486</v>
      </c>
      <c r="N123" s="101">
        <f>SUM(M123/M126)</f>
        <v>0.0183720704</v>
      </c>
      <c r="O123" s="105">
        <f t="shared" si="99"/>
        <v>346417152.1</v>
      </c>
      <c r="P123" s="106">
        <f t="shared" si="100"/>
        <v>346417153</v>
      </c>
      <c r="Q123" s="107"/>
      <c r="R123" s="108"/>
      <c r="S123" s="109"/>
      <c r="T123" s="109"/>
      <c r="U123" s="110"/>
      <c r="V123" s="110"/>
      <c r="W123" s="110"/>
      <c r="X123" s="110"/>
      <c r="Y123" s="110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</row>
    <row r="124" ht="17.25" customHeight="1">
      <c r="A124" s="66"/>
      <c r="B124" s="123">
        <v>86.0</v>
      </c>
      <c r="C124" s="124" t="s">
        <v>169</v>
      </c>
      <c r="D124" s="101">
        <f t="shared" si="96"/>
        <v>0.008624252541</v>
      </c>
      <c r="E124" s="125">
        <v>9.0</v>
      </c>
      <c r="F124" s="126">
        <f t="shared" si="97"/>
        <v>0.007425742574</v>
      </c>
      <c r="G124" s="125">
        <v>476.0</v>
      </c>
      <c r="H124" s="126">
        <f t="shared" si="98"/>
        <v>0.005435527338</v>
      </c>
      <c r="I124" s="125">
        <v>826.0</v>
      </c>
      <c r="J124" s="126">
        <f>SUM(I124/I126)</f>
        <v>0.01449107553</v>
      </c>
      <c r="K124" s="121">
        <v>5525.0</v>
      </c>
      <c r="L124" s="126">
        <f>SUM(K124/K126)</f>
        <v>0.004890549069</v>
      </c>
      <c r="M124" s="127">
        <v>24.45674765802705</v>
      </c>
      <c r="N124" s="126">
        <f>SUM(M124/M126)</f>
        <v>0.01433099381</v>
      </c>
      <c r="O124" s="105">
        <f t="shared" si="99"/>
        <v>380637895.7</v>
      </c>
      <c r="P124" s="106">
        <f t="shared" si="100"/>
        <v>380637896</v>
      </c>
      <c r="Q124" s="107"/>
      <c r="R124" s="108"/>
      <c r="S124" s="109"/>
      <c r="T124" s="109"/>
      <c r="U124" s="110"/>
      <c r="V124" s="110"/>
      <c r="W124" s="110"/>
      <c r="X124" s="110"/>
      <c r="Y124" s="110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</row>
    <row r="125" ht="17.25" customHeight="1">
      <c r="A125" s="111"/>
      <c r="B125" s="128"/>
      <c r="C125" s="128" t="s">
        <v>30</v>
      </c>
      <c r="D125" s="129">
        <f t="shared" ref="D125:P125" si="101">SUM(D120:D124)</f>
        <v>0.05397383948</v>
      </c>
      <c r="E125" s="130">
        <f t="shared" si="101"/>
        <v>73</v>
      </c>
      <c r="F125" s="129">
        <f t="shared" si="101"/>
        <v>0.0602310231</v>
      </c>
      <c r="G125" s="130">
        <f t="shared" si="101"/>
        <v>3030</v>
      </c>
      <c r="H125" s="129">
        <f t="shared" si="101"/>
        <v>0.03460010049</v>
      </c>
      <c r="I125" s="130">
        <f t="shared" si="101"/>
        <v>4495</v>
      </c>
      <c r="J125" s="129">
        <f t="shared" si="101"/>
        <v>0.07885881903</v>
      </c>
      <c r="K125" s="130">
        <f t="shared" si="101"/>
        <v>32681</v>
      </c>
      <c r="L125" s="129">
        <f t="shared" si="101"/>
        <v>0.02892815097</v>
      </c>
      <c r="M125" s="130">
        <f t="shared" si="101"/>
        <v>126.7484756</v>
      </c>
      <c r="N125" s="129">
        <f t="shared" si="101"/>
        <v>0.07427118454</v>
      </c>
      <c r="O125" s="131">
        <f t="shared" si="101"/>
        <v>2382176147</v>
      </c>
      <c r="P125" s="131">
        <f t="shared" si="101"/>
        <v>2382176150</v>
      </c>
      <c r="Q125" s="116"/>
      <c r="R125" s="117"/>
      <c r="S125" s="116"/>
      <c r="T125" s="118"/>
      <c r="U125" s="118"/>
      <c r="V125" s="118"/>
      <c r="W125" s="118"/>
      <c r="X125" s="118"/>
      <c r="Y125" s="118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</row>
    <row r="126" ht="33.75" customHeight="1">
      <c r="A126" s="111"/>
      <c r="B126" s="85"/>
      <c r="C126" s="91" t="s">
        <v>209</v>
      </c>
      <c r="D126" s="132">
        <f t="shared" ref="D126:P126" si="102">D12+D21+D27+D34+D41+D48+D53+D59+D67+D73+D80+D88+D95+D105+D111+D118+D125</f>
        <v>1</v>
      </c>
      <c r="E126" s="133">
        <f t="shared" si="102"/>
        <v>1212</v>
      </c>
      <c r="F126" s="132">
        <f t="shared" si="102"/>
        <v>1</v>
      </c>
      <c r="G126" s="133">
        <f t="shared" si="102"/>
        <v>87572</v>
      </c>
      <c r="H126" s="132">
        <f t="shared" si="102"/>
        <v>1</v>
      </c>
      <c r="I126" s="133">
        <f t="shared" si="102"/>
        <v>57000.6</v>
      </c>
      <c r="J126" s="132">
        <f t="shared" si="102"/>
        <v>1</v>
      </c>
      <c r="K126" s="133">
        <f t="shared" si="102"/>
        <v>1129730</v>
      </c>
      <c r="L126" s="132">
        <f t="shared" si="102"/>
        <v>1</v>
      </c>
      <c r="M126" s="133">
        <f t="shared" si="102"/>
        <v>1706.56327</v>
      </c>
      <c r="N126" s="132">
        <f t="shared" si="102"/>
        <v>1</v>
      </c>
      <c r="O126" s="134">
        <f t="shared" si="102"/>
        <v>44135754828</v>
      </c>
      <c r="P126" s="134">
        <f t="shared" si="102"/>
        <v>44135754834</v>
      </c>
      <c r="Q126" s="107"/>
      <c r="R126" s="117"/>
      <c r="S126" s="116"/>
      <c r="T126" s="118"/>
      <c r="U126" s="118"/>
      <c r="V126" s="118"/>
      <c r="W126" s="118"/>
      <c r="X126" s="118"/>
      <c r="Y126" s="118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</row>
    <row r="127" ht="17.25" customHeight="1">
      <c r="A127" s="66"/>
      <c r="B127" s="135" t="s">
        <v>210</v>
      </c>
      <c r="C127" s="136"/>
      <c r="D127" s="137"/>
      <c r="E127" s="137"/>
      <c r="F127" s="137"/>
      <c r="G127" s="137"/>
      <c r="H127" s="137"/>
      <c r="I127" s="138"/>
      <c r="J127" s="139"/>
      <c r="K127" s="140"/>
      <c r="L127" s="141"/>
      <c r="M127" s="142"/>
      <c r="N127" s="143"/>
      <c r="O127" s="108"/>
      <c r="P127" s="109"/>
      <c r="Q127" s="107"/>
      <c r="R127" s="108"/>
      <c r="S127" s="109"/>
      <c r="T127" s="110"/>
      <c r="U127" s="110"/>
      <c r="V127" s="110"/>
      <c r="W127" s="110"/>
      <c r="X127" s="110"/>
      <c r="Y127" s="110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</row>
    <row r="128" ht="13.5" customHeight="1">
      <c r="A128" s="66"/>
      <c r="B128" s="144"/>
      <c r="C128" s="83"/>
      <c r="D128" s="83"/>
      <c r="E128" s="83"/>
      <c r="F128" s="83"/>
      <c r="G128" s="83"/>
      <c r="H128" s="83"/>
      <c r="I128" s="110"/>
      <c r="J128" s="83"/>
      <c r="K128" s="83"/>
      <c r="L128" s="83"/>
      <c r="M128" s="110"/>
      <c r="N128" s="110"/>
      <c r="O128" s="108"/>
      <c r="P128" s="110"/>
      <c r="Q128" s="110"/>
      <c r="R128" s="108"/>
      <c r="S128" s="109"/>
      <c r="T128" s="110"/>
      <c r="U128" s="110"/>
      <c r="V128" s="110"/>
      <c r="W128" s="110"/>
      <c r="X128" s="110"/>
      <c r="Y128" s="110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</row>
    <row r="129" ht="13.5" customHeight="1">
      <c r="A129" s="66"/>
      <c r="B129" s="145" t="s">
        <v>211</v>
      </c>
      <c r="C129" s="83"/>
      <c r="D129" s="83"/>
      <c r="E129" s="83"/>
      <c r="F129" s="83"/>
      <c r="G129" s="83"/>
      <c r="H129" s="83"/>
      <c r="I129" s="83"/>
      <c r="J129" s="83"/>
      <c r="K129" s="146"/>
      <c r="L129" s="69"/>
      <c r="M129" s="110"/>
      <c r="N129" s="110"/>
      <c r="O129" s="108">
        <f>'rekap hitungan'!K142</f>
        <v>44135754828</v>
      </c>
      <c r="P129" s="109"/>
      <c r="Q129" s="110"/>
      <c r="R129" s="108"/>
      <c r="S129" s="109"/>
      <c r="T129" s="110"/>
      <c r="U129" s="110"/>
      <c r="V129" s="110"/>
      <c r="W129" s="110"/>
      <c r="X129" s="110"/>
      <c r="Y129" s="110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</row>
    <row r="130" ht="13.5" customHeight="1">
      <c r="A130" s="66"/>
      <c r="B130" s="144"/>
      <c r="C130" s="83"/>
      <c r="D130" s="83"/>
      <c r="E130" s="83"/>
      <c r="F130" s="83"/>
      <c r="G130" s="83"/>
      <c r="H130" s="83"/>
      <c r="I130" s="83"/>
      <c r="J130" s="83"/>
      <c r="K130" s="147"/>
      <c r="L130" s="69"/>
      <c r="M130" s="110" t="s">
        <v>212</v>
      </c>
      <c r="N130" s="110"/>
      <c r="O130" s="108">
        <f>O129-O126</f>
        <v>0</v>
      </c>
      <c r="P130" s="108">
        <f>O129-P126</f>
        <v>-6</v>
      </c>
      <c r="Q130" s="110"/>
      <c r="R130" s="108"/>
      <c r="S130" s="109"/>
      <c r="T130" s="110"/>
      <c r="U130" s="110"/>
      <c r="V130" s="110"/>
      <c r="W130" s="110"/>
      <c r="X130" s="110"/>
      <c r="Y130" s="110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</row>
    <row r="131" ht="13.5" customHeight="1">
      <c r="A131" s="66"/>
      <c r="B131" s="144"/>
      <c r="C131" s="83"/>
      <c r="D131" s="83"/>
      <c r="E131" s="83"/>
      <c r="F131" s="83"/>
      <c r="G131" s="83"/>
      <c r="H131" s="83"/>
      <c r="I131" s="110"/>
      <c r="J131" s="83"/>
      <c r="K131" s="83"/>
      <c r="L131" s="83"/>
      <c r="M131" s="110"/>
      <c r="N131" s="110"/>
      <c r="O131" s="108"/>
      <c r="P131" s="109"/>
      <c r="Q131" s="110"/>
      <c r="R131" s="108"/>
      <c r="S131" s="109"/>
      <c r="T131" s="110"/>
      <c r="U131" s="110"/>
      <c r="V131" s="110"/>
      <c r="W131" s="110"/>
      <c r="X131" s="110"/>
      <c r="Y131" s="110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</row>
    <row r="132" ht="13.5" customHeight="1">
      <c r="A132" s="66"/>
      <c r="B132" s="144"/>
      <c r="C132" s="83"/>
      <c r="D132" s="83"/>
      <c r="E132" s="83"/>
      <c r="F132" s="83"/>
      <c r="G132" s="83"/>
      <c r="H132" s="83"/>
      <c r="I132" s="110"/>
      <c r="J132" s="83"/>
      <c r="K132" s="83"/>
      <c r="L132" s="83"/>
      <c r="M132" s="110"/>
      <c r="N132" s="110"/>
      <c r="O132" s="108"/>
      <c r="P132" s="110"/>
      <c r="Q132" s="110"/>
      <c r="R132" s="108"/>
      <c r="S132" s="109"/>
      <c r="T132" s="110"/>
      <c r="U132" s="110"/>
      <c r="V132" s="110"/>
      <c r="W132" s="110"/>
      <c r="X132" s="110"/>
      <c r="Y132" s="110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</row>
    <row r="133" ht="13.5" customHeight="1">
      <c r="A133" s="66"/>
      <c r="B133" s="144"/>
      <c r="C133" s="83"/>
      <c r="D133" s="83"/>
      <c r="E133" s="83"/>
      <c r="F133" s="83"/>
      <c r="G133" s="83"/>
      <c r="H133" s="83"/>
      <c r="I133" s="110"/>
      <c r="J133" s="83"/>
      <c r="K133" s="83"/>
      <c r="L133" s="83"/>
      <c r="M133" s="110"/>
      <c r="N133" s="110"/>
      <c r="O133" s="108"/>
      <c r="P133" s="110"/>
      <c r="Q133" s="110"/>
      <c r="R133" s="108"/>
      <c r="S133" s="109"/>
      <c r="T133" s="110"/>
      <c r="U133" s="110"/>
      <c r="V133" s="110"/>
      <c r="W133" s="110"/>
      <c r="X133" s="110"/>
      <c r="Y133" s="110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</row>
    <row r="134" ht="13.5" customHeight="1">
      <c r="A134" s="66"/>
      <c r="B134" s="144"/>
      <c r="C134" s="83"/>
      <c r="D134" s="83"/>
      <c r="E134" s="83"/>
      <c r="F134" s="83"/>
      <c r="G134" s="83"/>
      <c r="H134" s="83"/>
      <c r="I134" s="110"/>
      <c r="J134" s="83"/>
      <c r="K134" s="83"/>
      <c r="L134" s="83"/>
      <c r="M134" s="110"/>
      <c r="N134" s="110"/>
      <c r="O134" s="108"/>
      <c r="P134" s="110"/>
      <c r="Q134" s="110"/>
      <c r="R134" s="108"/>
      <c r="S134" s="109"/>
      <c r="T134" s="110"/>
      <c r="U134" s="110"/>
      <c r="V134" s="110"/>
      <c r="W134" s="110"/>
      <c r="X134" s="110"/>
      <c r="Y134" s="110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</row>
    <row r="135" ht="13.5" customHeight="1">
      <c r="A135" s="66"/>
      <c r="B135" s="144"/>
      <c r="C135" s="83"/>
      <c r="D135" s="83"/>
      <c r="E135" s="83"/>
      <c r="F135" s="83"/>
      <c r="G135" s="83"/>
      <c r="H135" s="83"/>
      <c r="I135" s="110"/>
      <c r="J135" s="83"/>
      <c r="K135" s="83"/>
      <c r="L135" s="83"/>
      <c r="M135" s="110"/>
      <c r="N135" s="110"/>
      <c r="O135" s="108"/>
      <c r="P135" s="110"/>
      <c r="Q135" s="110"/>
      <c r="R135" s="108"/>
      <c r="S135" s="109"/>
      <c r="T135" s="110"/>
      <c r="U135" s="110"/>
      <c r="V135" s="110"/>
      <c r="W135" s="110"/>
      <c r="X135" s="110"/>
      <c r="Y135" s="110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</row>
    <row r="136" ht="13.5" customHeight="1">
      <c r="A136" s="66"/>
      <c r="B136" s="144"/>
      <c r="C136" s="83"/>
      <c r="D136" s="83"/>
      <c r="E136" s="83"/>
      <c r="F136" s="83"/>
      <c r="G136" s="83"/>
      <c r="H136" s="83"/>
      <c r="I136" s="110"/>
      <c r="J136" s="83"/>
      <c r="K136" s="83"/>
      <c r="L136" s="83"/>
      <c r="M136" s="110"/>
      <c r="N136" s="110"/>
      <c r="O136" s="108"/>
      <c r="P136" s="110"/>
      <c r="Q136" s="110"/>
      <c r="R136" s="108"/>
      <c r="S136" s="109"/>
      <c r="T136" s="110"/>
      <c r="U136" s="110"/>
      <c r="V136" s="110"/>
      <c r="W136" s="110"/>
      <c r="X136" s="110"/>
      <c r="Y136" s="110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</row>
    <row r="137" ht="13.5" customHeight="1">
      <c r="A137" s="66"/>
      <c r="B137" s="144"/>
      <c r="C137" s="83"/>
      <c r="D137" s="83"/>
      <c r="E137" s="83"/>
      <c r="F137" s="83"/>
      <c r="G137" s="83"/>
      <c r="H137" s="83"/>
      <c r="I137" s="110"/>
      <c r="J137" s="83"/>
      <c r="K137" s="83"/>
      <c r="L137" s="83"/>
      <c r="M137" s="110"/>
      <c r="N137" s="110"/>
      <c r="O137" s="108"/>
      <c r="P137" s="110"/>
      <c r="Q137" s="110"/>
      <c r="R137" s="108"/>
      <c r="S137" s="109"/>
      <c r="T137" s="110"/>
      <c r="U137" s="110"/>
      <c r="V137" s="110"/>
      <c r="W137" s="110"/>
      <c r="X137" s="110"/>
      <c r="Y137" s="110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</row>
    <row r="138" ht="13.5" customHeight="1">
      <c r="A138" s="66"/>
      <c r="B138" s="144"/>
      <c r="C138" s="83"/>
      <c r="D138" s="83"/>
      <c r="E138" s="83"/>
      <c r="F138" s="83"/>
      <c r="G138" s="83"/>
      <c r="H138" s="83"/>
      <c r="I138" s="110"/>
      <c r="J138" s="83"/>
      <c r="K138" s="83"/>
      <c r="L138" s="83"/>
      <c r="M138" s="110"/>
      <c r="N138" s="110"/>
      <c r="O138" s="108"/>
      <c r="P138" s="110"/>
      <c r="Q138" s="110"/>
      <c r="R138" s="108"/>
      <c r="S138" s="109"/>
      <c r="T138" s="110"/>
      <c r="U138" s="110"/>
      <c r="V138" s="110"/>
      <c r="W138" s="110"/>
      <c r="X138" s="110"/>
      <c r="Y138" s="110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</row>
    <row r="139" ht="13.5" customHeight="1">
      <c r="A139" s="66"/>
      <c r="B139" s="144"/>
      <c r="C139" s="83"/>
      <c r="D139" s="83"/>
      <c r="E139" s="83"/>
      <c r="F139" s="83"/>
      <c r="G139" s="83"/>
      <c r="H139" s="83"/>
      <c r="I139" s="110"/>
      <c r="J139" s="83"/>
      <c r="K139" s="83"/>
      <c r="L139" s="83"/>
      <c r="M139" s="110"/>
      <c r="N139" s="110"/>
      <c r="O139" s="108"/>
      <c r="P139" s="110"/>
      <c r="Q139" s="110"/>
      <c r="R139" s="108"/>
      <c r="S139" s="109"/>
      <c r="T139" s="110"/>
      <c r="U139" s="110"/>
      <c r="V139" s="110"/>
      <c r="W139" s="110"/>
      <c r="X139" s="110"/>
      <c r="Y139" s="110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</row>
    <row r="140" ht="13.5" customHeight="1">
      <c r="A140" s="66"/>
      <c r="B140" s="144"/>
      <c r="C140" s="83"/>
      <c r="D140" s="83"/>
      <c r="E140" s="83"/>
      <c r="F140" s="83"/>
      <c r="G140" s="83"/>
      <c r="H140" s="83"/>
      <c r="I140" s="110"/>
      <c r="J140" s="83"/>
      <c r="K140" s="83"/>
      <c r="L140" s="83"/>
      <c r="M140" s="110"/>
      <c r="N140" s="110"/>
      <c r="O140" s="108"/>
      <c r="P140" s="110"/>
      <c r="Q140" s="110"/>
      <c r="R140" s="108"/>
      <c r="S140" s="109"/>
      <c r="T140" s="110"/>
      <c r="U140" s="110"/>
      <c r="V140" s="110"/>
      <c r="W140" s="110"/>
      <c r="X140" s="110"/>
      <c r="Y140" s="110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</row>
    <row r="141" ht="13.5" customHeight="1">
      <c r="A141" s="66"/>
      <c r="B141" s="144"/>
      <c r="C141" s="83"/>
      <c r="D141" s="83"/>
      <c r="E141" s="83"/>
      <c r="F141" s="83"/>
      <c r="G141" s="83"/>
      <c r="H141" s="83"/>
      <c r="I141" s="110"/>
      <c r="J141" s="83"/>
      <c r="K141" s="83"/>
      <c r="L141" s="83"/>
      <c r="M141" s="110"/>
      <c r="N141" s="110"/>
      <c r="O141" s="108"/>
      <c r="P141" s="110"/>
      <c r="Q141" s="110"/>
      <c r="R141" s="108"/>
      <c r="S141" s="109"/>
      <c r="T141" s="110"/>
      <c r="U141" s="110"/>
      <c r="V141" s="110"/>
      <c r="W141" s="110"/>
      <c r="X141" s="110"/>
      <c r="Y141" s="110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</row>
    <row r="142" ht="13.5" customHeight="1">
      <c r="A142" s="66"/>
      <c r="B142" s="144"/>
      <c r="C142" s="83"/>
      <c r="D142" s="83"/>
      <c r="E142" s="83"/>
      <c r="F142" s="83"/>
      <c r="G142" s="83"/>
      <c r="H142" s="83"/>
      <c r="I142" s="110"/>
      <c r="J142" s="83"/>
      <c r="K142" s="83"/>
      <c r="L142" s="83"/>
      <c r="M142" s="110"/>
      <c r="N142" s="110"/>
      <c r="O142" s="108"/>
      <c r="P142" s="110"/>
      <c r="Q142" s="110"/>
      <c r="R142" s="108"/>
      <c r="S142" s="109"/>
      <c r="T142" s="110"/>
      <c r="U142" s="110"/>
      <c r="V142" s="110"/>
      <c r="W142" s="110"/>
      <c r="X142" s="110"/>
      <c r="Y142" s="110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</row>
    <row r="143" ht="13.5" customHeight="1">
      <c r="A143" s="66"/>
      <c r="B143" s="144"/>
      <c r="C143" s="83"/>
      <c r="D143" s="83"/>
      <c r="E143" s="83"/>
      <c r="F143" s="83"/>
      <c r="G143" s="83"/>
      <c r="H143" s="83"/>
      <c r="I143" s="110"/>
      <c r="J143" s="83"/>
      <c r="K143" s="83"/>
      <c r="L143" s="83"/>
      <c r="M143" s="110"/>
      <c r="N143" s="110"/>
      <c r="O143" s="108"/>
      <c r="P143" s="110"/>
      <c r="Q143" s="110"/>
      <c r="R143" s="108"/>
      <c r="S143" s="109"/>
      <c r="T143" s="110"/>
      <c r="U143" s="110"/>
      <c r="V143" s="110"/>
      <c r="W143" s="110"/>
      <c r="X143" s="110"/>
      <c r="Y143" s="110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</row>
    <row r="144" ht="13.5" customHeight="1">
      <c r="A144" s="66"/>
      <c r="B144" s="144"/>
      <c r="C144" s="83"/>
      <c r="D144" s="83"/>
      <c r="E144" s="83"/>
      <c r="F144" s="83"/>
      <c r="G144" s="83"/>
      <c r="H144" s="83"/>
      <c r="I144" s="110"/>
      <c r="J144" s="83"/>
      <c r="K144" s="83"/>
      <c r="L144" s="83"/>
      <c r="M144" s="110"/>
      <c r="N144" s="110"/>
      <c r="O144" s="108"/>
      <c r="P144" s="110"/>
      <c r="Q144" s="110"/>
      <c r="R144" s="108"/>
      <c r="S144" s="109"/>
      <c r="T144" s="110"/>
      <c r="U144" s="110"/>
      <c r="V144" s="110"/>
      <c r="W144" s="110"/>
      <c r="X144" s="110"/>
      <c r="Y144" s="110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</row>
    <row r="145" ht="13.5" customHeight="1">
      <c r="A145" s="66"/>
      <c r="B145" s="144"/>
      <c r="C145" s="83"/>
      <c r="D145" s="83"/>
      <c r="E145" s="83"/>
      <c r="F145" s="83"/>
      <c r="G145" s="83"/>
      <c r="H145" s="83"/>
      <c r="I145" s="110"/>
      <c r="J145" s="83"/>
      <c r="K145" s="83"/>
      <c r="L145" s="83"/>
      <c r="M145" s="110"/>
      <c r="N145" s="110"/>
      <c r="O145" s="108"/>
      <c r="P145" s="110"/>
      <c r="Q145" s="110"/>
      <c r="R145" s="108"/>
      <c r="S145" s="109"/>
      <c r="T145" s="110"/>
      <c r="U145" s="110"/>
      <c r="V145" s="110"/>
      <c r="W145" s="110"/>
      <c r="X145" s="110"/>
      <c r="Y145" s="110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</row>
    <row r="146" ht="13.5" customHeight="1">
      <c r="A146" s="66"/>
      <c r="B146" s="144"/>
      <c r="C146" s="83"/>
      <c r="D146" s="83"/>
      <c r="E146" s="83"/>
      <c r="F146" s="83"/>
      <c r="G146" s="83"/>
      <c r="H146" s="83"/>
      <c r="I146" s="110"/>
      <c r="J146" s="83"/>
      <c r="K146" s="83"/>
      <c r="L146" s="83"/>
      <c r="M146" s="110"/>
      <c r="N146" s="110"/>
      <c r="O146" s="108"/>
      <c r="P146" s="110"/>
      <c r="Q146" s="110"/>
      <c r="R146" s="108"/>
      <c r="S146" s="109"/>
      <c r="T146" s="110"/>
      <c r="U146" s="110"/>
      <c r="V146" s="110"/>
      <c r="W146" s="110"/>
      <c r="X146" s="110"/>
      <c r="Y146" s="110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</row>
    <row r="147" ht="13.5" customHeight="1">
      <c r="A147" s="66"/>
      <c r="B147" s="144"/>
      <c r="C147" s="83"/>
      <c r="D147" s="83"/>
      <c r="E147" s="83"/>
      <c r="F147" s="83"/>
      <c r="G147" s="83"/>
      <c r="H147" s="83"/>
      <c r="I147" s="110"/>
      <c r="J147" s="83"/>
      <c r="K147" s="83"/>
      <c r="L147" s="83"/>
      <c r="M147" s="110"/>
      <c r="N147" s="110"/>
      <c r="O147" s="108"/>
      <c r="P147" s="110"/>
      <c r="Q147" s="110"/>
      <c r="R147" s="108"/>
      <c r="S147" s="109"/>
      <c r="T147" s="110"/>
      <c r="U147" s="110"/>
      <c r="V147" s="110"/>
      <c r="W147" s="110"/>
      <c r="X147" s="110"/>
      <c r="Y147" s="110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</row>
    <row r="148" ht="13.5" customHeight="1">
      <c r="A148" s="66"/>
      <c r="B148" s="144"/>
      <c r="C148" s="83"/>
      <c r="D148" s="83"/>
      <c r="E148" s="83"/>
      <c r="F148" s="83"/>
      <c r="G148" s="83"/>
      <c r="H148" s="83"/>
      <c r="I148" s="110"/>
      <c r="J148" s="83"/>
      <c r="K148" s="83"/>
      <c r="L148" s="83"/>
      <c r="M148" s="110"/>
      <c r="N148" s="110"/>
      <c r="O148" s="108"/>
      <c r="P148" s="110"/>
      <c r="Q148" s="110"/>
      <c r="R148" s="108"/>
      <c r="S148" s="109"/>
      <c r="T148" s="110"/>
      <c r="U148" s="110"/>
      <c r="V148" s="110"/>
      <c r="W148" s="110"/>
      <c r="X148" s="110"/>
      <c r="Y148" s="110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</row>
    <row r="149" ht="13.5" customHeight="1">
      <c r="A149" s="66"/>
      <c r="B149" s="144"/>
      <c r="C149" s="83"/>
      <c r="D149" s="83"/>
      <c r="E149" s="83"/>
      <c r="F149" s="83"/>
      <c r="G149" s="83"/>
      <c r="H149" s="83"/>
      <c r="I149" s="110"/>
      <c r="J149" s="83"/>
      <c r="K149" s="83"/>
      <c r="L149" s="83"/>
      <c r="M149" s="110"/>
      <c r="N149" s="110"/>
      <c r="O149" s="108"/>
      <c r="P149" s="110"/>
      <c r="Q149" s="110"/>
      <c r="R149" s="108"/>
      <c r="S149" s="109"/>
      <c r="T149" s="110"/>
      <c r="U149" s="110"/>
      <c r="V149" s="110"/>
      <c r="W149" s="110"/>
      <c r="X149" s="110"/>
      <c r="Y149" s="110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</row>
    <row r="150" ht="13.5" customHeight="1">
      <c r="A150" s="66"/>
      <c r="B150" s="144"/>
      <c r="C150" s="83"/>
      <c r="D150" s="83"/>
      <c r="E150" s="83"/>
      <c r="F150" s="83"/>
      <c r="G150" s="83"/>
      <c r="H150" s="83"/>
      <c r="I150" s="110"/>
      <c r="J150" s="83"/>
      <c r="K150" s="83"/>
      <c r="L150" s="83"/>
      <c r="M150" s="110"/>
      <c r="N150" s="110"/>
      <c r="O150" s="108"/>
      <c r="P150" s="110"/>
      <c r="Q150" s="110"/>
      <c r="R150" s="108"/>
      <c r="S150" s="109"/>
      <c r="T150" s="110"/>
      <c r="U150" s="110"/>
      <c r="V150" s="110"/>
      <c r="W150" s="110"/>
      <c r="X150" s="110"/>
      <c r="Y150" s="110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</row>
    <row r="151" ht="13.5" customHeight="1">
      <c r="A151" s="66"/>
      <c r="B151" s="144"/>
      <c r="C151" s="83"/>
      <c r="D151" s="83"/>
      <c r="E151" s="83"/>
      <c r="F151" s="83"/>
      <c r="G151" s="83"/>
      <c r="H151" s="83"/>
      <c r="I151" s="110"/>
      <c r="J151" s="83"/>
      <c r="K151" s="83"/>
      <c r="L151" s="83"/>
      <c r="M151" s="110"/>
      <c r="N151" s="110"/>
      <c r="O151" s="108"/>
      <c r="P151" s="110"/>
      <c r="Q151" s="110"/>
      <c r="R151" s="108"/>
      <c r="S151" s="109"/>
      <c r="T151" s="110"/>
      <c r="U151" s="110"/>
      <c r="V151" s="110"/>
      <c r="W151" s="110"/>
      <c r="X151" s="110"/>
      <c r="Y151" s="110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</row>
    <row r="152" ht="13.5" customHeight="1">
      <c r="A152" s="66"/>
      <c r="B152" s="144"/>
      <c r="C152" s="83"/>
      <c r="D152" s="83"/>
      <c r="E152" s="83"/>
      <c r="F152" s="83"/>
      <c r="G152" s="83"/>
      <c r="H152" s="83"/>
      <c r="I152" s="110"/>
      <c r="J152" s="83"/>
      <c r="K152" s="83"/>
      <c r="L152" s="83"/>
      <c r="M152" s="110"/>
      <c r="N152" s="110"/>
      <c r="O152" s="108"/>
      <c r="P152" s="110"/>
      <c r="Q152" s="110"/>
      <c r="R152" s="108"/>
      <c r="S152" s="109"/>
      <c r="T152" s="110"/>
      <c r="U152" s="110"/>
      <c r="V152" s="110"/>
      <c r="W152" s="110"/>
      <c r="X152" s="110"/>
      <c r="Y152" s="110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</row>
    <row r="153" ht="13.5" customHeight="1">
      <c r="A153" s="66"/>
      <c r="B153" s="144"/>
      <c r="C153" s="83"/>
      <c r="D153" s="83"/>
      <c r="E153" s="83"/>
      <c r="F153" s="83"/>
      <c r="G153" s="83"/>
      <c r="H153" s="83"/>
      <c r="I153" s="110"/>
      <c r="J153" s="83"/>
      <c r="K153" s="83"/>
      <c r="L153" s="83"/>
      <c r="M153" s="110"/>
      <c r="N153" s="110"/>
      <c r="O153" s="108"/>
      <c r="P153" s="110"/>
      <c r="Q153" s="110"/>
      <c r="R153" s="108"/>
      <c r="S153" s="109"/>
      <c r="T153" s="110"/>
      <c r="U153" s="110"/>
      <c r="V153" s="110"/>
      <c r="W153" s="110"/>
      <c r="X153" s="110"/>
      <c r="Y153" s="110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</row>
    <row r="154" ht="13.5" customHeight="1">
      <c r="A154" s="66"/>
      <c r="B154" s="144"/>
      <c r="C154" s="83"/>
      <c r="D154" s="83"/>
      <c r="E154" s="83"/>
      <c r="F154" s="83"/>
      <c r="G154" s="83"/>
      <c r="H154" s="83"/>
      <c r="I154" s="110"/>
      <c r="J154" s="83"/>
      <c r="K154" s="83"/>
      <c r="L154" s="83"/>
      <c r="M154" s="110"/>
      <c r="N154" s="110"/>
      <c r="O154" s="108"/>
      <c r="P154" s="110"/>
      <c r="Q154" s="110"/>
      <c r="R154" s="108"/>
      <c r="S154" s="109"/>
      <c r="T154" s="110"/>
      <c r="U154" s="110"/>
      <c r="V154" s="110"/>
      <c r="W154" s="110"/>
      <c r="X154" s="110"/>
      <c r="Y154" s="110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</row>
    <row r="155" ht="13.5" customHeight="1">
      <c r="A155" s="66"/>
      <c r="B155" s="144"/>
      <c r="C155" s="83"/>
      <c r="D155" s="83"/>
      <c r="E155" s="83"/>
      <c r="F155" s="83"/>
      <c r="G155" s="83"/>
      <c r="H155" s="83"/>
      <c r="I155" s="110"/>
      <c r="J155" s="83"/>
      <c r="K155" s="83"/>
      <c r="L155" s="83"/>
      <c r="M155" s="110"/>
      <c r="N155" s="110"/>
      <c r="O155" s="108"/>
      <c r="P155" s="110"/>
      <c r="Q155" s="110"/>
      <c r="R155" s="108"/>
      <c r="S155" s="109"/>
      <c r="T155" s="110"/>
      <c r="U155" s="110"/>
      <c r="V155" s="110"/>
      <c r="W155" s="110"/>
      <c r="X155" s="110"/>
      <c r="Y155" s="110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</row>
    <row r="156" ht="13.5" customHeight="1">
      <c r="A156" s="66"/>
      <c r="B156" s="144"/>
      <c r="C156" s="83"/>
      <c r="D156" s="83"/>
      <c r="E156" s="83"/>
      <c r="F156" s="83"/>
      <c r="G156" s="83"/>
      <c r="H156" s="83"/>
      <c r="I156" s="110"/>
      <c r="J156" s="83"/>
      <c r="K156" s="83"/>
      <c r="L156" s="83"/>
      <c r="M156" s="83"/>
      <c r="N156" s="83"/>
      <c r="O156" s="98"/>
      <c r="P156" s="83"/>
      <c r="Q156" s="83"/>
      <c r="R156" s="98"/>
      <c r="S156" s="82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</row>
    <row r="157" ht="13.5" customHeight="1">
      <c r="A157" s="66"/>
      <c r="B157" s="144"/>
      <c r="C157" s="83"/>
      <c r="D157" s="83"/>
      <c r="E157" s="83"/>
      <c r="F157" s="83"/>
      <c r="G157" s="83"/>
      <c r="H157" s="83"/>
      <c r="I157" s="110"/>
      <c r="J157" s="83"/>
      <c r="K157" s="83"/>
      <c r="L157" s="83"/>
      <c r="M157" s="83"/>
      <c r="N157" s="83"/>
      <c r="O157" s="98"/>
      <c r="P157" s="83"/>
      <c r="Q157" s="83"/>
      <c r="R157" s="98"/>
      <c r="S157" s="82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</row>
    <row r="158" ht="13.5" customHeight="1">
      <c r="A158" s="66"/>
      <c r="B158" s="144"/>
      <c r="C158" s="83"/>
      <c r="D158" s="83"/>
      <c r="E158" s="83"/>
      <c r="F158" s="83"/>
      <c r="G158" s="83"/>
      <c r="H158" s="83"/>
      <c r="I158" s="110"/>
      <c r="J158" s="83"/>
      <c r="K158" s="83"/>
      <c r="L158" s="83"/>
      <c r="M158" s="83"/>
      <c r="N158" s="83"/>
      <c r="O158" s="98"/>
      <c r="P158" s="83"/>
      <c r="Q158" s="83"/>
      <c r="R158" s="98"/>
      <c r="S158" s="82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</row>
    <row r="159" ht="13.5" customHeight="1">
      <c r="A159" s="66"/>
      <c r="B159" s="144"/>
      <c r="C159" s="83"/>
      <c r="D159" s="83"/>
      <c r="E159" s="83"/>
      <c r="F159" s="83"/>
      <c r="G159" s="83"/>
      <c r="H159" s="83"/>
      <c r="I159" s="110"/>
      <c r="J159" s="83"/>
      <c r="K159" s="83"/>
      <c r="L159" s="83"/>
      <c r="M159" s="83"/>
      <c r="N159" s="83"/>
      <c r="O159" s="98"/>
      <c r="P159" s="83"/>
      <c r="Q159" s="83"/>
      <c r="R159" s="98"/>
      <c r="S159" s="82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</row>
    <row r="160" ht="13.5" customHeight="1">
      <c r="A160" s="66"/>
      <c r="B160" s="144"/>
      <c r="C160" s="83"/>
      <c r="D160" s="83"/>
      <c r="E160" s="83"/>
      <c r="F160" s="83"/>
      <c r="G160" s="83"/>
      <c r="H160" s="83"/>
      <c r="I160" s="110"/>
      <c r="J160" s="83"/>
      <c r="K160" s="83"/>
      <c r="L160" s="83"/>
      <c r="M160" s="83"/>
      <c r="N160" s="83"/>
      <c r="O160" s="98"/>
      <c r="P160" s="83"/>
      <c r="Q160" s="83"/>
      <c r="R160" s="98"/>
      <c r="S160" s="82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</row>
    <row r="161" ht="13.5" customHeight="1">
      <c r="A161" s="66"/>
      <c r="B161" s="144"/>
      <c r="C161" s="83"/>
      <c r="D161" s="83"/>
      <c r="E161" s="83"/>
      <c r="F161" s="83"/>
      <c r="G161" s="83"/>
      <c r="H161" s="83"/>
      <c r="I161" s="110"/>
      <c r="J161" s="83"/>
      <c r="K161" s="83"/>
      <c r="L161" s="83"/>
      <c r="M161" s="83"/>
      <c r="N161" s="83"/>
      <c r="O161" s="98"/>
      <c r="P161" s="83"/>
      <c r="Q161" s="83"/>
      <c r="R161" s="98"/>
      <c r="S161" s="82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</row>
    <row r="162" ht="13.5" customHeight="1">
      <c r="A162" s="66"/>
      <c r="B162" s="144"/>
      <c r="C162" s="83"/>
      <c r="D162" s="83"/>
      <c r="E162" s="83"/>
      <c r="F162" s="83"/>
      <c r="G162" s="83"/>
      <c r="H162" s="83"/>
      <c r="I162" s="110"/>
      <c r="J162" s="83"/>
      <c r="K162" s="83"/>
      <c r="L162" s="83"/>
      <c r="M162" s="83"/>
      <c r="N162" s="83"/>
      <c r="O162" s="98"/>
      <c r="P162" s="83"/>
      <c r="Q162" s="83"/>
      <c r="R162" s="98"/>
      <c r="S162" s="82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</row>
    <row r="163" ht="13.5" customHeight="1">
      <c r="A163" s="66"/>
      <c r="B163" s="144"/>
      <c r="C163" s="83"/>
      <c r="D163" s="83"/>
      <c r="E163" s="83"/>
      <c r="F163" s="83"/>
      <c r="G163" s="83"/>
      <c r="H163" s="83"/>
      <c r="I163" s="110"/>
      <c r="J163" s="83"/>
      <c r="K163" s="83"/>
      <c r="L163" s="83"/>
      <c r="M163" s="83"/>
      <c r="N163" s="83"/>
      <c r="O163" s="98"/>
      <c r="P163" s="83"/>
      <c r="Q163" s="83"/>
      <c r="R163" s="98"/>
      <c r="S163" s="82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</row>
    <row r="164" ht="13.5" customHeight="1">
      <c r="A164" s="66"/>
      <c r="B164" s="144"/>
      <c r="C164" s="83"/>
      <c r="D164" s="83"/>
      <c r="E164" s="83"/>
      <c r="F164" s="83"/>
      <c r="G164" s="83"/>
      <c r="H164" s="83"/>
      <c r="I164" s="110"/>
      <c r="J164" s="83"/>
      <c r="K164" s="83"/>
      <c r="L164" s="83"/>
      <c r="M164" s="83"/>
      <c r="N164" s="83"/>
      <c r="O164" s="98"/>
      <c r="P164" s="83"/>
      <c r="Q164" s="83"/>
      <c r="R164" s="98"/>
      <c r="S164" s="82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</row>
    <row r="165" ht="13.5" customHeight="1">
      <c r="A165" s="66"/>
      <c r="B165" s="144"/>
      <c r="C165" s="83"/>
      <c r="D165" s="83"/>
      <c r="E165" s="83"/>
      <c r="F165" s="83"/>
      <c r="G165" s="83"/>
      <c r="H165" s="83"/>
      <c r="I165" s="110"/>
      <c r="J165" s="83"/>
      <c r="K165" s="83"/>
      <c r="L165" s="83"/>
      <c r="M165" s="83"/>
      <c r="N165" s="83"/>
      <c r="O165" s="98"/>
      <c r="P165" s="83"/>
      <c r="Q165" s="83"/>
      <c r="R165" s="98"/>
      <c r="S165" s="82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</row>
    <row r="166" ht="13.5" customHeight="1">
      <c r="A166" s="66"/>
      <c r="B166" s="144"/>
      <c r="C166" s="83"/>
      <c r="D166" s="83"/>
      <c r="E166" s="83"/>
      <c r="F166" s="83"/>
      <c r="G166" s="83"/>
      <c r="H166" s="83"/>
      <c r="I166" s="110"/>
      <c r="J166" s="83"/>
      <c r="K166" s="83"/>
      <c r="L166" s="83"/>
      <c r="M166" s="83"/>
      <c r="N166" s="83"/>
      <c r="O166" s="98"/>
      <c r="P166" s="83"/>
      <c r="Q166" s="83"/>
      <c r="R166" s="98"/>
      <c r="S166" s="82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</row>
    <row r="167" ht="13.5" customHeight="1">
      <c r="A167" s="66"/>
      <c r="B167" s="144"/>
      <c r="C167" s="83"/>
      <c r="D167" s="83"/>
      <c r="E167" s="83"/>
      <c r="F167" s="83"/>
      <c r="G167" s="83"/>
      <c r="H167" s="83"/>
      <c r="I167" s="110"/>
      <c r="J167" s="83"/>
      <c r="K167" s="83"/>
      <c r="L167" s="83"/>
      <c r="M167" s="83"/>
      <c r="N167" s="83"/>
      <c r="O167" s="98"/>
      <c r="P167" s="83"/>
      <c r="Q167" s="83"/>
      <c r="R167" s="98"/>
      <c r="S167" s="82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</row>
    <row r="168" ht="13.5" customHeight="1">
      <c r="A168" s="66"/>
      <c r="B168" s="144"/>
      <c r="C168" s="83"/>
      <c r="D168" s="83"/>
      <c r="E168" s="83"/>
      <c r="F168" s="83"/>
      <c r="G168" s="83"/>
      <c r="H168" s="83"/>
      <c r="I168" s="110"/>
      <c r="J168" s="83"/>
      <c r="K168" s="83"/>
      <c r="L168" s="83"/>
      <c r="M168" s="83"/>
      <c r="N168" s="83"/>
      <c r="O168" s="98"/>
      <c r="P168" s="83"/>
      <c r="Q168" s="83"/>
      <c r="R168" s="98"/>
      <c r="S168" s="82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</row>
    <row r="169" ht="13.5" customHeight="1">
      <c r="A169" s="66"/>
      <c r="B169" s="144"/>
      <c r="C169" s="83"/>
      <c r="D169" s="83"/>
      <c r="E169" s="83"/>
      <c r="F169" s="83"/>
      <c r="G169" s="83"/>
      <c r="H169" s="83"/>
      <c r="I169" s="110"/>
      <c r="J169" s="83"/>
      <c r="K169" s="83"/>
      <c r="L169" s="83"/>
      <c r="M169" s="83"/>
      <c r="N169" s="83"/>
      <c r="O169" s="98"/>
      <c r="P169" s="83"/>
      <c r="Q169" s="83"/>
      <c r="R169" s="98"/>
      <c r="S169" s="82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</row>
    <row r="170" ht="13.5" customHeight="1">
      <c r="A170" s="66"/>
      <c r="B170" s="144"/>
      <c r="C170" s="83"/>
      <c r="D170" s="83"/>
      <c r="E170" s="83"/>
      <c r="F170" s="83"/>
      <c r="G170" s="83"/>
      <c r="H170" s="83"/>
      <c r="I170" s="110"/>
      <c r="J170" s="83"/>
      <c r="K170" s="83"/>
      <c r="L170" s="83"/>
      <c r="M170" s="83"/>
      <c r="N170" s="83"/>
      <c r="O170" s="98"/>
      <c r="P170" s="83"/>
      <c r="Q170" s="83"/>
      <c r="R170" s="98"/>
      <c r="S170" s="82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</row>
    <row r="171" ht="13.5" customHeight="1">
      <c r="A171" s="66"/>
      <c r="B171" s="144"/>
      <c r="C171" s="83"/>
      <c r="D171" s="83"/>
      <c r="E171" s="83"/>
      <c r="F171" s="83"/>
      <c r="G171" s="83"/>
      <c r="H171" s="83"/>
      <c r="I171" s="110"/>
      <c r="J171" s="83"/>
      <c r="K171" s="83"/>
      <c r="L171" s="83"/>
      <c r="M171" s="83"/>
      <c r="N171" s="83"/>
      <c r="O171" s="98"/>
      <c r="P171" s="83"/>
      <c r="Q171" s="83"/>
      <c r="R171" s="98"/>
      <c r="S171" s="82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</row>
    <row r="172" ht="13.5" customHeight="1">
      <c r="A172" s="66"/>
      <c r="B172" s="144"/>
      <c r="C172" s="83"/>
      <c r="D172" s="83"/>
      <c r="E172" s="83"/>
      <c r="F172" s="83"/>
      <c r="G172" s="83"/>
      <c r="H172" s="83"/>
      <c r="I172" s="110"/>
      <c r="J172" s="83"/>
      <c r="K172" s="83"/>
      <c r="L172" s="83"/>
      <c r="M172" s="83"/>
      <c r="N172" s="83"/>
      <c r="O172" s="98"/>
      <c r="P172" s="83"/>
      <c r="Q172" s="83"/>
      <c r="R172" s="98"/>
      <c r="S172" s="82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</row>
    <row r="173" ht="13.5" customHeight="1">
      <c r="A173" s="66"/>
      <c r="B173" s="144"/>
      <c r="C173" s="83"/>
      <c r="D173" s="83"/>
      <c r="E173" s="83"/>
      <c r="F173" s="83"/>
      <c r="G173" s="83"/>
      <c r="H173" s="83"/>
      <c r="I173" s="110"/>
      <c r="J173" s="83"/>
      <c r="K173" s="83"/>
      <c r="L173" s="83"/>
      <c r="M173" s="83"/>
      <c r="N173" s="83"/>
      <c r="O173" s="98"/>
      <c r="P173" s="83"/>
      <c r="Q173" s="83"/>
      <c r="R173" s="98"/>
      <c r="S173" s="82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</row>
    <row r="174" ht="13.5" customHeight="1">
      <c r="A174" s="66"/>
      <c r="B174" s="144"/>
      <c r="C174" s="83"/>
      <c r="D174" s="83"/>
      <c r="E174" s="83"/>
      <c r="F174" s="83"/>
      <c r="G174" s="83"/>
      <c r="H174" s="83"/>
      <c r="I174" s="110"/>
      <c r="J174" s="83"/>
      <c r="K174" s="83"/>
      <c r="L174" s="83"/>
      <c r="M174" s="83"/>
      <c r="N174" s="83"/>
      <c r="O174" s="98"/>
      <c r="P174" s="83"/>
      <c r="Q174" s="83"/>
      <c r="R174" s="98"/>
      <c r="S174" s="82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</row>
    <row r="175" ht="13.5" customHeight="1">
      <c r="A175" s="66"/>
      <c r="B175" s="144"/>
      <c r="C175" s="83"/>
      <c r="D175" s="83"/>
      <c r="E175" s="83"/>
      <c r="F175" s="83"/>
      <c r="G175" s="83"/>
      <c r="H175" s="83"/>
      <c r="I175" s="110"/>
      <c r="J175" s="83"/>
      <c r="K175" s="83"/>
      <c r="L175" s="83"/>
      <c r="M175" s="83"/>
      <c r="N175" s="83"/>
      <c r="O175" s="98"/>
      <c r="P175" s="83"/>
      <c r="Q175" s="83"/>
      <c r="R175" s="98"/>
      <c r="S175" s="82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</row>
    <row r="176" ht="13.5" customHeight="1">
      <c r="A176" s="66"/>
      <c r="B176" s="144"/>
      <c r="C176" s="83"/>
      <c r="D176" s="83"/>
      <c r="E176" s="83"/>
      <c r="F176" s="83"/>
      <c r="G176" s="83"/>
      <c r="H176" s="83"/>
      <c r="I176" s="110"/>
      <c r="J176" s="83"/>
      <c r="K176" s="83"/>
      <c r="L176" s="83"/>
      <c r="M176" s="83"/>
      <c r="N176" s="83"/>
      <c r="O176" s="98"/>
      <c r="P176" s="83"/>
      <c r="Q176" s="83"/>
      <c r="R176" s="98"/>
      <c r="S176" s="82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</row>
    <row r="177" ht="13.5" customHeight="1">
      <c r="A177" s="66"/>
      <c r="B177" s="144"/>
      <c r="C177" s="83"/>
      <c r="D177" s="83"/>
      <c r="E177" s="83"/>
      <c r="F177" s="83"/>
      <c r="G177" s="83"/>
      <c r="H177" s="83"/>
      <c r="I177" s="110"/>
      <c r="J177" s="83"/>
      <c r="K177" s="83"/>
      <c r="L177" s="83"/>
      <c r="M177" s="83"/>
      <c r="N177" s="83"/>
      <c r="O177" s="98"/>
      <c r="P177" s="83"/>
      <c r="Q177" s="83"/>
      <c r="R177" s="98"/>
      <c r="S177" s="82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</row>
    <row r="178" ht="13.5" customHeight="1">
      <c r="A178" s="66"/>
      <c r="B178" s="144"/>
      <c r="C178" s="83"/>
      <c r="D178" s="83"/>
      <c r="E178" s="83"/>
      <c r="F178" s="83"/>
      <c r="G178" s="83"/>
      <c r="H178" s="83"/>
      <c r="I178" s="110"/>
      <c r="J178" s="83"/>
      <c r="K178" s="83"/>
      <c r="L178" s="83"/>
      <c r="M178" s="83"/>
      <c r="N178" s="83"/>
      <c r="O178" s="98"/>
      <c r="P178" s="83"/>
      <c r="Q178" s="83"/>
      <c r="R178" s="98"/>
      <c r="S178" s="82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</row>
    <row r="179" ht="13.5" customHeight="1">
      <c r="A179" s="66"/>
      <c r="B179" s="144"/>
      <c r="C179" s="83"/>
      <c r="D179" s="83"/>
      <c r="E179" s="83"/>
      <c r="F179" s="83"/>
      <c r="G179" s="83"/>
      <c r="H179" s="83"/>
      <c r="I179" s="110"/>
      <c r="J179" s="83"/>
      <c r="K179" s="83"/>
      <c r="L179" s="83"/>
      <c r="M179" s="83"/>
      <c r="N179" s="83"/>
      <c r="O179" s="98"/>
      <c r="P179" s="83"/>
      <c r="Q179" s="83"/>
      <c r="R179" s="98"/>
      <c r="S179" s="82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</row>
    <row r="180" ht="13.5" customHeight="1">
      <c r="A180" s="66"/>
      <c r="B180" s="144"/>
      <c r="C180" s="83"/>
      <c r="D180" s="83"/>
      <c r="E180" s="83"/>
      <c r="F180" s="83"/>
      <c r="G180" s="83"/>
      <c r="H180" s="83"/>
      <c r="I180" s="110"/>
      <c r="J180" s="83"/>
      <c r="K180" s="83"/>
      <c r="L180" s="83"/>
      <c r="M180" s="83"/>
      <c r="N180" s="83"/>
      <c r="O180" s="98"/>
      <c r="P180" s="83"/>
      <c r="Q180" s="83"/>
      <c r="R180" s="98"/>
      <c r="S180" s="82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</row>
    <row r="181" ht="13.5" customHeight="1">
      <c r="A181" s="66"/>
      <c r="B181" s="144"/>
      <c r="C181" s="83"/>
      <c r="D181" s="83"/>
      <c r="E181" s="83"/>
      <c r="F181" s="83"/>
      <c r="G181" s="83"/>
      <c r="H181" s="83"/>
      <c r="I181" s="110"/>
      <c r="J181" s="83"/>
      <c r="K181" s="83"/>
      <c r="L181" s="83"/>
      <c r="M181" s="83"/>
      <c r="N181" s="83"/>
      <c r="O181" s="98"/>
      <c r="P181" s="83"/>
      <c r="Q181" s="83"/>
      <c r="R181" s="98"/>
      <c r="S181" s="82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</row>
    <row r="182" ht="13.5" customHeight="1">
      <c r="A182" s="66"/>
      <c r="B182" s="144"/>
      <c r="C182" s="83"/>
      <c r="D182" s="83"/>
      <c r="E182" s="83"/>
      <c r="F182" s="83"/>
      <c r="G182" s="83"/>
      <c r="H182" s="83"/>
      <c r="I182" s="110"/>
      <c r="J182" s="83"/>
      <c r="K182" s="83"/>
      <c r="L182" s="83"/>
      <c r="M182" s="83"/>
      <c r="N182" s="83"/>
      <c r="O182" s="98"/>
      <c r="P182" s="83"/>
      <c r="Q182" s="83"/>
      <c r="R182" s="98"/>
      <c r="S182" s="82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</row>
    <row r="183" ht="13.5" customHeight="1">
      <c r="A183" s="66"/>
      <c r="B183" s="144"/>
      <c r="C183" s="83"/>
      <c r="D183" s="83"/>
      <c r="E183" s="83"/>
      <c r="F183" s="83"/>
      <c r="G183" s="83"/>
      <c r="H183" s="83"/>
      <c r="I183" s="110"/>
      <c r="J183" s="83"/>
      <c r="K183" s="83"/>
      <c r="L183" s="83"/>
      <c r="M183" s="83"/>
      <c r="N183" s="83"/>
      <c r="O183" s="98"/>
      <c r="P183" s="83"/>
      <c r="Q183" s="83"/>
      <c r="R183" s="98"/>
      <c r="S183" s="82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</row>
    <row r="184" ht="13.5" customHeight="1">
      <c r="A184" s="66"/>
      <c r="B184" s="144"/>
      <c r="C184" s="83"/>
      <c r="D184" s="83"/>
      <c r="E184" s="83"/>
      <c r="F184" s="83"/>
      <c r="G184" s="83"/>
      <c r="H184" s="83"/>
      <c r="I184" s="110"/>
      <c r="J184" s="83"/>
      <c r="K184" s="83"/>
      <c r="L184" s="83"/>
      <c r="M184" s="83"/>
      <c r="N184" s="83"/>
      <c r="O184" s="98"/>
      <c r="P184" s="83"/>
      <c r="Q184" s="83"/>
      <c r="R184" s="98"/>
      <c r="S184" s="82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</row>
    <row r="185" ht="13.5" customHeight="1">
      <c r="A185" s="66"/>
      <c r="B185" s="144"/>
      <c r="C185" s="83"/>
      <c r="D185" s="83"/>
      <c r="E185" s="83"/>
      <c r="F185" s="83"/>
      <c r="G185" s="83"/>
      <c r="H185" s="83"/>
      <c r="I185" s="110"/>
      <c r="J185" s="83"/>
      <c r="K185" s="83"/>
      <c r="L185" s="83"/>
      <c r="M185" s="83"/>
      <c r="N185" s="83"/>
      <c r="O185" s="98"/>
      <c r="P185" s="83"/>
      <c r="Q185" s="83"/>
      <c r="R185" s="98"/>
      <c r="S185" s="82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</row>
    <row r="186" ht="13.5" customHeight="1">
      <c r="A186" s="66"/>
      <c r="B186" s="144"/>
      <c r="C186" s="83"/>
      <c r="D186" s="83"/>
      <c r="E186" s="83"/>
      <c r="F186" s="83"/>
      <c r="G186" s="83"/>
      <c r="H186" s="83"/>
      <c r="I186" s="110"/>
      <c r="J186" s="83"/>
      <c r="K186" s="83"/>
      <c r="L186" s="83"/>
      <c r="M186" s="83"/>
      <c r="N186" s="83"/>
      <c r="O186" s="98"/>
      <c r="P186" s="83"/>
      <c r="Q186" s="83"/>
      <c r="R186" s="98"/>
      <c r="S186" s="82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</row>
    <row r="187" ht="13.5" customHeight="1">
      <c r="A187" s="66"/>
      <c r="B187" s="144"/>
      <c r="C187" s="83"/>
      <c r="D187" s="83"/>
      <c r="E187" s="83"/>
      <c r="F187" s="83"/>
      <c r="G187" s="83"/>
      <c r="H187" s="83"/>
      <c r="I187" s="110"/>
      <c r="J187" s="83"/>
      <c r="K187" s="83"/>
      <c r="L187" s="83"/>
      <c r="M187" s="83"/>
      <c r="N187" s="83"/>
      <c r="O187" s="98"/>
      <c r="P187" s="83"/>
      <c r="Q187" s="83"/>
      <c r="R187" s="98"/>
      <c r="S187" s="82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</row>
    <row r="188" ht="13.5" customHeight="1">
      <c r="A188" s="66"/>
      <c r="B188" s="144"/>
      <c r="C188" s="83"/>
      <c r="D188" s="83"/>
      <c r="E188" s="83"/>
      <c r="F188" s="83"/>
      <c r="G188" s="83"/>
      <c r="H188" s="83"/>
      <c r="I188" s="110"/>
      <c r="J188" s="83"/>
      <c r="K188" s="83"/>
      <c r="L188" s="83"/>
      <c r="M188" s="83"/>
      <c r="N188" s="83"/>
      <c r="O188" s="98"/>
      <c r="P188" s="83"/>
      <c r="Q188" s="83"/>
      <c r="R188" s="98"/>
      <c r="S188" s="82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</row>
    <row r="189" ht="13.5" customHeight="1">
      <c r="A189" s="66"/>
      <c r="B189" s="144"/>
      <c r="C189" s="83"/>
      <c r="D189" s="83"/>
      <c r="E189" s="83"/>
      <c r="F189" s="83"/>
      <c r="G189" s="83"/>
      <c r="H189" s="83"/>
      <c r="I189" s="110"/>
      <c r="J189" s="83"/>
      <c r="K189" s="83"/>
      <c r="L189" s="83"/>
      <c r="M189" s="83"/>
      <c r="N189" s="83"/>
      <c r="O189" s="98"/>
      <c r="P189" s="83"/>
      <c r="Q189" s="83"/>
      <c r="R189" s="98"/>
      <c r="S189" s="82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</row>
    <row r="190" ht="13.5" customHeight="1">
      <c r="A190" s="66"/>
      <c r="B190" s="144"/>
      <c r="C190" s="83"/>
      <c r="D190" s="83"/>
      <c r="E190" s="83"/>
      <c r="F190" s="83"/>
      <c r="G190" s="83"/>
      <c r="H190" s="83"/>
      <c r="I190" s="110"/>
      <c r="J190" s="83"/>
      <c r="K190" s="83"/>
      <c r="L190" s="83"/>
      <c r="M190" s="83"/>
      <c r="N190" s="83"/>
      <c r="O190" s="98"/>
      <c r="P190" s="83"/>
      <c r="Q190" s="83"/>
      <c r="R190" s="98"/>
      <c r="S190" s="82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</row>
    <row r="191" ht="13.5" customHeight="1">
      <c r="A191" s="66"/>
      <c r="B191" s="144"/>
      <c r="C191" s="83"/>
      <c r="D191" s="83"/>
      <c r="E191" s="83"/>
      <c r="F191" s="83"/>
      <c r="G191" s="83"/>
      <c r="H191" s="83"/>
      <c r="I191" s="110"/>
      <c r="J191" s="83"/>
      <c r="K191" s="83"/>
      <c r="L191" s="83"/>
      <c r="M191" s="83"/>
      <c r="N191" s="83"/>
      <c r="O191" s="98"/>
      <c r="P191" s="83"/>
      <c r="Q191" s="83"/>
      <c r="R191" s="98"/>
      <c r="S191" s="82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</row>
    <row r="192" ht="13.5" customHeight="1">
      <c r="A192" s="66"/>
      <c r="B192" s="144"/>
      <c r="C192" s="83"/>
      <c r="D192" s="83"/>
      <c r="E192" s="83"/>
      <c r="F192" s="83"/>
      <c r="G192" s="83"/>
      <c r="H192" s="83"/>
      <c r="I192" s="110"/>
      <c r="J192" s="83"/>
      <c r="K192" s="83"/>
      <c r="L192" s="83"/>
      <c r="M192" s="83"/>
      <c r="N192" s="83"/>
      <c r="O192" s="98"/>
      <c r="P192" s="83"/>
      <c r="Q192" s="83"/>
      <c r="R192" s="98"/>
      <c r="S192" s="82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</row>
    <row r="193" ht="13.5" customHeight="1">
      <c r="A193" s="66"/>
      <c r="B193" s="144"/>
      <c r="C193" s="83"/>
      <c r="D193" s="83"/>
      <c r="E193" s="83"/>
      <c r="F193" s="83"/>
      <c r="G193" s="83"/>
      <c r="H193" s="83"/>
      <c r="I193" s="110"/>
      <c r="J193" s="83"/>
      <c r="K193" s="83"/>
      <c r="L193" s="83"/>
      <c r="M193" s="83"/>
      <c r="N193" s="83"/>
      <c r="O193" s="98"/>
      <c r="P193" s="83"/>
      <c r="Q193" s="83"/>
      <c r="R193" s="98"/>
      <c r="S193" s="82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</row>
    <row r="194" ht="13.5" customHeight="1">
      <c r="A194" s="66"/>
      <c r="B194" s="144"/>
      <c r="C194" s="83"/>
      <c r="D194" s="83"/>
      <c r="E194" s="83"/>
      <c r="F194" s="83"/>
      <c r="G194" s="83"/>
      <c r="H194" s="83"/>
      <c r="I194" s="110"/>
      <c r="J194" s="83"/>
      <c r="K194" s="83"/>
      <c r="L194" s="83"/>
      <c r="M194" s="83"/>
      <c r="N194" s="83"/>
      <c r="O194" s="98"/>
      <c r="P194" s="83"/>
      <c r="Q194" s="83"/>
      <c r="R194" s="98"/>
      <c r="S194" s="82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</row>
    <row r="195" ht="13.5" customHeight="1">
      <c r="A195" s="66"/>
      <c r="B195" s="144"/>
      <c r="C195" s="83"/>
      <c r="D195" s="83"/>
      <c r="E195" s="83"/>
      <c r="F195" s="83"/>
      <c r="G195" s="83"/>
      <c r="H195" s="83"/>
      <c r="I195" s="110"/>
      <c r="J195" s="83"/>
      <c r="K195" s="83"/>
      <c r="L195" s="83"/>
      <c r="M195" s="83"/>
      <c r="N195" s="83"/>
      <c r="O195" s="98"/>
      <c r="P195" s="83"/>
      <c r="Q195" s="83"/>
      <c r="R195" s="98"/>
      <c r="S195" s="82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</row>
    <row r="196" ht="13.5" customHeight="1">
      <c r="A196" s="66"/>
      <c r="B196" s="144"/>
      <c r="C196" s="83"/>
      <c r="D196" s="83"/>
      <c r="E196" s="83"/>
      <c r="F196" s="83"/>
      <c r="G196" s="83"/>
      <c r="H196" s="83"/>
      <c r="I196" s="110"/>
      <c r="J196" s="83"/>
      <c r="K196" s="83"/>
      <c r="L196" s="83"/>
      <c r="M196" s="83"/>
      <c r="N196" s="83"/>
      <c r="O196" s="98"/>
      <c r="P196" s="83"/>
      <c r="Q196" s="83"/>
      <c r="R196" s="98"/>
      <c r="S196" s="82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</row>
    <row r="197" ht="13.5" customHeight="1">
      <c r="A197" s="66"/>
      <c r="B197" s="144"/>
      <c r="C197" s="83"/>
      <c r="D197" s="83"/>
      <c r="E197" s="83"/>
      <c r="F197" s="83"/>
      <c r="G197" s="83"/>
      <c r="H197" s="83"/>
      <c r="I197" s="110"/>
      <c r="J197" s="83"/>
      <c r="K197" s="83"/>
      <c r="L197" s="83"/>
      <c r="M197" s="83"/>
      <c r="N197" s="83"/>
      <c r="O197" s="98"/>
      <c r="P197" s="83"/>
      <c r="Q197" s="83"/>
      <c r="R197" s="98"/>
      <c r="S197" s="82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</row>
    <row r="198" ht="13.5" customHeight="1">
      <c r="A198" s="66"/>
      <c r="B198" s="144"/>
      <c r="C198" s="83"/>
      <c r="D198" s="83"/>
      <c r="E198" s="83"/>
      <c r="F198" s="83"/>
      <c r="G198" s="83"/>
      <c r="H198" s="83"/>
      <c r="I198" s="110"/>
      <c r="J198" s="83"/>
      <c r="K198" s="83"/>
      <c r="L198" s="83"/>
      <c r="M198" s="83"/>
      <c r="N198" s="83"/>
      <c r="O198" s="98"/>
      <c r="P198" s="83"/>
      <c r="Q198" s="83"/>
      <c r="R198" s="98"/>
      <c r="S198" s="82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</row>
    <row r="199" ht="13.5" customHeight="1">
      <c r="A199" s="66"/>
      <c r="B199" s="144"/>
      <c r="C199" s="83"/>
      <c r="D199" s="83"/>
      <c r="E199" s="83"/>
      <c r="F199" s="83"/>
      <c r="G199" s="83"/>
      <c r="H199" s="83"/>
      <c r="I199" s="110"/>
      <c r="J199" s="83"/>
      <c r="K199" s="83"/>
      <c r="L199" s="83"/>
      <c r="M199" s="83"/>
      <c r="N199" s="83"/>
      <c r="O199" s="98"/>
      <c r="P199" s="83"/>
      <c r="Q199" s="83"/>
      <c r="R199" s="98"/>
      <c r="S199" s="82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</row>
    <row r="200" ht="13.5" customHeight="1">
      <c r="A200" s="66"/>
      <c r="B200" s="144"/>
      <c r="C200" s="83"/>
      <c r="D200" s="83"/>
      <c r="E200" s="83"/>
      <c r="F200" s="83"/>
      <c r="G200" s="83"/>
      <c r="H200" s="83"/>
      <c r="I200" s="110"/>
      <c r="J200" s="83"/>
      <c r="K200" s="83"/>
      <c r="L200" s="83"/>
      <c r="M200" s="83"/>
      <c r="N200" s="83"/>
      <c r="O200" s="98"/>
      <c r="P200" s="83"/>
      <c r="Q200" s="83"/>
      <c r="R200" s="98"/>
      <c r="S200" s="82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</row>
    <row r="201" ht="13.5" customHeight="1">
      <c r="A201" s="66"/>
      <c r="B201" s="144"/>
      <c r="C201" s="83"/>
      <c r="D201" s="83"/>
      <c r="E201" s="83"/>
      <c r="F201" s="83"/>
      <c r="G201" s="83"/>
      <c r="H201" s="83"/>
      <c r="I201" s="110"/>
      <c r="J201" s="83"/>
      <c r="K201" s="83"/>
      <c r="L201" s="83"/>
      <c r="M201" s="83"/>
      <c r="N201" s="83"/>
      <c r="O201" s="98"/>
      <c r="P201" s="83"/>
      <c r="Q201" s="83"/>
      <c r="R201" s="98"/>
      <c r="S201" s="82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</row>
    <row r="202" ht="13.5" customHeight="1">
      <c r="A202" s="66"/>
      <c r="B202" s="144"/>
      <c r="C202" s="83"/>
      <c r="D202" s="83"/>
      <c r="E202" s="83"/>
      <c r="F202" s="83"/>
      <c r="G202" s="83"/>
      <c r="H202" s="83"/>
      <c r="I202" s="110"/>
      <c r="J202" s="83"/>
      <c r="K202" s="83"/>
      <c r="L202" s="83"/>
      <c r="M202" s="83"/>
      <c r="N202" s="83"/>
      <c r="O202" s="98"/>
      <c r="P202" s="83"/>
      <c r="Q202" s="83"/>
      <c r="R202" s="98"/>
      <c r="S202" s="82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</row>
    <row r="203" ht="13.5" customHeight="1">
      <c r="A203" s="66"/>
      <c r="B203" s="144"/>
      <c r="C203" s="83"/>
      <c r="D203" s="83"/>
      <c r="E203" s="83"/>
      <c r="F203" s="83"/>
      <c r="G203" s="83"/>
      <c r="H203" s="83"/>
      <c r="I203" s="110"/>
      <c r="J203" s="83"/>
      <c r="K203" s="83"/>
      <c r="L203" s="83"/>
      <c r="M203" s="83"/>
      <c r="N203" s="83"/>
      <c r="O203" s="98"/>
      <c r="P203" s="83"/>
      <c r="Q203" s="83"/>
      <c r="R203" s="98"/>
      <c r="S203" s="82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</row>
    <row r="204" ht="13.5" customHeight="1">
      <c r="A204" s="66"/>
      <c r="B204" s="144"/>
      <c r="C204" s="83"/>
      <c r="D204" s="83"/>
      <c r="E204" s="83"/>
      <c r="F204" s="83"/>
      <c r="G204" s="83"/>
      <c r="H204" s="83"/>
      <c r="I204" s="110"/>
      <c r="J204" s="83"/>
      <c r="K204" s="83"/>
      <c r="L204" s="83"/>
      <c r="M204" s="83"/>
      <c r="N204" s="83"/>
      <c r="O204" s="98"/>
      <c r="P204" s="83"/>
      <c r="Q204" s="83"/>
      <c r="R204" s="98"/>
      <c r="S204" s="82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</row>
    <row r="205" ht="13.5" customHeight="1">
      <c r="A205" s="66"/>
      <c r="B205" s="144"/>
      <c r="C205" s="83"/>
      <c r="D205" s="83"/>
      <c r="E205" s="83"/>
      <c r="F205" s="83"/>
      <c r="G205" s="83"/>
      <c r="H205" s="83"/>
      <c r="I205" s="110"/>
      <c r="J205" s="83"/>
      <c r="K205" s="83"/>
      <c r="L205" s="83"/>
      <c r="M205" s="83"/>
      <c r="N205" s="83"/>
      <c r="O205" s="98"/>
      <c r="P205" s="83"/>
      <c r="Q205" s="83"/>
      <c r="R205" s="98"/>
      <c r="S205" s="82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</row>
    <row r="206" ht="13.5" customHeight="1">
      <c r="A206" s="66"/>
      <c r="B206" s="144"/>
      <c r="C206" s="83"/>
      <c r="D206" s="83"/>
      <c r="E206" s="83"/>
      <c r="F206" s="83"/>
      <c r="G206" s="83"/>
      <c r="H206" s="83"/>
      <c r="I206" s="110"/>
      <c r="J206" s="83"/>
      <c r="K206" s="83"/>
      <c r="L206" s="83"/>
      <c r="M206" s="83"/>
      <c r="N206" s="83"/>
      <c r="O206" s="98"/>
      <c r="P206" s="83"/>
      <c r="Q206" s="83"/>
      <c r="R206" s="98"/>
      <c r="S206" s="82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</row>
    <row r="207" ht="13.5" customHeight="1">
      <c r="A207" s="66"/>
      <c r="B207" s="144"/>
      <c r="C207" s="83"/>
      <c r="D207" s="83"/>
      <c r="E207" s="83"/>
      <c r="F207" s="83"/>
      <c r="G207" s="83"/>
      <c r="H207" s="83"/>
      <c r="I207" s="110"/>
      <c r="J207" s="83"/>
      <c r="K207" s="83"/>
      <c r="L207" s="83"/>
      <c r="M207" s="83"/>
      <c r="N207" s="83"/>
      <c r="O207" s="98"/>
      <c r="P207" s="83"/>
      <c r="Q207" s="83"/>
      <c r="R207" s="98"/>
      <c r="S207" s="82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</row>
    <row r="208" ht="13.5" customHeight="1">
      <c r="A208" s="66"/>
      <c r="B208" s="144"/>
      <c r="C208" s="83"/>
      <c r="D208" s="83"/>
      <c r="E208" s="83"/>
      <c r="F208" s="83"/>
      <c r="G208" s="83"/>
      <c r="H208" s="83"/>
      <c r="I208" s="110"/>
      <c r="J208" s="83"/>
      <c r="K208" s="83"/>
      <c r="L208" s="83"/>
      <c r="M208" s="83"/>
      <c r="N208" s="83"/>
      <c r="O208" s="98"/>
      <c r="P208" s="83"/>
      <c r="Q208" s="83"/>
      <c r="R208" s="98"/>
      <c r="S208" s="82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</row>
    <row r="209" ht="13.5" customHeight="1">
      <c r="A209" s="66"/>
      <c r="B209" s="144"/>
      <c r="C209" s="83"/>
      <c r="D209" s="83"/>
      <c r="E209" s="83"/>
      <c r="F209" s="83"/>
      <c r="G209" s="83"/>
      <c r="H209" s="83"/>
      <c r="I209" s="110"/>
      <c r="J209" s="83"/>
      <c r="K209" s="83"/>
      <c r="L209" s="83"/>
      <c r="M209" s="83"/>
      <c r="N209" s="83"/>
      <c r="O209" s="98"/>
      <c r="P209" s="83"/>
      <c r="Q209" s="83"/>
      <c r="R209" s="98"/>
      <c r="S209" s="82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</row>
    <row r="210" ht="13.5" customHeight="1">
      <c r="A210" s="66"/>
      <c r="B210" s="144"/>
      <c r="C210" s="83"/>
      <c r="D210" s="83"/>
      <c r="E210" s="83"/>
      <c r="F210" s="83"/>
      <c r="G210" s="83"/>
      <c r="H210" s="83"/>
      <c r="I210" s="110"/>
      <c r="J210" s="83"/>
      <c r="K210" s="83"/>
      <c r="L210" s="83"/>
      <c r="M210" s="83"/>
      <c r="N210" s="83"/>
      <c r="O210" s="98"/>
      <c r="P210" s="83"/>
      <c r="Q210" s="83"/>
      <c r="R210" s="98"/>
      <c r="S210" s="82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</row>
    <row r="211" ht="13.5" customHeight="1">
      <c r="A211" s="66"/>
      <c r="B211" s="144"/>
      <c r="C211" s="83"/>
      <c r="D211" s="83"/>
      <c r="E211" s="83"/>
      <c r="F211" s="83"/>
      <c r="G211" s="83"/>
      <c r="H211" s="83"/>
      <c r="I211" s="110"/>
      <c r="J211" s="83"/>
      <c r="K211" s="83"/>
      <c r="L211" s="83"/>
      <c r="M211" s="83"/>
      <c r="N211" s="83"/>
      <c r="O211" s="98"/>
      <c r="P211" s="83"/>
      <c r="Q211" s="83"/>
      <c r="R211" s="98"/>
      <c r="S211" s="82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</row>
    <row r="212" ht="13.5" customHeight="1">
      <c r="A212" s="66"/>
      <c r="B212" s="144"/>
      <c r="C212" s="83"/>
      <c r="D212" s="83"/>
      <c r="E212" s="83"/>
      <c r="F212" s="83"/>
      <c r="G212" s="83"/>
      <c r="H212" s="83"/>
      <c r="I212" s="110"/>
      <c r="J212" s="83"/>
      <c r="K212" s="83"/>
      <c r="L212" s="83"/>
      <c r="M212" s="83"/>
      <c r="N212" s="83"/>
      <c r="O212" s="98"/>
      <c r="P212" s="83"/>
      <c r="Q212" s="83"/>
      <c r="R212" s="98"/>
      <c r="S212" s="82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</row>
    <row r="213" ht="13.5" customHeight="1">
      <c r="A213" s="66"/>
      <c r="B213" s="144"/>
      <c r="C213" s="83"/>
      <c r="D213" s="83"/>
      <c r="E213" s="83"/>
      <c r="F213" s="83"/>
      <c r="G213" s="83"/>
      <c r="H213" s="83"/>
      <c r="I213" s="110"/>
      <c r="J213" s="83"/>
      <c r="K213" s="83"/>
      <c r="L213" s="83"/>
      <c r="M213" s="83"/>
      <c r="N213" s="83"/>
      <c r="O213" s="98"/>
      <c r="P213" s="83"/>
      <c r="Q213" s="83"/>
      <c r="R213" s="98"/>
      <c r="S213" s="82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</row>
    <row r="214" ht="13.5" customHeight="1">
      <c r="A214" s="66"/>
      <c r="B214" s="144"/>
      <c r="C214" s="83"/>
      <c r="D214" s="83"/>
      <c r="E214" s="83"/>
      <c r="F214" s="83"/>
      <c r="G214" s="83"/>
      <c r="H214" s="83"/>
      <c r="I214" s="110"/>
      <c r="J214" s="83"/>
      <c r="K214" s="83"/>
      <c r="L214" s="83"/>
      <c r="M214" s="83"/>
      <c r="N214" s="83"/>
      <c r="O214" s="98"/>
      <c r="P214" s="83"/>
      <c r="Q214" s="83"/>
      <c r="R214" s="98"/>
      <c r="S214" s="82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</row>
    <row r="215" ht="13.5" customHeight="1">
      <c r="A215" s="66"/>
      <c r="B215" s="144"/>
      <c r="C215" s="83"/>
      <c r="D215" s="83"/>
      <c r="E215" s="83"/>
      <c r="F215" s="83"/>
      <c r="G215" s="83"/>
      <c r="H215" s="83"/>
      <c r="I215" s="110"/>
      <c r="J215" s="83"/>
      <c r="K215" s="83"/>
      <c r="L215" s="83"/>
      <c r="M215" s="83"/>
      <c r="N215" s="83"/>
      <c r="O215" s="98"/>
      <c r="P215" s="83"/>
      <c r="Q215" s="83"/>
      <c r="R215" s="98"/>
      <c r="S215" s="82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</row>
    <row r="216" ht="13.5" customHeight="1">
      <c r="A216" s="66"/>
      <c r="B216" s="144"/>
      <c r="C216" s="83"/>
      <c r="D216" s="83"/>
      <c r="E216" s="83"/>
      <c r="F216" s="83"/>
      <c r="G216" s="83"/>
      <c r="H216" s="83"/>
      <c r="I216" s="110"/>
      <c r="J216" s="83"/>
      <c r="K216" s="83"/>
      <c r="L216" s="83"/>
      <c r="M216" s="83"/>
      <c r="N216" s="83"/>
      <c r="O216" s="98"/>
      <c r="P216" s="83"/>
      <c r="Q216" s="83"/>
      <c r="R216" s="98"/>
      <c r="S216" s="82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</row>
    <row r="217" ht="13.5" customHeight="1">
      <c r="A217" s="66"/>
      <c r="B217" s="144"/>
      <c r="C217" s="83"/>
      <c r="D217" s="83"/>
      <c r="E217" s="83"/>
      <c r="F217" s="83"/>
      <c r="G217" s="83"/>
      <c r="H217" s="83"/>
      <c r="I217" s="110"/>
      <c r="J217" s="83"/>
      <c r="K217" s="83"/>
      <c r="L217" s="83"/>
      <c r="M217" s="83"/>
      <c r="N217" s="83"/>
      <c r="O217" s="98"/>
      <c r="P217" s="83"/>
      <c r="Q217" s="83"/>
      <c r="R217" s="98"/>
      <c r="S217" s="82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</row>
    <row r="218" ht="13.5" customHeight="1">
      <c r="A218" s="66"/>
      <c r="B218" s="144"/>
      <c r="C218" s="83"/>
      <c r="D218" s="83"/>
      <c r="E218" s="83"/>
      <c r="F218" s="83"/>
      <c r="G218" s="83"/>
      <c r="H218" s="83"/>
      <c r="I218" s="110"/>
      <c r="J218" s="83"/>
      <c r="K218" s="83"/>
      <c r="L218" s="83"/>
      <c r="M218" s="83"/>
      <c r="N218" s="83"/>
      <c r="O218" s="98"/>
      <c r="P218" s="83"/>
      <c r="Q218" s="83"/>
      <c r="R218" s="98"/>
      <c r="S218" s="82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</row>
    <row r="219" ht="13.5" customHeight="1">
      <c r="A219" s="66"/>
      <c r="B219" s="144"/>
      <c r="C219" s="83"/>
      <c r="D219" s="83"/>
      <c r="E219" s="83"/>
      <c r="F219" s="83"/>
      <c r="G219" s="83"/>
      <c r="H219" s="83"/>
      <c r="I219" s="110"/>
      <c r="J219" s="83"/>
      <c r="K219" s="83"/>
      <c r="L219" s="83"/>
      <c r="M219" s="83"/>
      <c r="N219" s="83"/>
      <c r="O219" s="98"/>
      <c r="P219" s="83"/>
      <c r="Q219" s="83"/>
      <c r="R219" s="98"/>
      <c r="S219" s="82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</row>
    <row r="220" ht="13.5" customHeight="1">
      <c r="A220" s="66"/>
      <c r="B220" s="144"/>
      <c r="C220" s="83"/>
      <c r="D220" s="83"/>
      <c r="E220" s="83"/>
      <c r="F220" s="83"/>
      <c r="G220" s="83"/>
      <c r="H220" s="83"/>
      <c r="I220" s="110"/>
      <c r="J220" s="83"/>
      <c r="K220" s="83"/>
      <c r="L220" s="83"/>
      <c r="M220" s="83"/>
      <c r="N220" s="83"/>
      <c r="O220" s="98"/>
      <c r="P220" s="83"/>
      <c r="Q220" s="83"/>
      <c r="R220" s="98"/>
      <c r="S220" s="82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</row>
    <row r="221" ht="13.5" customHeight="1">
      <c r="A221" s="66"/>
      <c r="B221" s="144"/>
      <c r="C221" s="83"/>
      <c r="D221" s="83"/>
      <c r="E221" s="83"/>
      <c r="F221" s="83"/>
      <c r="G221" s="83"/>
      <c r="H221" s="83"/>
      <c r="I221" s="110"/>
      <c r="J221" s="83"/>
      <c r="K221" s="83"/>
      <c r="L221" s="83"/>
      <c r="M221" s="83"/>
      <c r="N221" s="83"/>
      <c r="O221" s="98"/>
      <c r="P221" s="83"/>
      <c r="Q221" s="83"/>
      <c r="R221" s="98"/>
      <c r="S221" s="82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</row>
    <row r="222" ht="13.5" customHeight="1">
      <c r="A222" s="66"/>
      <c r="B222" s="144"/>
      <c r="C222" s="83"/>
      <c r="D222" s="83"/>
      <c r="E222" s="83"/>
      <c r="F222" s="83"/>
      <c r="G222" s="83"/>
      <c r="H222" s="83"/>
      <c r="I222" s="110"/>
      <c r="J222" s="83"/>
      <c r="K222" s="83"/>
      <c r="L222" s="83"/>
      <c r="M222" s="83"/>
      <c r="N222" s="83"/>
      <c r="O222" s="98"/>
      <c r="P222" s="83"/>
      <c r="Q222" s="83"/>
      <c r="R222" s="98"/>
      <c r="S222" s="82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</row>
    <row r="223" ht="13.5" customHeight="1">
      <c r="A223" s="66"/>
      <c r="B223" s="144"/>
      <c r="C223" s="83"/>
      <c r="D223" s="83"/>
      <c r="E223" s="83"/>
      <c r="F223" s="83"/>
      <c r="G223" s="83"/>
      <c r="H223" s="83"/>
      <c r="I223" s="110"/>
      <c r="J223" s="83"/>
      <c r="K223" s="83"/>
      <c r="L223" s="83"/>
      <c r="M223" s="83"/>
      <c r="N223" s="83"/>
      <c r="O223" s="98"/>
      <c r="P223" s="83"/>
      <c r="Q223" s="83"/>
      <c r="R223" s="98"/>
      <c r="S223" s="82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</row>
    <row r="224" ht="13.5" customHeight="1">
      <c r="A224" s="66"/>
      <c r="B224" s="144"/>
      <c r="C224" s="83"/>
      <c r="D224" s="83"/>
      <c r="E224" s="83"/>
      <c r="F224" s="83"/>
      <c r="G224" s="83"/>
      <c r="H224" s="83"/>
      <c r="I224" s="110"/>
      <c r="J224" s="83"/>
      <c r="K224" s="83"/>
      <c r="L224" s="83"/>
      <c r="M224" s="83"/>
      <c r="N224" s="83"/>
      <c r="O224" s="98"/>
      <c r="P224" s="83"/>
      <c r="Q224" s="83"/>
      <c r="R224" s="98"/>
      <c r="S224" s="82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</row>
    <row r="225" ht="13.5" customHeight="1">
      <c r="A225" s="66"/>
      <c r="B225" s="144"/>
      <c r="C225" s="83"/>
      <c r="D225" s="83"/>
      <c r="E225" s="83"/>
      <c r="F225" s="83"/>
      <c r="G225" s="83"/>
      <c r="H225" s="83"/>
      <c r="I225" s="110"/>
      <c r="J225" s="83"/>
      <c r="K225" s="83"/>
      <c r="L225" s="83"/>
      <c r="M225" s="83"/>
      <c r="N225" s="83"/>
      <c r="O225" s="98"/>
      <c r="P225" s="83"/>
      <c r="Q225" s="83"/>
      <c r="R225" s="98"/>
      <c r="S225" s="82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</row>
    <row r="226" ht="13.5" customHeight="1">
      <c r="A226" s="66"/>
      <c r="B226" s="144"/>
      <c r="C226" s="83"/>
      <c r="D226" s="83"/>
      <c r="E226" s="83"/>
      <c r="F226" s="83"/>
      <c r="G226" s="83"/>
      <c r="H226" s="83"/>
      <c r="I226" s="110"/>
      <c r="J226" s="83"/>
      <c r="K226" s="83"/>
      <c r="L226" s="83"/>
      <c r="M226" s="83"/>
      <c r="N226" s="83"/>
      <c r="O226" s="98"/>
      <c r="P226" s="83"/>
      <c r="Q226" s="83"/>
      <c r="R226" s="98"/>
      <c r="S226" s="82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</row>
    <row r="227" ht="13.5" customHeight="1">
      <c r="A227" s="66"/>
      <c r="B227" s="144"/>
      <c r="C227" s="83"/>
      <c r="D227" s="83"/>
      <c r="E227" s="83"/>
      <c r="F227" s="83"/>
      <c r="G227" s="83"/>
      <c r="H227" s="83"/>
      <c r="I227" s="110"/>
      <c r="J227" s="83"/>
      <c r="K227" s="83"/>
      <c r="L227" s="83"/>
      <c r="M227" s="83"/>
      <c r="N227" s="83"/>
      <c r="O227" s="98"/>
      <c r="P227" s="83"/>
      <c r="Q227" s="83"/>
      <c r="R227" s="98"/>
      <c r="S227" s="82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</row>
    <row r="228" ht="13.5" customHeight="1">
      <c r="A228" s="66"/>
      <c r="B228" s="144"/>
      <c r="C228" s="83"/>
      <c r="D228" s="83"/>
      <c r="E228" s="83"/>
      <c r="F228" s="83"/>
      <c r="G228" s="83"/>
      <c r="H228" s="83"/>
      <c r="I228" s="110"/>
      <c r="J228" s="83"/>
      <c r="K228" s="83"/>
      <c r="L228" s="83"/>
      <c r="M228" s="83"/>
      <c r="N228" s="83"/>
      <c r="O228" s="98"/>
      <c r="P228" s="83"/>
      <c r="Q228" s="83"/>
      <c r="R228" s="98"/>
      <c r="S228" s="82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</row>
    <row r="229" ht="13.5" customHeight="1">
      <c r="A229" s="66"/>
      <c r="B229" s="144"/>
      <c r="C229" s="83"/>
      <c r="D229" s="83"/>
      <c r="E229" s="83"/>
      <c r="F229" s="83"/>
      <c r="G229" s="83"/>
      <c r="H229" s="83"/>
      <c r="I229" s="110"/>
      <c r="J229" s="83"/>
      <c r="K229" s="83"/>
      <c r="L229" s="83"/>
      <c r="M229" s="83"/>
      <c r="N229" s="83"/>
      <c r="O229" s="98"/>
      <c r="P229" s="83"/>
      <c r="Q229" s="83"/>
      <c r="R229" s="98"/>
      <c r="S229" s="82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</row>
    <row r="230" ht="13.5" customHeight="1">
      <c r="A230" s="66"/>
      <c r="B230" s="144"/>
      <c r="C230" s="83"/>
      <c r="D230" s="83"/>
      <c r="E230" s="83"/>
      <c r="F230" s="83"/>
      <c r="G230" s="83"/>
      <c r="H230" s="83"/>
      <c r="I230" s="110"/>
      <c r="J230" s="83"/>
      <c r="K230" s="83"/>
      <c r="L230" s="83"/>
      <c r="M230" s="83"/>
      <c r="N230" s="83"/>
      <c r="O230" s="98"/>
      <c r="P230" s="83"/>
      <c r="Q230" s="83"/>
      <c r="R230" s="98"/>
      <c r="S230" s="82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</row>
    <row r="231" ht="13.5" customHeight="1">
      <c r="A231" s="66"/>
      <c r="B231" s="144"/>
      <c r="C231" s="83"/>
      <c r="D231" s="83"/>
      <c r="E231" s="83"/>
      <c r="F231" s="83"/>
      <c r="G231" s="83"/>
      <c r="H231" s="83"/>
      <c r="I231" s="110"/>
      <c r="J231" s="83"/>
      <c r="K231" s="83"/>
      <c r="L231" s="83"/>
      <c r="M231" s="83"/>
      <c r="N231" s="83"/>
      <c r="O231" s="98"/>
      <c r="P231" s="83"/>
      <c r="Q231" s="83"/>
      <c r="R231" s="98"/>
      <c r="S231" s="82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</row>
    <row r="232" ht="13.5" customHeight="1">
      <c r="A232" s="66"/>
      <c r="B232" s="144"/>
      <c r="C232" s="83"/>
      <c r="D232" s="83"/>
      <c r="E232" s="83"/>
      <c r="F232" s="83"/>
      <c r="G232" s="83"/>
      <c r="H232" s="83"/>
      <c r="I232" s="110"/>
      <c r="J232" s="83"/>
      <c r="K232" s="83"/>
      <c r="L232" s="83"/>
      <c r="M232" s="83"/>
      <c r="N232" s="83"/>
      <c r="O232" s="98"/>
      <c r="P232" s="83"/>
      <c r="Q232" s="83"/>
      <c r="R232" s="98"/>
      <c r="S232" s="82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</row>
    <row r="233" ht="13.5" customHeight="1">
      <c r="A233" s="66"/>
      <c r="B233" s="144"/>
      <c r="C233" s="83"/>
      <c r="D233" s="83"/>
      <c r="E233" s="83"/>
      <c r="F233" s="83"/>
      <c r="G233" s="83"/>
      <c r="H233" s="83"/>
      <c r="I233" s="110"/>
      <c r="J233" s="83"/>
      <c r="K233" s="83"/>
      <c r="L233" s="83"/>
      <c r="M233" s="83"/>
      <c r="N233" s="83"/>
      <c r="O233" s="98"/>
      <c r="P233" s="83"/>
      <c r="Q233" s="83"/>
      <c r="R233" s="98"/>
      <c r="S233" s="82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</row>
    <row r="234" ht="13.5" customHeight="1">
      <c r="A234" s="66"/>
      <c r="B234" s="144"/>
      <c r="C234" s="83"/>
      <c r="D234" s="83"/>
      <c r="E234" s="83"/>
      <c r="F234" s="83"/>
      <c r="G234" s="83"/>
      <c r="H234" s="83"/>
      <c r="I234" s="110"/>
      <c r="J234" s="83"/>
      <c r="K234" s="83"/>
      <c r="L234" s="83"/>
      <c r="M234" s="83"/>
      <c r="N234" s="83"/>
      <c r="O234" s="98"/>
      <c r="P234" s="83"/>
      <c r="Q234" s="83"/>
      <c r="R234" s="98"/>
      <c r="S234" s="82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</row>
    <row r="235" ht="13.5" customHeight="1">
      <c r="A235" s="66"/>
      <c r="B235" s="144"/>
      <c r="C235" s="83"/>
      <c r="D235" s="83"/>
      <c r="E235" s="83"/>
      <c r="F235" s="83"/>
      <c r="G235" s="83"/>
      <c r="H235" s="83"/>
      <c r="I235" s="110"/>
      <c r="J235" s="83"/>
      <c r="K235" s="83"/>
      <c r="L235" s="83"/>
      <c r="M235" s="83"/>
      <c r="N235" s="83"/>
      <c r="O235" s="98"/>
      <c r="P235" s="83"/>
      <c r="Q235" s="83"/>
      <c r="R235" s="98"/>
      <c r="S235" s="82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</row>
    <row r="236" ht="13.5" customHeight="1">
      <c r="A236" s="66"/>
      <c r="B236" s="144"/>
      <c r="C236" s="83"/>
      <c r="D236" s="83"/>
      <c r="E236" s="83"/>
      <c r="F236" s="83"/>
      <c r="G236" s="83"/>
      <c r="H236" s="83"/>
      <c r="I236" s="110"/>
      <c r="J236" s="83"/>
      <c r="K236" s="83"/>
      <c r="L236" s="83"/>
      <c r="M236" s="83"/>
      <c r="N236" s="83"/>
      <c r="O236" s="98"/>
      <c r="P236" s="83"/>
      <c r="Q236" s="83"/>
      <c r="R236" s="98"/>
      <c r="S236" s="82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</row>
    <row r="237" ht="13.5" customHeight="1">
      <c r="A237" s="66"/>
      <c r="B237" s="144"/>
      <c r="C237" s="83"/>
      <c r="D237" s="83"/>
      <c r="E237" s="83"/>
      <c r="F237" s="83"/>
      <c r="G237" s="83"/>
      <c r="H237" s="83"/>
      <c r="I237" s="110"/>
      <c r="J237" s="83"/>
      <c r="K237" s="83"/>
      <c r="L237" s="83"/>
      <c r="M237" s="83"/>
      <c r="N237" s="83"/>
      <c r="O237" s="98"/>
      <c r="P237" s="83"/>
      <c r="Q237" s="83"/>
      <c r="R237" s="98"/>
      <c r="S237" s="82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</row>
    <row r="238" ht="13.5" customHeight="1">
      <c r="A238" s="66"/>
      <c r="B238" s="144"/>
      <c r="C238" s="83"/>
      <c r="D238" s="83"/>
      <c r="E238" s="83"/>
      <c r="F238" s="83"/>
      <c r="G238" s="83"/>
      <c r="H238" s="83"/>
      <c r="I238" s="110"/>
      <c r="J238" s="83"/>
      <c r="K238" s="83"/>
      <c r="L238" s="83"/>
      <c r="M238" s="83"/>
      <c r="N238" s="83"/>
      <c r="O238" s="98"/>
      <c r="P238" s="83"/>
      <c r="Q238" s="83"/>
      <c r="R238" s="98"/>
      <c r="S238" s="82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</row>
    <row r="239" ht="13.5" customHeight="1">
      <c r="A239" s="66"/>
      <c r="B239" s="144"/>
      <c r="C239" s="83"/>
      <c r="D239" s="83"/>
      <c r="E239" s="83"/>
      <c r="F239" s="83"/>
      <c r="G239" s="83"/>
      <c r="H239" s="83"/>
      <c r="I239" s="110"/>
      <c r="J239" s="83"/>
      <c r="K239" s="83"/>
      <c r="L239" s="83"/>
      <c r="M239" s="83"/>
      <c r="N239" s="83"/>
      <c r="O239" s="98"/>
      <c r="P239" s="83"/>
      <c r="Q239" s="83"/>
      <c r="R239" s="98"/>
      <c r="S239" s="82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</row>
    <row r="240" ht="13.5" customHeight="1">
      <c r="A240" s="66"/>
      <c r="B240" s="144"/>
      <c r="C240" s="83"/>
      <c r="D240" s="83"/>
      <c r="E240" s="83"/>
      <c r="F240" s="83"/>
      <c r="G240" s="83"/>
      <c r="H240" s="83"/>
      <c r="I240" s="110"/>
      <c r="J240" s="83"/>
      <c r="K240" s="83"/>
      <c r="L240" s="83"/>
      <c r="M240" s="83"/>
      <c r="N240" s="83"/>
      <c r="O240" s="98"/>
      <c r="P240" s="83"/>
      <c r="Q240" s="83"/>
      <c r="R240" s="98"/>
      <c r="S240" s="82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</row>
    <row r="241" ht="13.5" customHeight="1">
      <c r="A241" s="66"/>
      <c r="B241" s="144"/>
      <c r="C241" s="83"/>
      <c r="D241" s="83"/>
      <c r="E241" s="83"/>
      <c r="F241" s="83"/>
      <c r="G241" s="83"/>
      <c r="H241" s="83"/>
      <c r="I241" s="110"/>
      <c r="J241" s="83"/>
      <c r="K241" s="83"/>
      <c r="L241" s="83"/>
      <c r="M241" s="83"/>
      <c r="N241" s="83"/>
      <c r="O241" s="98"/>
      <c r="P241" s="83"/>
      <c r="Q241" s="83"/>
      <c r="R241" s="98"/>
      <c r="S241" s="82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</row>
    <row r="242" ht="13.5" customHeight="1">
      <c r="A242" s="66"/>
      <c r="B242" s="144"/>
      <c r="C242" s="83"/>
      <c r="D242" s="83"/>
      <c r="E242" s="83"/>
      <c r="F242" s="83"/>
      <c r="G242" s="83"/>
      <c r="H242" s="83"/>
      <c r="I242" s="110"/>
      <c r="J242" s="83"/>
      <c r="K242" s="83"/>
      <c r="L242" s="83"/>
      <c r="M242" s="83"/>
      <c r="N242" s="83"/>
      <c r="O242" s="98"/>
      <c r="P242" s="83"/>
      <c r="Q242" s="83"/>
      <c r="R242" s="98"/>
      <c r="S242" s="82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</row>
    <row r="243" ht="13.5" customHeight="1">
      <c r="A243" s="66"/>
      <c r="B243" s="144"/>
      <c r="C243" s="83"/>
      <c r="D243" s="83"/>
      <c r="E243" s="83"/>
      <c r="F243" s="83"/>
      <c r="G243" s="83"/>
      <c r="H243" s="83"/>
      <c r="I243" s="110"/>
      <c r="J243" s="83"/>
      <c r="K243" s="83"/>
      <c r="L243" s="83"/>
      <c r="M243" s="83"/>
      <c r="N243" s="83"/>
      <c r="O243" s="98"/>
      <c r="P243" s="83"/>
      <c r="Q243" s="83"/>
      <c r="R243" s="98"/>
      <c r="S243" s="82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</row>
    <row r="244" ht="13.5" customHeight="1">
      <c r="A244" s="66"/>
      <c r="B244" s="144"/>
      <c r="C244" s="83"/>
      <c r="D244" s="83"/>
      <c r="E244" s="83"/>
      <c r="F244" s="83"/>
      <c r="G244" s="83"/>
      <c r="H244" s="83"/>
      <c r="I244" s="110"/>
      <c r="J244" s="83"/>
      <c r="K244" s="83"/>
      <c r="L244" s="83"/>
      <c r="M244" s="83"/>
      <c r="N244" s="83"/>
      <c r="O244" s="98"/>
      <c r="P244" s="83"/>
      <c r="Q244" s="83"/>
      <c r="R244" s="98"/>
      <c r="S244" s="82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</row>
    <row r="245" ht="13.5" customHeight="1">
      <c r="A245" s="66"/>
      <c r="B245" s="144"/>
      <c r="C245" s="83"/>
      <c r="D245" s="83"/>
      <c r="E245" s="83"/>
      <c r="F245" s="83"/>
      <c r="G245" s="83"/>
      <c r="H245" s="83"/>
      <c r="I245" s="110"/>
      <c r="J245" s="83"/>
      <c r="K245" s="83"/>
      <c r="L245" s="83"/>
      <c r="M245" s="83"/>
      <c r="N245" s="83"/>
      <c r="O245" s="98"/>
      <c r="P245" s="83"/>
      <c r="Q245" s="83"/>
      <c r="R245" s="98"/>
      <c r="S245" s="82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</row>
    <row r="246" ht="13.5" customHeight="1">
      <c r="A246" s="66"/>
      <c r="B246" s="144"/>
      <c r="C246" s="83"/>
      <c r="D246" s="83"/>
      <c r="E246" s="83"/>
      <c r="F246" s="83"/>
      <c r="G246" s="83"/>
      <c r="H246" s="83"/>
      <c r="I246" s="110"/>
      <c r="J246" s="83"/>
      <c r="K246" s="83"/>
      <c r="L246" s="83"/>
      <c r="M246" s="83"/>
      <c r="N246" s="83"/>
      <c r="O246" s="98"/>
      <c r="P246" s="83"/>
      <c r="Q246" s="83"/>
      <c r="R246" s="98"/>
      <c r="S246" s="82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</row>
    <row r="247" ht="13.5" customHeight="1">
      <c r="A247" s="66"/>
      <c r="B247" s="144"/>
      <c r="C247" s="83"/>
      <c r="D247" s="83"/>
      <c r="E247" s="83"/>
      <c r="F247" s="83"/>
      <c r="G247" s="83"/>
      <c r="H247" s="83"/>
      <c r="I247" s="110"/>
      <c r="J247" s="83"/>
      <c r="K247" s="83"/>
      <c r="L247" s="83"/>
      <c r="M247" s="83"/>
      <c r="N247" s="83"/>
      <c r="O247" s="98"/>
      <c r="P247" s="83"/>
      <c r="Q247" s="83"/>
      <c r="R247" s="98"/>
      <c r="S247" s="82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</row>
    <row r="248" ht="13.5" customHeight="1">
      <c r="A248" s="66"/>
      <c r="B248" s="144"/>
      <c r="C248" s="83"/>
      <c r="D248" s="83"/>
      <c r="E248" s="83"/>
      <c r="F248" s="83"/>
      <c r="G248" s="83"/>
      <c r="H248" s="83"/>
      <c r="I248" s="110"/>
      <c r="J248" s="83"/>
      <c r="K248" s="83"/>
      <c r="L248" s="83"/>
      <c r="M248" s="83"/>
      <c r="N248" s="83"/>
      <c r="O248" s="98"/>
      <c r="P248" s="83"/>
      <c r="Q248" s="83"/>
      <c r="R248" s="98"/>
      <c r="S248" s="82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</row>
    <row r="249" ht="13.5" customHeight="1">
      <c r="A249" s="66"/>
      <c r="B249" s="144"/>
      <c r="C249" s="83"/>
      <c r="D249" s="83"/>
      <c r="E249" s="83"/>
      <c r="F249" s="83"/>
      <c r="G249" s="83"/>
      <c r="H249" s="83"/>
      <c r="I249" s="110"/>
      <c r="J249" s="83"/>
      <c r="K249" s="83"/>
      <c r="L249" s="83"/>
      <c r="M249" s="83"/>
      <c r="N249" s="83"/>
      <c r="O249" s="98"/>
      <c r="P249" s="83"/>
      <c r="Q249" s="83"/>
      <c r="R249" s="98"/>
      <c r="S249" s="82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</row>
    <row r="250" ht="13.5" customHeight="1">
      <c r="A250" s="66"/>
      <c r="B250" s="144"/>
      <c r="C250" s="83"/>
      <c r="D250" s="83"/>
      <c r="E250" s="83"/>
      <c r="F250" s="83"/>
      <c r="G250" s="83"/>
      <c r="H250" s="83"/>
      <c r="I250" s="110"/>
      <c r="J250" s="83"/>
      <c r="K250" s="83"/>
      <c r="L250" s="83"/>
      <c r="M250" s="83"/>
      <c r="N250" s="83"/>
      <c r="O250" s="98"/>
      <c r="P250" s="83"/>
      <c r="Q250" s="83"/>
      <c r="R250" s="98"/>
      <c r="S250" s="82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</row>
    <row r="251" ht="13.5" customHeight="1">
      <c r="A251" s="66"/>
      <c r="B251" s="144"/>
      <c r="C251" s="83"/>
      <c r="D251" s="83"/>
      <c r="E251" s="83"/>
      <c r="F251" s="83"/>
      <c r="G251" s="83"/>
      <c r="H251" s="83"/>
      <c r="I251" s="110"/>
      <c r="J251" s="83"/>
      <c r="K251" s="83"/>
      <c r="L251" s="83"/>
      <c r="M251" s="83"/>
      <c r="N251" s="83"/>
      <c r="O251" s="98"/>
      <c r="P251" s="83"/>
      <c r="Q251" s="83"/>
      <c r="R251" s="98"/>
      <c r="S251" s="82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</row>
    <row r="252" ht="13.5" customHeight="1">
      <c r="A252" s="66"/>
      <c r="B252" s="144"/>
      <c r="C252" s="83"/>
      <c r="D252" s="83"/>
      <c r="E252" s="83"/>
      <c r="F252" s="83"/>
      <c r="G252" s="83"/>
      <c r="H252" s="83"/>
      <c r="I252" s="110"/>
      <c r="J252" s="83"/>
      <c r="K252" s="83"/>
      <c r="L252" s="83"/>
      <c r="M252" s="83"/>
      <c r="N252" s="83"/>
      <c r="O252" s="98"/>
      <c r="P252" s="83"/>
      <c r="Q252" s="83"/>
      <c r="R252" s="98"/>
      <c r="S252" s="82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</row>
    <row r="253" ht="13.5" customHeight="1">
      <c r="A253" s="66"/>
      <c r="B253" s="144"/>
      <c r="C253" s="83"/>
      <c r="D253" s="83"/>
      <c r="E253" s="83"/>
      <c r="F253" s="83"/>
      <c r="G253" s="83"/>
      <c r="H253" s="83"/>
      <c r="I253" s="110"/>
      <c r="J253" s="83"/>
      <c r="K253" s="83"/>
      <c r="L253" s="83"/>
      <c r="M253" s="83"/>
      <c r="N253" s="83"/>
      <c r="O253" s="98"/>
      <c r="P253" s="83"/>
      <c r="Q253" s="83"/>
      <c r="R253" s="98"/>
      <c r="S253" s="82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</row>
    <row r="254" ht="13.5" customHeight="1">
      <c r="A254" s="66"/>
      <c r="B254" s="144"/>
      <c r="C254" s="83"/>
      <c r="D254" s="83"/>
      <c r="E254" s="83"/>
      <c r="F254" s="83"/>
      <c r="G254" s="83"/>
      <c r="H254" s="83"/>
      <c r="I254" s="110"/>
      <c r="J254" s="83"/>
      <c r="K254" s="83"/>
      <c r="L254" s="83"/>
      <c r="M254" s="83"/>
      <c r="N254" s="83"/>
      <c r="O254" s="98"/>
      <c r="P254" s="83"/>
      <c r="Q254" s="83"/>
      <c r="R254" s="98"/>
      <c r="S254" s="82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</row>
    <row r="255" ht="13.5" customHeight="1">
      <c r="A255" s="66"/>
      <c r="B255" s="144"/>
      <c r="C255" s="83"/>
      <c r="D255" s="83"/>
      <c r="E255" s="83"/>
      <c r="F255" s="83"/>
      <c r="G255" s="83"/>
      <c r="H255" s="83"/>
      <c r="I255" s="110"/>
      <c r="J255" s="83"/>
      <c r="K255" s="83"/>
      <c r="L255" s="83"/>
      <c r="M255" s="83"/>
      <c r="N255" s="83"/>
      <c r="O255" s="98"/>
      <c r="P255" s="83"/>
      <c r="Q255" s="83"/>
      <c r="R255" s="98"/>
      <c r="S255" s="82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</row>
    <row r="256" ht="13.5" customHeight="1">
      <c r="A256" s="66"/>
      <c r="B256" s="144"/>
      <c r="C256" s="83"/>
      <c r="D256" s="83"/>
      <c r="E256" s="83"/>
      <c r="F256" s="83"/>
      <c r="G256" s="83"/>
      <c r="H256" s="83"/>
      <c r="I256" s="110"/>
      <c r="J256" s="83"/>
      <c r="K256" s="83"/>
      <c r="L256" s="83"/>
      <c r="M256" s="83"/>
      <c r="N256" s="83"/>
      <c r="O256" s="98"/>
      <c r="P256" s="83"/>
      <c r="Q256" s="83"/>
      <c r="R256" s="98"/>
      <c r="S256" s="82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</row>
    <row r="257" ht="13.5" customHeight="1">
      <c r="A257" s="66"/>
      <c r="B257" s="144"/>
      <c r="C257" s="83"/>
      <c r="D257" s="83"/>
      <c r="E257" s="83"/>
      <c r="F257" s="83"/>
      <c r="G257" s="83"/>
      <c r="H257" s="83"/>
      <c r="I257" s="110"/>
      <c r="J257" s="83"/>
      <c r="K257" s="83"/>
      <c r="L257" s="83"/>
      <c r="M257" s="83"/>
      <c r="N257" s="83"/>
      <c r="O257" s="98"/>
      <c r="P257" s="83"/>
      <c r="Q257" s="83"/>
      <c r="R257" s="98"/>
      <c r="S257" s="82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</row>
    <row r="258" ht="13.5" customHeight="1">
      <c r="A258" s="66"/>
      <c r="B258" s="144"/>
      <c r="C258" s="83"/>
      <c r="D258" s="83"/>
      <c r="E258" s="83"/>
      <c r="F258" s="83"/>
      <c r="G258" s="83"/>
      <c r="H258" s="83"/>
      <c r="I258" s="110"/>
      <c r="J258" s="83"/>
      <c r="K258" s="83"/>
      <c r="L258" s="83"/>
      <c r="M258" s="83"/>
      <c r="N258" s="83"/>
      <c r="O258" s="98"/>
      <c r="P258" s="83"/>
      <c r="Q258" s="83"/>
      <c r="R258" s="98"/>
      <c r="S258" s="82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</row>
    <row r="259" ht="13.5" customHeight="1">
      <c r="A259" s="66"/>
      <c r="B259" s="144"/>
      <c r="C259" s="83"/>
      <c r="D259" s="83"/>
      <c r="E259" s="83"/>
      <c r="F259" s="83"/>
      <c r="G259" s="83"/>
      <c r="H259" s="83"/>
      <c r="I259" s="110"/>
      <c r="J259" s="83"/>
      <c r="K259" s="83"/>
      <c r="L259" s="83"/>
      <c r="M259" s="83"/>
      <c r="N259" s="83"/>
      <c r="O259" s="98"/>
      <c r="P259" s="83"/>
      <c r="Q259" s="83"/>
      <c r="R259" s="98"/>
      <c r="S259" s="82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</row>
    <row r="260" ht="13.5" customHeight="1">
      <c r="A260" s="66"/>
      <c r="B260" s="144"/>
      <c r="C260" s="83"/>
      <c r="D260" s="83"/>
      <c r="E260" s="83"/>
      <c r="F260" s="83"/>
      <c r="G260" s="83"/>
      <c r="H260" s="83"/>
      <c r="I260" s="110"/>
      <c r="J260" s="83"/>
      <c r="K260" s="83"/>
      <c r="L260" s="83"/>
      <c r="M260" s="83"/>
      <c r="N260" s="83"/>
      <c r="O260" s="98"/>
      <c r="P260" s="83"/>
      <c r="Q260" s="83"/>
      <c r="R260" s="98"/>
      <c r="S260" s="82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</row>
    <row r="261" ht="13.5" customHeight="1">
      <c r="A261" s="66"/>
      <c r="B261" s="144"/>
      <c r="C261" s="83"/>
      <c r="D261" s="83"/>
      <c r="E261" s="83"/>
      <c r="F261" s="83"/>
      <c r="G261" s="83"/>
      <c r="H261" s="83"/>
      <c r="I261" s="110"/>
      <c r="J261" s="83"/>
      <c r="K261" s="83"/>
      <c r="L261" s="83"/>
      <c r="M261" s="83"/>
      <c r="N261" s="83"/>
      <c r="O261" s="98"/>
      <c r="P261" s="83"/>
      <c r="Q261" s="83"/>
      <c r="R261" s="98"/>
      <c r="S261" s="82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</row>
    <row r="262" ht="13.5" customHeight="1">
      <c r="A262" s="66"/>
      <c r="B262" s="144"/>
      <c r="C262" s="83"/>
      <c r="D262" s="83"/>
      <c r="E262" s="83"/>
      <c r="F262" s="83"/>
      <c r="G262" s="83"/>
      <c r="H262" s="83"/>
      <c r="I262" s="110"/>
      <c r="J262" s="83"/>
      <c r="K262" s="83"/>
      <c r="L262" s="83"/>
      <c r="M262" s="83"/>
      <c r="N262" s="83"/>
      <c r="O262" s="98"/>
      <c r="P262" s="83"/>
      <c r="Q262" s="83"/>
      <c r="R262" s="98"/>
      <c r="S262" s="82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</row>
    <row r="263" ht="13.5" customHeight="1">
      <c r="A263" s="66"/>
      <c r="B263" s="144"/>
      <c r="C263" s="83"/>
      <c r="D263" s="83"/>
      <c r="E263" s="83"/>
      <c r="F263" s="83"/>
      <c r="G263" s="83"/>
      <c r="H263" s="83"/>
      <c r="I263" s="110"/>
      <c r="J263" s="83"/>
      <c r="K263" s="83"/>
      <c r="L263" s="83"/>
      <c r="M263" s="83"/>
      <c r="N263" s="83"/>
      <c r="O263" s="98"/>
      <c r="P263" s="83"/>
      <c r="Q263" s="83"/>
      <c r="R263" s="98"/>
      <c r="S263" s="82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</row>
    <row r="264" ht="13.5" customHeight="1">
      <c r="A264" s="66"/>
      <c r="B264" s="144"/>
      <c r="C264" s="83"/>
      <c r="D264" s="83"/>
      <c r="E264" s="83"/>
      <c r="F264" s="83"/>
      <c r="G264" s="83"/>
      <c r="H264" s="83"/>
      <c r="I264" s="110"/>
      <c r="J264" s="83"/>
      <c r="K264" s="83"/>
      <c r="L264" s="83"/>
      <c r="M264" s="83"/>
      <c r="N264" s="83"/>
      <c r="O264" s="98"/>
      <c r="P264" s="83"/>
      <c r="Q264" s="83"/>
      <c r="R264" s="98"/>
      <c r="S264" s="82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</row>
    <row r="265" ht="13.5" customHeight="1">
      <c r="A265" s="66"/>
      <c r="B265" s="144"/>
      <c r="C265" s="83"/>
      <c r="D265" s="83"/>
      <c r="E265" s="83"/>
      <c r="F265" s="83"/>
      <c r="G265" s="83"/>
      <c r="H265" s="83"/>
      <c r="I265" s="110"/>
      <c r="J265" s="83"/>
      <c r="K265" s="83"/>
      <c r="L265" s="83"/>
      <c r="M265" s="83"/>
      <c r="N265" s="83"/>
      <c r="O265" s="98"/>
      <c r="P265" s="83"/>
      <c r="Q265" s="83"/>
      <c r="R265" s="98"/>
      <c r="S265" s="82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</row>
    <row r="266" ht="13.5" customHeight="1">
      <c r="A266" s="66"/>
      <c r="B266" s="72"/>
      <c r="C266" s="66"/>
      <c r="D266" s="66"/>
      <c r="E266" s="66"/>
      <c r="F266" s="66"/>
      <c r="G266" s="66"/>
      <c r="H266" s="66"/>
      <c r="I266" s="148"/>
      <c r="J266" s="66"/>
      <c r="K266" s="66"/>
      <c r="L266" s="66"/>
      <c r="M266" s="66"/>
      <c r="N266" s="66"/>
      <c r="O266" s="70"/>
      <c r="P266" s="66"/>
      <c r="Q266" s="66"/>
      <c r="R266" s="70"/>
      <c r="S266" s="71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</row>
    <row r="267" ht="13.5" customHeight="1">
      <c r="A267" s="66"/>
      <c r="B267" s="72"/>
      <c r="C267" s="66"/>
      <c r="D267" s="66"/>
      <c r="E267" s="66"/>
      <c r="F267" s="66"/>
      <c r="G267" s="66"/>
      <c r="H267" s="66"/>
      <c r="I267" s="148"/>
      <c r="J267" s="66"/>
      <c r="K267" s="66"/>
      <c r="L267" s="66"/>
      <c r="M267" s="66"/>
      <c r="N267" s="66"/>
      <c r="O267" s="70"/>
      <c r="P267" s="66"/>
      <c r="Q267" s="66"/>
      <c r="R267" s="70"/>
      <c r="S267" s="71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</row>
    <row r="268" ht="13.5" customHeight="1">
      <c r="A268" s="66"/>
      <c r="B268" s="72"/>
      <c r="C268" s="66"/>
      <c r="D268" s="66"/>
      <c r="E268" s="66"/>
      <c r="F268" s="66"/>
      <c r="G268" s="66"/>
      <c r="H268" s="66"/>
      <c r="I268" s="148"/>
      <c r="J268" s="66"/>
      <c r="K268" s="66"/>
      <c r="L268" s="66"/>
      <c r="M268" s="66"/>
      <c r="N268" s="66"/>
      <c r="O268" s="70"/>
      <c r="P268" s="66"/>
      <c r="Q268" s="66"/>
      <c r="R268" s="70"/>
      <c r="S268" s="71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</row>
    <row r="269" ht="13.5" customHeight="1">
      <c r="A269" s="66"/>
      <c r="B269" s="72"/>
      <c r="C269" s="66"/>
      <c r="D269" s="66"/>
      <c r="E269" s="66"/>
      <c r="F269" s="66"/>
      <c r="G269" s="66"/>
      <c r="H269" s="66"/>
      <c r="I269" s="148"/>
      <c r="J269" s="66"/>
      <c r="K269" s="66"/>
      <c r="L269" s="66"/>
      <c r="M269" s="66"/>
      <c r="N269" s="66"/>
      <c r="O269" s="70"/>
      <c r="P269" s="66"/>
      <c r="Q269" s="66"/>
      <c r="R269" s="70"/>
      <c r="S269" s="71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</row>
    <row r="270" ht="13.5" customHeight="1">
      <c r="A270" s="66"/>
      <c r="B270" s="72"/>
      <c r="C270" s="66"/>
      <c r="D270" s="66"/>
      <c r="E270" s="66"/>
      <c r="F270" s="66"/>
      <c r="G270" s="66"/>
      <c r="H270" s="66"/>
      <c r="I270" s="148"/>
      <c r="J270" s="66"/>
      <c r="K270" s="66"/>
      <c r="L270" s="66"/>
      <c r="M270" s="66"/>
      <c r="N270" s="66"/>
      <c r="O270" s="70"/>
      <c r="P270" s="66"/>
      <c r="Q270" s="66"/>
      <c r="R270" s="70"/>
      <c r="S270" s="71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</row>
    <row r="271" ht="13.5" customHeight="1">
      <c r="A271" s="66"/>
      <c r="B271" s="72"/>
      <c r="C271" s="66"/>
      <c r="D271" s="66"/>
      <c r="E271" s="66"/>
      <c r="F271" s="66"/>
      <c r="G271" s="66"/>
      <c r="H271" s="66"/>
      <c r="I271" s="148"/>
      <c r="J271" s="66"/>
      <c r="K271" s="66"/>
      <c r="L271" s="66"/>
      <c r="M271" s="66"/>
      <c r="N271" s="66"/>
      <c r="O271" s="70"/>
      <c r="P271" s="66"/>
      <c r="Q271" s="66"/>
      <c r="R271" s="70"/>
      <c r="S271" s="71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</row>
    <row r="272" ht="13.5" customHeight="1">
      <c r="A272" s="66"/>
      <c r="B272" s="72"/>
      <c r="C272" s="66"/>
      <c r="D272" s="66"/>
      <c r="E272" s="66"/>
      <c r="F272" s="66"/>
      <c r="G272" s="66"/>
      <c r="H272" s="66"/>
      <c r="I272" s="148"/>
      <c r="J272" s="66"/>
      <c r="K272" s="66"/>
      <c r="L272" s="66"/>
      <c r="M272" s="66"/>
      <c r="N272" s="66"/>
      <c r="O272" s="70"/>
      <c r="P272" s="66"/>
      <c r="Q272" s="66"/>
      <c r="R272" s="70"/>
      <c r="S272" s="71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</row>
    <row r="273" ht="13.5" customHeight="1">
      <c r="A273" s="66"/>
      <c r="B273" s="72"/>
      <c r="C273" s="66"/>
      <c r="D273" s="66"/>
      <c r="E273" s="66"/>
      <c r="F273" s="66"/>
      <c r="G273" s="66"/>
      <c r="H273" s="66"/>
      <c r="I273" s="148"/>
      <c r="J273" s="66"/>
      <c r="K273" s="66"/>
      <c r="L273" s="66"/>
      <c r="M273" s="66"/>
      <c r="N273" s="66"/>
      <c r="O273" s="70"/>
      <c r="P273" s="66"/>
      <c r="Q273" s="66"/>
      <c r="R273" s="70"/>
      <c r="S273" s="71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</row>
    <row r="274" ht="13.5" customHeight="1">
      <c r="A274" s="66"/>
      <c r="B274" s="72"/>
      <c r="C274" s="66"/>
      <c r="D274" s="66"/>
      <c r="E274" s="66"/>
      <c r="F274" s="66"/>
      <c r="G274" s="66"/>
      <c r="H274" s="66"/>
      <c r="I274" s="148"/>
      <c r="J274" s="66"/>
      <c r="K274" s="66"/>
      <c r="L274" s="66"/>
      <c r="M274" s="66"/>
      <c r="N274" s="66"/>
      <c r="O274" s="70"/>
      <c r="P274" s="66"/>
      <c r="Q274" s="66"/>
      <c r="R274" s="70"/>
      <c r="S274" s="71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</row>
    <row r="275" ht="13.5" customHeight="1">
      <c r="A275" s="66"/>
      <c r="B275" s="72"/>
      <c r="C275" s="66"/>
      <c r="D275" s="66"/>
      <c r="E275" s="66"/>
      <c r="F275" s="66"/>
      <c r="G275" s="66"/>
      <c r="H275" s="66"/>
      <c r="I275" s="148"/>
      <c r="J275" s="66"/>
      <c r="K275" s="66"/>
      <c r="L275" s="66"/>
      <c r="M275" s="66"/>
      <c r="N275" s="66"/>
      <c r="O275" s="70"/>
      <c r="P275" s="66"/>
      <c r="Q275" s="66"/>
      <c r="R275" s="70"/>
      <c r="S275" s="71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</row>
    <row r="276" ht="13.5" customHeight="1">
      <c r="A276" s="66"/>
      <c r="B276" s="72"/>
      <c r="C276" s="66"/>
      <c r="D276" s="66"/>
      <c r="E276" s="66"/>
      <c r="F276" s="66"/>
      <c r="G276" s="66"/>
      <c r="H276" s="66"/>
      <c r="I276" s="148"/>
      <c r="J276" s="66"/>
      <c r="K276" s="66"/>
      <c r="L276" s="66"/>
      <c r="M276" s="66"/>
      <c r="N276" s="66"/>
      <c r="O276" s="70"/>
      <c r="P276" s="66"/>
      <c r="Q276" s="66"/>
      <c r="R276" s="70"/>
      <c r="S276" s="71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</row>
    <row r="277" ht="13.5" customHeight="1">
      <c r="A277" s="66"/>
      <c r="B277" s="72"/>
      <c r="C277" s="66"/>
      <c r="D277" s="66"/>
      <c r="E277" s="66"/>
      <c r="F277" s="66"/>
      <c r="G277" s="66"/>
      <c r="H277" s="66"/>
      <c r="I277" s="148"/>
      <c r="J277" s="66"/>
      <c r="K277" s="66"/>
      <c r="L277" s="66"/>
      <c r="M277" s="66"/>
      <c r="N277" s="66"/>
      <c r="O277" s="70"/>
      <c r="P277" s="66"/>
      <c r="Q277" s="66"/>
      <c r="R277" s="70"/>
      <c r="S277" s="71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</row>
    <row r="278" ht="13.5" customHeight="1">
      <c r="A278" s="66"/>
      <c r="B278" s="72"/>
      <c r="C278" s="66"/>
      <c r="D278" s="66"/>
      <c r="E278" s="66"/>
      <c r="F278" s="66"/>
      <c r="G278" s="66"/>
      <c r="H278" s="66"/>
      <c r="I278" s="148"/>
      <c r="J278" s="66"/>
      <c r="K278" s="66"/>
      <c r="L278" s="66"/>
      <c r="M278" s="66"/>
      <c r="N278" s="66"/>
      <c r="O278" s="70"/>
      <c r="P278" s="66"/>
      <c r="Q278" s="66"/>
      <c r="R278" s="70"/>
      <c r="S278" s="71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</row>
    <row r="279" ht="13.5" customHeight="1">
      <c r="A279" s="66"/>
      <c r="B279" s="72"/>
      <c r="C279" s="66"/>
      <c r="D279" s="66"/>
      <c r="E279" s="66"/>
      <c r="F279" s="66"/>
      <c r="G279" s="66"/>
      <c r="H279" s="66"/>
      <c r="I279" s="148"/>
      <c r="J279" s="66"/>
      <c r="K279" s="66"/>
      <c r="L279" s="66"/>
      <c r="M279" s="66"/>
      <c r="N279" s="66"/>
      <c r="O279" s="70"/>
      <c r="P279" s="66"/>
      <c r="Q279" s="66"/>
      <c r="R279" s="70"/>
      <c r="S279" s="71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</row>
    <row r="280" ht="13.5" customHeight="1">
      <c r="A280" s="66"/>
      <c r="B280" s="72"/>
      <c r="C280" s="66"/>
      <c r="D280" s="66"/>
      <c r="E280" s="66"/>
      <c r="F280" s="66"/>
      <c r="G280" s="66"/>
      <c r="H280" s="66"/>
      <c r="I280" s="148"/>
      <c r="J280" s="66"/>
      <c r="K280" s="66"/>
      <c r="L280" s="66"/>
      <c r="M280" s="66"/>
      <c r="N280" s="66"/>
      <c r="O280" s="70"/>
      <c r="P280" s="66"/>
      <c r="Q280" s="66"/>
      <c r="R280" s="70"/>
      <c r="S280" s="71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</row>
    <row r="281" ht="13.5" customHeight="1">
      <c r="A281" s="66"/>
      <c r="B281" s="72"/>
      <c r="C281" s="66"/>
      <c r="D281" s="66"/>
      <c r="E281" s="66"/>
      <c r="F281" s="66"/>
      <c r="G281" s="66"/>
      <c r="H281" s="66"/>
      <c r="I281" s="148"/>
      <c r="J281" s="66"/>
      <c r="K281" s="66"/>
      <c r="L281" s="66"/>
      <c r="M281" s="66"/>
      <c r="N281" s="66"/>
      <c r="O281" s="70"/>
      <c r="P281" s="66"/>
      <c r="Q281" s="66"/>
      <c r="R281" s="70"/>
      <c r="S281" s="71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</row>
    <row r="282" ht="13.5" customHeight="1">
      <c r="A282" s="66"/>
      <c r="B282" s="72"/>
      <c r="C282" s="66"/>
      <c r="D282" s="66"/>
      <c r="E282" s="66"/>
      <c r="F282" s="66"/>
      <c r="G282" s="66"/>
      <c r="H282" s="66"/>
      <c r="I282" s="148"/>
      <c r="J282" s="66"/>
      <c r="K282" s="66"/>
      <c r="L282" s="66"/>
      <c r="M282" s="66"/>
      <c r="N282" s="66"/>
      <c r="O282" s="70"/>
      <c r="P282" s="66"/>
      <c r="Q282" s="66"/>
      <c r="R282" s="70"/>
      <c r="S282" s="71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</row>
    <row r="283" ht="13.5" customHeight="1">
      <c r="A283" s="66"/>
      <c r="B283" s="72"/>
      <c r="C283" s="66"/>
      <c r="D283" s="66"/>
      <c r="E283" s="66"/>
      <c r="F283" s="66"/>
      <c r="G283" s="66"/>
      <c r="H283" s="66"/>
      <c r="I283" s="148"/>
      <c r="J283" s="66"/>
      <c r="K283" s="66"/>
      <c r="L283" s="66"/>
      <c r="M283" s="66"/>
      <c r="N283" s="66"/>
      <c r="O283" s="70"/>
      <c r="P283" s="66"/>
      <c r="Q283" s="66"/>
      <c r="R283" s="70"/>
      <c r="S283" s="71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</row>
    <row r="284" ht="13.5" customHeight="1">
      <c r="A284" s="66"/>
      <c r="B284" s="72"/>
      <c r="C284" s="66"/>
      <c r="D284" s="66"/>
      <c r="E284" s="66"/>
      <c r="F284" s="66"/>
      <c r="G284" s="66"/>
      <c r="H284" s="66"/>
      <c r="I284" s="148"/>
      <c r="J284" s="66"/>
      <c r="K284" s="66"/>
      <c r="L284" s="66"/>
      <c r="M284" s="66"/>
      <c r="N284" s="66"/>
      <c r="O284" s="70"/>
      <c r="P284" s="66"/>
      <c r="Q284" s="66"/>
      <c r="R284" s="70"/>
      <c r="S284" s="71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</row>
    <row r="285" ht="13.5" customHeight="1">
      <c r="A285" s="66"/>
      <c r="B285" s="72"/>
      <c r="C285" s="66"/>
      <c r="D285" s="66"/>
      <c r="E285" s="66"/>
      <c r="F285" s="66"/>
      <c r="G285" s="66"/>
      <c r="H285" s="66"/>
      <c r="I285" s="148"/>
      <c r="J285" s="66"/>
      <c r="K285" s="66"/>
      <c r="L285" s="66"/>
      <c r="M285" s="66"/>
      <c r="N285" s="66"/>
      <c r="O285" s="70"/>
      <c r="P285" s="66"/>
      <c r="Q285" s="66"/>
      <c r="R285" s="70"/>
      <c r="S285" s="71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</row>
    <row r="286" ht="13.5" customHeight="1">
      <c r="A286" s="66"/>
      <c r="B286" s="72"/>
      <c r="C286" s="66"/>
      <c r="D286" s="66"/>
      <c r="E286" s="66"/>
      <c r="F286" s="66"/>
      <c r="G286" s="66"/>
      <c r="H286" s="66"/>
      <c r="I286" s="148"/>
      <c r="J286" s="66"/>
      <c r="K286" s="66"/>
      <c r="L286" s="66"/>
      <c r="M286" s="66"/>
      <c r="N286" s="66"/>
      <c r="O286" s="70"/>
      <c r="P286" s="66"/>
      <c r="Q286" s="66"/>
      <c r="R286" s="70"/>
      <c r="S286" s="71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</row>
    <row r="287" ht="13.5" customHeight="1">
      <c r="A287" s="66"/>
      <c r="B287" s="72"/>
      <c r="C287" s="66"/>
      <c r="D287" s="66"/>
      <c r="E287" s="66"/>
      <c r="F287" s="66"/>
      <c r="G287" s="66"/>
      <c r="H287" s="66"/>
      <c r="I287" s="148"/>
      <c r="J287" s="66"/>
      <c r="K287" s="66"/>
      <c r="L287" s="66"/>
      <c r="M287" s="66"/>
      <c r="N287" s="66"/>
      <c r="O287" s="70"/>
      <c r="P287" s="66"/>
      <c r="Q287" s="66"/>
      <c r="R287" s="70"/>
      <c r="S287" s="71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</row>
    <row r="288" ht="13.5" customHeight="1">
      <c r="A288" s="66"/>
      <c r="B288" s="72"/>
      <c r="C288" s="66"/>
      <c r="D288" s="66"/>
      <c r="E288" s="66"/>
      <c r="F288" s="66"/>
      <c r="G288" s="66"/>
      <c r="H288" s="66"/>
      <c r="I288" s="148"/>
      <c r="J288" s="66"/>
      <c r="K288" s="66"/>
      <c r="L288" s="66"/>
      <c r="M288" s="66"/>
      <c r="N288" s="66"/>
      <c r="O288" s="70"/>
      <c r="P288" s="66"/>
      <c r="Q288" s="66"/>
      <c r="R288" s="70"/>
      <c r="S288" s="71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</row>
    <row r="289" ht="13.5" customHeight="1">
      <c r="A289" s="66"/>
      <c r="B289" s="72"/>
      <c r="C289" s="66"/>
      <c r="D289" s="66"/>
      <c r="E289" s="66"/>
      <c r="F289" s="66"/>
      <c r="G289" s="66"/>
      <c r="H289" s="66"/>
      <c r="I289" s="148"/>
      <c r="J289" s="66"/>
      <c r="K289" s="66"/>
      <c r="L289" s="66"/>
      <c r="M289" s="66"/>
      <c r="N289" s="66"/>
      <c r="O289" s="70"/>
      <c r="P289" s="66"/>
      <c r="Q289" s="66"/>
      <c r="R289" s="70"/>
      <c r="S289" s="71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</row>
    <row r="290" ht="13.5" customHeight="1">
      <c r="A290" s="66"/>
      <c r="B290" s="72"/>
      <c r="C290" s="66"/>
      <c r="D290" s="66"/>
      <c r="E290" s="66"/>
      <c r="F290" s="66"/>
      <c r="G290" s="66"/>
      <c r="H290" s="66"/>
      <c r="I290" s="148"/>
      <c r="J290" s="66"/>
      <c r="K290" s="66"/>
      <c r="L290" s="66"/>
      <c r="M290" s="66"/>
      <c r="N290" s="66"/>
      <c r="O290" s="70"/>
      <c r="P290" s="66"/>
      <c r="Q290" s="66"/>
      <c r="R290" s="70"/>
      <c r="S290" s="71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</row>
    <row r="291" ht="13.5" customHeight="1">
      <c r="A291" s="66"/>
      <c r="B291" s="72"/>
      <c r="C291" s="66"/>
      <c r="D291" s="66"/>
      <c r="E291" s="66"/>
      <c r="F291" s="66"/>
      <c r="G291" s="66"/>
      <c r="H291" s="66"/>
      <c r="I291" s="148"/>
      <c r="J291" s="66"/>
      <c r="K291" s="66"/>
      <c r="L291" s="66"/>
      <c r="M291" s="66"/>
      <c r="N291" s="66"/>
      <c r="O291" s="70"/>
      <c r="P291" s="66"/>
      <c r="Q291" s="66"/>
      <c r="R291" s="70"/>
      <c r="S291" s="71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</row>
    <row r="292" ht="13.5" customHeight="1">
      <c r="A292" s="66"/>
      <c r="B292" s="72"/>
      <c r="C292" s="66"/>
      <c r="D292" s="66"/>
      <c r="E292" s="66"/>
      <c r="F292" s="66"/>
      <c r="G292" s="66"/>
      <c r="H292" s="66"/>
      <c r="I292" s="148"/>
      <c r="J292" s="66"/>
      <c r="K292" s="66"/>
      <c r="L292" s="66"/>
      <c r="M292" s="66"/>
      <c r="N292" s="66"/>
      <c r="O292" s="70"/>
      <c r="P292" s="66"/>
      <c r="Q292" s="66"/>
      <c r="R292" s="70"/>
      <c r="S292" s="71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</row>
    <row r="293" ht="13.5" customHeight="1">
      <c r="A293" s="66"/>
      <c r="B293" s="72"/>
      <c r="C293" s="66"/>
      <c r="D293" s="66"/>
      <c r="E293" s="66"/>
      <c r="F293" s="66"/>
      <c r="G293" s="66"/>
      <c r="H293" s="66"/>
      <c r="I293" s="148"/>
      <c r="J293" s="66"/>
      <c r="K293" s="66"/>
      <c r="L293" s="66"/>
      <c r="M293" s="66"/>
      <c r="N293" s="66"/>
      <c r="O293" s="70"/>
      <c r="P293" s="66"/>
      <c r="Q293" s="66"/>
      <c r="R293" s="70"/>
      <c r="S293" s="71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</row>
    <row r="294" ht="13.5" customHeight="1">
      <c r="A294" s="66"/>
      <c r="B294" s="72"/>
      <c r="C294" s="66"/>
      <c r="D294" s="66"/>
      <c r="E294" s="66"/>
      <c r="F294" s="66"/>
      <c r="G294" s="66"/>
      <c r="H294" s="66"/>
      <c r="I294" s="148"/>
      <c r="J294" s="66"/>
      <c r="K294" s="66"/>
      <c r="L294" s="66"/>
      <c r="M294" s="66"/>
      <c r="N294" s="66"/>
      <c r="O294" s="70"/>
      <c r="P294" s="66"/>
      <c r="Q294" s="66"/>
      <c r="R294" s="70"/>
      <c r="S294" s="71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</row>
    <row r="295" ht="13.5" customHeight="1">
      <c r="A295" s="66"/>
      <c r="B295" s="72"/>
      <c r="C295" s="66"/>
      <c r="D295" s="66"/>
      <c r="E295" s="66"/>
      <c r="F295" s="66"/>
      <c r="G295" s="66"/>
      <c r="H295" s="66"/>
      <c r="I295" s="148"/>
      <c r="J295" s="66"/>
      <c r="K295" s="66"/>
      <c r="L295" s="66"/>
      <c r="M295" s="66"/>
      <c r="N295" s="66"/>
      <c r="O295" s="70"/>
      <c r="P295" s="66"/>
      <c r="Q295" s="66"/>
      <c r="R295" s="70"/>
      <c r="S295" s="71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</row>
    <row r="296" ht="13.5" customHeight="1">
      <c r="A296" s="66"/>
      <c r="B296" s="72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70"/>
      <c r="P296" s="66"/>
      <c r="Q296" s="66"/>
      <c r="R296" s="70"/>
      <c r="S296" s="71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</row>
    <row r="297" ht="13.5" customHeight="1">
      <c r="A297" s="66"/>
      <c r="B297" s="72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70"/>
      <c r="P297" s="66"/>
      <c r="Q297" s="66"/>
      <c r="R297" s="70"/>
      <c r="S297" s="71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</row>
    <row r="298" ht="13.5" customHeight="1">
      <c r="A298" s="66"/>
      <c r="B298" s="72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70"/>
      <c r="P298" s="66"/>
      <c r="Q298" s="66"/>
      <c r="R298" s="70"/>
      <c r="S298" s="71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</row>
    <row r="299" ht="13.5" customHeight="1">
      <c r="A299" s="66"/>
      <c r="B299" s="72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70"/>
      <c r="P299" s="66"/>
      <c r="Q299" s="66"/>
      <c r="R299" s="70"/>
      <c r="S299" s="71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</row>
    <row r="300" ht="13.5" customHeight="1">
      <c r="A300" s="66"/>
      <c r="B300" s="72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70"/>
      <c r="P300" s="66"/>
      <c r="Q300" s="66"/>
      <c r="R300" s="70"/>
      <c r="S300" s="71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</row>
    <row r="301" ht="13.5" customHeight="1">
      <c r="A301" s="66"/>
      <c r="B301" s="72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70"/>
      <c r="P301" s="66"/>
      <c r="Q301" s="66"/>
      <c r="R301" s="70"/>
      <c r="S301" s="71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</row>
    <row r="302" ht="13.5" customHeight="1">
      <c r="A302" s="66"/>
      <c r="B302" s="72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70"/>
      <c r="P302" s="66"/>
      <c r="Q302" s="66"/>
      <c r="R302" s="70"/>
      <c r="S302" s="71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</row>
    <row r="303" ht="13.5" customHeight="1">
      <c r="A303" s="66"/>
      <c r="B303" s="72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70"/>
      <c r="P303" s="66"/>
      <c r="Q303" s="66"/>
      <c r="R303" s="70"/>
      <c r="S303" s="71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</row>
    <row r="304" ht="13.5" customHeight="1">
      <c r="A304" s="66"/>
      <c r="B304" s="72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70"/>
      <c r="P304" s="66"/>
      <c r="Q304" s="66"/>
      <c r="R304" s="70"/>
      <c r="S304" s="71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</row>
    <row r="305" ht="13.5" customHeight="1">
      <c r="A305" s="66"/>
      <c r="B305" s="72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70"/>
      <c r="P305" s="66"/>
      <c r="Q305" s="66"/>
      <c r="R305" s="70"/>
      <c r="S305" s="71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</row>
    <row r="306" ht="13.5" customHeight="1">
      <c r="A306" s="66"/>
      <c r="B306" s="72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70"/>
      <c r="P306" s="66"/>
      <c r="Q306" s="66"/>
      <c r="R306" s="70"/>
      <c r="S306" s="71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</row>
    <row r="307" ht="13.5" customHeight="1">
      <c r="A307" s="66"/>
      <c r="B307" s="72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70"/>
      <c r="P307" s="66"/>
      <c r="Q307" s="66"/>
      <c r="R307" s="70"/>
      <c r="S307" s="71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</row>
    <row r="308" ht="13.5" customHeight="1">
      <c r="A308" s="66"/>
      <c r="B308" s="72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70"/>
      <c r="P308" s="66"/>
      <c r="Q308" s="66"/>
      <c r="R308" s="70"/>
      <c r="S308" s="71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</row>
    <row r="309" ht="13.5" customHeight="1">
      <c r="A309" s="66"/>
      <c r="B309" s="72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70"/>
      <c r="P309" s="66"/>
      <c r="Q309" s="66"/>
      <c r="R309" s="70"/>
      <c r="S309" s="71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</row>
    <row r="310" ht="13.5" customHeight="1">
      <c r="A310" s="66"/>
      <c r="B310" s="72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70"/>
      <c r="P310" s="66"/>
      <c r="Q310" s="66"/>
      <c r="R310" s="70"/>
      <c r="S310" s="71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</row>
    <row r="311" ht="13.5" customHeight="1">
      <c r="A311" s="66"/>
      <c r="B311" s="72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70"/>
      <c r="P311" s="66"/>
      <c r="Q311" s="66"/>
      <c r="R311" s="70"/>
      <c r="S311" s="71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</row>
    <row r="312" ht="13.5" customHeight="1">
      <c r="A312" s="66"/>
      <c r="B312" s="72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70"/>
      <c r="P312" s="66"/>
      <c r="Q312" s="66"/>
      <c r="R312" s="70"/>
      <c r="S312" s="71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</row>
    <row r="313" ht="13.5" customHeight="1">
      <c r="A313" s="66"/>
      <c r="B313" s="72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70"/>
      <c r="P313" s="66"/>
      <c r="Q313" s="66"/>
      <c r="R313" s="70"/>
      <c r="S313" s="71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</row>
    <row r="314" ht="13.5" customHeight="1">
      <c r="A314" s="66"/>
      <c r="B314" s="72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70"/>
      <c r="P314" s="66"/>
      <c r="Q314" s="66"/>
      <c r="R314" s="70"/>
      <c r="S314" s="71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</row>
    <row r="315" ht="13.5" customHeight="1">
      <c r="A315" s="66"/>
      <c r="B315" s="72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70"/>
      <c r="P315" s="66"/>
      <c r="Q315" s="66"/>
      <c r="R315" s="70"/>
      <c r="S315" s="71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</row>
    <row r="316" ht="13.5" customHeight="1">
      <c r="A316" s="66"/>
      <c r="B316" s="72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70"/>
      <c r="P316" s="66"/>
      <c r="Q316" s="66"/>
      <c r="R316" s="70"/>
      <c r="S316" s="71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</row>
    <row r="317" ht="13.5" customHeight="1">
      <c r="A317" s="66"/>
      <c r="B317" s="72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70"/>
      <c r="P317" s="66"/>
      <c r="Q317" s="66"/>
      <c r="R317" s="70"/>
      <c r="S317" s="71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</row>
    <row r="318" ht="13.5" customHeight="1">
      <c r="A318" s="66"/>
      <c r="B318" s="72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70"/>
      <c r="P318" s="66"/>
      <c r="Q318" s="66"/>
      <c r="R318" s="70"/>
      <c r="S318" s="71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</row>
    <row r="319" ht="13.5" customHeight="1">
      <c r="A319" s="66"/>
      <c r="B319" s="72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70"/>
      <c r="P319" s="66"/>
      <c r="Q319" s="66"/>
      <c r="R319" s="70"/>
      <c r="S319" s="71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</row>
    <row r="320" ht="13.5" customHeight="1">
      <c r="A320" s="66"/>
      <c r="B320" s="72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70"/>
      <c r="P320" s="66"/>
      <c r="Q320" s="66"/>
      <c r="R320" s="70"/>
      <c r="S320" s="71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</row>
    <row r="321" ht="13.5" customHeight="1">
      <c r="A321" s="66"/>
      <c r="B321" s="72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70"/>
      <c r="P321" s="66"/>
      <c r="Q321" s="66"/>
      <c r="R321" s="70"/>
      <c r="S321" s="71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</row>
    <row r="322" ht="13.5" customHeight="1">
      <c r="A322" s="66"/>
      <c r="B322" s="72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70"/>
      <c r="P322" s="66"/>
      <c r="Q322" s="66"/>
      <c r="R322" s="70"/>
      <c r="S322" s="71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</row>
    <row r="323" ht="13.5" customHeight="1">
      <c r="A323" s="66"/>
      <c r="B323" s="72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70"/>
      <c r="P323" s="66"/>
      <c r="Q323" s="66"/>
      <c r="R323" s="70"/>
      <c r="S323" s="71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</row>
    <row r="324" ht="13.5" customHeight="1">
      <c r="A324" s="66"/>
      <c r="B324" s="72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70"/>
      <c r="P324" s="66"/>
      <c r="Q324" s="66"/>
      <c r="R324" s="70"/>
      <c r="S324" s="71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</row>
    <row r="325" ht="13.5" customHeight="1">
      <c r="A325" s="66"/>
      <c r="B325" s="72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70"/>
      <c r="P325" s="66"/>
      <c r="Q325" s="66"/>
      <c r="R325" s="70"/>
      <c r="S325" s="71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</row>
    <row r="326" ht="13.5" customHeight="1">
      <c r="A326" s="66"/>
      <c r="B326" s="72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70"/>
      <c r="P326" s="66"/>
      <c r="Q326" s="66"/>
      <c r="R326" s="70"/>
      <c r="S326" s="71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</row>
    <row r="327" ht="13.5" customHeight="1">
      <c r="A327" s="66"/>
      <c r="B327" s="72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70"/>
      <c r="P327" s="66"/>
      <c r="Q327" s="66"/>
      <c r="R327" s="70"/>
      <c r="S327" s="71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</row>
    <row r="328" ht="13.5" customHeight="1">
      <c r="A328" s="66"/>
      <c r="B328" s="72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70"/>
      <c r="P328" s="66"/>
      <c r="Q328" s="66"/>
      <c r="R328" s="70"/>
      <c r="S328" s="71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</row>
    <row r="329" ht="13.5" customHeight="1">
      <c r="A329" s="66"/>
      <c r="B329" s="72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70"/>
      <c r="P329" s="66"/>
      <c r="Q329" s="66"/>
      <c r="R329" s="70"/>
      <c r="S329" s="71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</row>
    <row r="330" ht="13.5" customHeight="1">
      <c r="A330" s="66"/>
      <c r="B330" s="72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70"/>
      <c r="P330" s="66"/>
      <c r="Q330" s="66"/>
      <c r="R330" s="70"/>
      <c r="S330" s="71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</row>
    <row r="331" ht="13.5" customHeight="1">
      <c r="A331" s="66"/>
      <c r="B331" s="72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70"/>
      <c r="P331" s="66"/>
      <c r="Q331" s="66"/>
      <c r="R331" s="70"/>
      <c r="S331" s="71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</row>
    <row r="332" ht="13.5" customHeight="1">
      <c r="A332" s="66"/>
      <c r="B332" s="72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70"/>
      <c r="P332" s="66"/>
      <c r="Q332" s="66"/>
      <c r="R332" s="70"/>
      <c r="S332" s="71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</row>
    <row r="333" ht="13.5" customHeight="1">
      <c r="A333" s="66"/>
      <c r="B333" s="72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70"/>
      <c r="P333" s="66"/>
      <c r="Q333" s="66"/>
      <c r="R333" s="70"/>
      <c r="S333" s="71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</row>
    <row r="334" ht="13.5" customHeight="1">
      <c r="A334" s="66"/>
      <c r="B334" s="72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70"/>
      <c r="P334" s="66"/>
      <c r="Q334" s="66"/>
      <c r="R334" s="70"/>
      <c r="S334" s="71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</row>
    <row r="335" ht="13.5" customHeight="1">
      <c r="A335" s="66"/>
      <c r="B335" s="72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70"/>
      <c r="P335" s="66"/>
      <c r="Q335" s="66"/>
      <c r="R335" s="70"/>
      <c r="S335" s="71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</row>
    <row r="336" ht="13.5" customHeight="1">
      <c r="A336" s="66"/>
      <c r="B336" s="72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70"/>
      <c r="P336" s="66"/>
      <c r="Q336" s="66"/>
      <c r="R336" s="70"/>
      <c r="S336" s="71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</row>
    <row r="337" ht="13.5" customHeight="1">
      <c r="A337" s="66"/>
      <c r="B337" s="72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70"/>
      <c r="P337" s="66"/>
      <c r="Q337" s="66"/>
      <c r="R337" s="70"/>
      <c r="S337" s="71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</row>
    <row r="338" ht="13.5" customHeight="1">
      <c r="A338" s="66"/>
      <c r="B338" s="72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70"/>
      <c r="P338" s="66"/>
      <c r="Q338" s="66"/>
      <c r="R338" s="70"/>
      <c r="S338" s="71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</row>
    <row r="339" ht="13.5" customHeight="1">
      <c r="A339" s="66"/>
      <c r="B339" s="72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70"/>
      <c r="P339" s="66"/>
      <c r="Q339" s="66"/>
      <c r="R339" s="70"/>
      <c r="S339" s="71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</row>
    <row r="340" ht="13.5" customHeight="1">
      <c r="A340" s="66"/>
      <c r="B340" s="72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70"/>
      <c r="P340" s="66"/>
      <c r="Q340" s="66"/>
      <c r="R340" s="70"/>
      <c r="S340" s="71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</row>
    <row r="341" ht="13.5" customHeight="1">
      <c r="A341" s="66"/>
      <c r="B341" s="72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70"/>
      <c r="P341" s="66"/>
      <c r="Q341" s="66"/>
      <c r="R341" s="70"/>
      <c r="S341" s="71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</row>
    <row r="342" ht="13.5" customHeight="1">
      <c r="A342" s="66"/>
      <c r="B342" s="72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70"/>
      <c r="P342" s="66"/>
      <c r="Q342" s="66"/>
      <c r="R342" s="70"/>
      <c r="S342" s="71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</row>
    <row r="343" ht="13.5" customHeight="1">
      <c r="A343" s="66"/>
      <c r="B343" s="72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70"/>
      <c r="P343" s="66"/>
      <c r="Q343" s="66"/>
      <c r="R343" s="70"/>
      <c r="S343" s="71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</row>
    <row r="344" ht="13.5" customHeight="1">
      <c r="A344" s="66"/>
      <c r="B344" s="72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70"/>
      <c r="P344" s="66"/>
      <c r="Q344" s="66"/>
      <c r="R344" s="70"/>
      <c r="S344" s="71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</row>
    <row r="345" ht="13.5" customHeight="1">
      <c r="A345" s="66"/>
      <c r="B345" s="72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70"/>
      <c r="P345" s="66"/>
      <c r="Q345" s="66"/>
      <c r="R345" s="70"/>
      <c r="S345" s="71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</row>
    <row r="346" ht="13.5" customHeight="1">
      <c r="A346" s="66"/>
      <c r="B346" s="72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70"/>
      <c r="P346" s="66"/>
      <c r="Q346" s="66"/>
      <c r="R346" s="70"/>
      <c r="S346" s="71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</row>
    <row r="347" ht="13.5" customHeight="1">
      <c r="A347" s="66"/>
      <c r="B347" s="72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70"/>
      <c r="P347" s="66"/>
      <c r="Q347" s="66"/>
      <c r="R347" s="70"/>
      <c r="S347" s="71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</row>
    <row r="348" ht="13.5" customHeight="1">
      <c r="A348" s="66"/>
      <c r="B348" s="72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70"/>
      <c r="P348" s="66"/>
      <c r="Q348" s="66"/>
      <c r="R348" s="70"/>
      <c r="S348" s="71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</row>
    <row r="349" ht="13.5" customHeight="1">
      <c r="A349" s="66"/>
      <c r="B349" s="72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70"/>
      <c r="P349" s="66"/>
      <c r="Q349" s="66"/>
      <c r="R349" s="70"/>
      <c r="S349" s="71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</row>
    <row r="350" ht="13.5" customHeight="1">
      <c r="A350" s="66"/>
      <c r="B350" s="72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70"/>
      <c r="P350" s="66"/>
      <c r="Q350" s="66"/>
      <c r="R350" s="70"/>
      <c r="S350" s="71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</row>
    <row r="351" ht="13.5" customHeight="1">
      <c r="A351" s="66"/>
      <c r="B351" s="72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70"/>
      <c r="P351" s="66"/>
      <c r="Q351" s="66"/>
      <c r="R351" s="70"/>
      <c r="S351" s="71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</row>
    <row r="352" ht="13.5" customHeight="1">
      <c r="A352" s="66"/>
      <c r="B352" s="72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70"/>
      <c r="P352" s="66"/>
      <c r="Q352" s="66"/>
      <c r="R352" s="70"/>
      <c r="S352" s="71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</row>
    <row r="353" ht="13.5" customHeight="1">
      <c r="A353" s="66"/>
      <c r="B353" s="72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70"/>
      <c r="P353" s="66"/>
      <c r="Q353" s="66"/>
      <c r="R353" s="70"/>
      <c r="S353" s="71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</row>
    <row r="354" ht="13.5" customHeight="1">
      <c r="A354" s="66"/>
      <c r="B354" s="72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70"/>
      <c r="P354" s="66"/>
      <c r="Q354" s="66"/>
      <c r="R354" s="70"/>
      <c r="S354" s="71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</row>
    <row r="355" ht="13.5" customHeight="1">
      <c r="A355" s="66"/>
      <c r="B355" s="72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70"/>
      <c r="P355" s="66"/>
      <c r="Q355" s="66"/>
      <c r="R355" s="70"/>
      <c r="S355" s="71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</row>
    <row r="356" ht="13.5" customHeight="1">
      <c r="A356" s="66"/>
      <c r="B356" s="72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70"/>
      <c r="P356" s="66"/>
      <c r="Q356" s="66"/>
      <c r="R356" s="70"/>
      <c r="S356" s="71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</row>
    <row r="357" ht="13.5" customHeight="1">
      <c r="A357" s="66"/>
      <c r="B357" s="72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70"/>
      <c r="P357" s="66"/>
      <c r="Q357" s="66"/>
      <c r="R357" s="70"/>
      <c r="S357" s="71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</row>
    <row r="358" ht="13.5" customHeight="1">
      <c r="A358" s="66"/>
      <c r="B358" s="72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70"/>
      <c r="P358" s="66"/>
      <c r="Q358" s="66"/>
      <c r="R358" s="70"/>
      <c r="S358" s="71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</row>
    <row r="359" ht="13.5" customHeight="1">
      <c r="A359" s="66"/>
      <c r="B359" s="72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70"/>
      <c r="P359" s="66"/>
      <c r="Q359" s="66"/>
      <c r="R359" s="70"/>
      <c r="S359" s="71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</row>
    <row r="360" ht="13.5" customHeight="1">
      <c r="A360" s="66"/>
      <c r="B360" s="72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70"/>
      <c r="P360" s="66"/>
      <c r="Q360" s="66"/>
      <c r="R360" s="70"/>
      <c r="S360" s="71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</row>
    <row r="361" ht="13.5" customHeight="1">
      <c r="A361" s="66"/>
      <c r="B361" s="72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70"/>
      <c r="P361" s="66"/>
      <c r="Q361" s="66"/>
      <c r="R361" s="70"/>
      <c r="S361" s="71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</row>
    <row r="362" ht="13.5" customHeight="1">
      <c r="A362" s="66"/>
      <c r="B362" s="72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70"/>
      <c r="P362" s="66"/>
      <c r="Q362" s="66"/>
      <c r="R362" s="70"/>
      <c r="S362" s="71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</row>
    <row r="363" ht="13.5" customHeight="1">
      <c r="A363" s="66"/>
      <c r="B363" s="72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70"/>
      <c r="P363" s="66"/>
      <c r="Q363" s="66"/>
      <c r="R363" s="70"/>
      <c r="S363" s="71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</row>
    <row r="364" ht="13.5" customHeight="1">
      <c r="A364" s="66"/>
      <c r="B364" s="72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70"/>
      <c r="P364" s="66"/>
      <c r="Q364" s="66"/>
      <c r="R364" s="70"/>
      <c r="S364" s="71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</row>
    <row r="365" ht="13.5" customHeight="1">
      <c r="A365" s="66"/>
      <c r="B365" s="72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70"/>
      <c r="P365" s="66"/>
      <c r="Q365" s="66"/>
      <c r="R365" s="70"/>
      <c r="S365" s="71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</row>
    <row r="366" ht="13.5" customHeight="1">
      <c r="A366" s="66"/>
      <c r="B366" s="72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70"/>
      <c r="P366" s="66"/>
      <c r="Q366" s="66"/>
      <c r="R366" s="70"/>
      <c r="S366" s="71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</row>
    <row r="367" ht="13.5" customHeight="1">
      <c r="A367" s="66"/>
      <c r="B367" s="72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70"/>
      <c r="P367" s="66"/>
      <c r="Q367" s="66"/>
      <c r="R367" s="70"/>
      <c r="S367" s="71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</row>
    <row r="368" ht="13.5" customHeight="1">
      <c r="A368" s="66"/>
      <c r="B368" s="72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70"/>
      <c r="P368" s="66"/>
      <c r="Q368" s="66"/>
      <c r="R368" s="70"/>
      <c r="S368" s="71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</row>
    <row r="369" ht="13.5" customHeight="1">
      <c r="A369" s="66"/>
      <c r="B369" s="72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70"/>
      <c r="P369" s="66"/>
      <c r="Q369" s="66"/>
      <c r="R369" s="70"/>
      <c r="S369" s="71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</row>
    <row r="370" ht="13.5" customHeight="1">
      <c r="A370" s="66"/>
      <c r="B370" s="72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70"/>
      <c r="P370" s="66"/>
      <c r="Q370" s="66"/>
      <c r="R370" s="70"/>
      <c r="S370" s="71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</row>
    <row r="371" ht="13.5" customHeight="1">
      <c r="A371" s="66"/>
      <c r="B371" s="72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70"/>
      <c r="P371" s="66"/>
      <c r="Q371" s="66"/>
      <c r="R371" s="70"/>
      <c r="S371" s="71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</row>
    <row r="372" ht="13.5" customHeight="1">
      <c r="A372" s="66"/>
      <c r="B372" s="72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70"/>
      <c r="P372" s="66"/>
      <c r="Q372" s="66"/>
      <c r="R372" s="70"/>
      <c r="S372" s="71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</row>
    <row r="373" ht="13.5" customHeight="1">
      <c r="A373" s="66"/>
      <c r="B373" s="72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70"/>
      <c r="P373" s="66"/>
      <c r="Q373" s="66"/>
      <c r="R373" s="70"/>
      <c r="S373" s="71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</row>
    <row r="374" ht="13.5" customHeight="1">
      <c r="A374" s="66"/>
      <c r="B374" s="72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70"/>
      <c r="P374" s="66"/>
      <c r="Q374" s="66"/>
      <c r="R374" s="70"/>
      <c r="S374" s="71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</row>
    <row r="375" ht="13.5" customHeight="1">
      <c r="A375" s="66"/>
      <c r="B375" s="72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70"/>
      <c r="P375" s="66"/>
      <c r="Q375" s="66"/>
      <c r="R375" s="70"/>
      <c r="S375" s="71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</row>
    <row r="376" ht="13.5" customHeight="1">
      <c r="A376" s="66"/>
      <c r="B376" s="72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70"/>
      <c r="P376" s="66"/>
      <c r="Q376" s="66"/>
      <c r="R376" s="70"/>
      <c r="S376" s="71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</row>
    <row r="377" ht="13.5" customHeight="1">
      <c r="A377" s="66"/>
      <c r="B377" s="72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70"/>
      <c r="P377" s="66"/>
      <c r="Q377" s="66"/>
      <c r="R377" s="70"/>
      <c r="S377" s="71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</row>
    <row r="378" ht="13.5" customHeight="1">
      <c r="A378" s="66"/>
      <c r="B378" s="72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70"/>
      <c r="P378" s="66"/>
      <c r="Q378" s="66"/>
      <c r="R378" s="70"/>
      <c r="S378" s="71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</row>
    <row r="379" ht="13.5" customHeight="1">
      <c r="A379" s="66"/>
      <c r="B379" s="72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70"/>
      <c r="P379" s="66"/>
      <c r="Q379" s="66"/>
      <c r="R379" s="70"/>
      <c r="S379" s="71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</row>
    <row r="380" ht="13.5" customHeight="1">
      <c r="A380" s="66"/>
      <c r="B380" s="72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70"/>
      <c r="P380" s="66"/>
      <c r="Q380" s="66"/>
      <c r="R380" s="70"/>
      <c r="S380" s="71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</row>
    <row r="381" ht="13.5" customHeight="1">
      <c r="A381" s="66"/>
      <c r="B381" s="72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70"/>
      <c r="P381" s="66"/>
      <c r="Q381" s="66"/>
      <c r="R381" s="70"/>
      <c r="S381" s="71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</row>
    <row r="382" ht="13.5" customHeight="1">
      <c r="A382" s="66"/>
      <c r="B382" s="72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70"/>
      <c r="P382" s="66"/>
      <c r="Q382" s="66"/>
      <c r="R382" s="70"/>
      <c r="S382" s="71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</row>
    <row r="383" ht="13.5" customHeight="1">
      <c r="A383" s="66"/>
      <c r="B383" s="72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70"/>
      <c r="P383" s="66"/>
      <c r="Q383" s="66"/>
      <c r="R383" s="70"/>
      <c r="S383" s="71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</row>
    <row r="384" ht="13.5" customHeight="1">
      <c r="A384" s="66"/>
      <c r="B384" s="72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70"/>
      <c r="P384" s="66"/>
      <c r="Q384" s="66"/>
      <c r="R384" s="70"/>
      <c r="S384" s="71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</row>
    <row r="385" ht="13.5" customHeight="1">
      <c r="A385" s="66"/>
      <c r="B385" s="72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70"/>
      <c r="P385" s="66"/>
      <c r="Q385" s="66"/>
      <c r="R385" s="70"/>
      <c r="S385" s="71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</row>
    <row r="386" ht="13.5" customHeight="1">
      <c r="A386" s="66"/>
      <c r="B386" s="72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70"/>
      <c r="P386" s="66"/>
      <c r="Q386" s="66"/>
      <c r="R386" s="70"/>
      <c r="S386" s="71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</row>
    <row r="387" ht="13.5" customHeight="1">
      <c r="A387" s="66"/>
      <c r="B387" s="72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70"/>
      <c r="P387" s="66"/>
      <c r="Q387" s="66"/>
      <c r="R387" s="70"/>
      <c r="S387" s="71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</row>
    <row r="388" ht="13.5" customHeight="1">
      <c r="A388" s="66"/>
      <c r="B388" s="72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70"/>
      <c r="P388" s="66"/>
      <c r="Q388" s="66"/>
      <c r="R388" s="70"/>
      <c r="S388" s="71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</row>
    <row r="389" ht="13.5" customHeight="1">
      <c r="A389" s="66"/>
      <c r="B389" s="72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70"/>
      <c r="P389" s="66"/>
      <c r="Q389" s="66"/>
      <c r="R389" s="70"/>
      <c r="S389" s="71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</row>
    <row r="390" ht="13.5" customHeight="1">
      <c r="A390" s="66"/>
      <c r="B390" s="72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70"/>
      <c r="P390" s="66"/>
      <c r="Q390" s="66"/>
      <c r="R390" s="70"/>
      <c r="S390" s="71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</row>
    <row r="391" ht="13.5" customHeight="1">
      <c r="A391" s="66"/>
      <c r="B391" s="72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70"/>
      <c r="P391" s="66"/>
      <c r="Q391" s="66"/>
      <c r="R391" s="70"/>
      <c r="S391" s="71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</row>
    <row r="392" ht="13.5" customHeight="1">
      <c r="A392" s="66"/>
      <c r="B392" s="72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70"/>
      <c r="P392" s="66"/>
      <c r="Q392" s="66"/>
      <c r="R392" s="70"/>
      <c r="S392" s="71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</row>
    <row r="393" ht="13.5" customHeight="1">
      <c r="A393" s="66"/>
      <c r="B393" s="72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70"/>
      <c r="P393" s="66"/>
      <c r="Q393" s="66"/>
      <c r="R393" s="70"/>
      <c r="S393" s="71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</row>
    <row r="394" ht="13.5" customHeight="1">
      <c r="A394" s="66"/>
      <c r="B394" s="72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70"/>
      <c r="P394" s="66"/>
      <c r="Q394" s="66"/>
      <c r="R394" s="70"/>
      <c r="S394" s="71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</row>
    <row r="395" ht="13.5" customHeight="1">
      <c r="A395" s="66"/>
      <c r="B395" s="72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70"/>
      <c r="P395" s="66"/>
      <c r="Q395" s="66"/>
      <c r="R395" s="70"/>
      <c r="S395" s="71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</row>
    <row r="396" ht="13.5" customHeight="1">
      <c r="A396" s="66"/>
      <c r="B396" s="72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70"/>
      <c r="P396" s="66"/>
      <c r="Q396" s="66"/>
      <c r="R396" s="70"/>
      <c r="S396" s="71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</row>
    <row r="397" ht="13.5" customHeight="1">
      <c r="A397" s="66"/>
      <c r="B397" s="72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70"/>
      <c r="P397" s="66"/>
      <c r="Q397" s="66"/>
      <c r="R397" s="70"/>
      <c r="S397" s="71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</row>
    <row r="398" ht="13.5" customHeight="1">
      <c r="A398" s="66"/>
      <c r="B398" s="72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70"/>
      <c r="P398" s="66"/>
      <c r="Q398" s="66"/>
      <c r="R398" s="70"/>
      <c r="S398" s="71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</row>
    <row r="399" ht="13.5" customHeight="1">
      <c r="A399" s="66"/>
      <c r="B399" s="72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70"/>
      <c r="P399" s="66"/>
      <c r="Q399" s="66"/>
      <c r="R399" s="70"/>
      <c r="S399" s="71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</row>
    <row r="400" ht="13.5" customHeight="1">
      <c r="A400" s="66"/>
      <c r="B400" s="72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70"/>
      <c r="P400" s="66"/>
      <c r="Q400" s="66"/>
      <c r="R400" s="70"/>
      <c r="S400" s="71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</row>
    <row r="401" ht="13.5" customHeight="1">
      <c r="A401" s="66"/>
      <c r="B401" s="72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70"/>
      <c r="P401" s="66"/>
      <c r="Q401" s="66"/>
      <c r="R401" s="70"/>
      <c r="S401" s="71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</row>
    <row r="402" ht="13.5" customHeight="1">
      <c r="A402" s="66"/>
      <c r="B402" s="72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70"/>
      <c r="P402" s="66"/>
      <c r="Q402" s="66"/>
      <c r="R402" s="70"/>
      <c r="S402" s="71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</row>
    <row r="403" ht="13.5" customHeight="1">
      <c r="A403" s="66"/>
      <c r="B403" s="72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70"/>
      <c r="P403" s="66"/>
      <c r="Q403" s="66"/>
      <c r="R403" s="70"/>
      <c r="S403" s="71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</row>
    <row r="404" ht="13.5" customHeight="1">
      <c r="A404" s="66"/>
      <c r="B404" s="72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70"/>
      <c r="P404" s="66"/>
      <c r="Q404" s="66"/>
      <c r="R404" s="70"/>
      <c r="S404" s="71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</row>
    <row r="405" ht="13.5" customHeight="1">
      <c r="A405" s="66"/>
      <c r="B405" s="72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70"/>
      <c r="P405" s="66"/>
      <c r="Q405" s="66"/>
      <c r="R405" s="70"/>
      <c r="S405" s="71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</row>
    <row r="406" ht="13.5" customHeight="1">
      <c r="A406" s="66"/>
      <c r="B406" s="72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70"/>
      <c r="P406" s="66"/>
      <c r="Q406" s="66"/>
      <c r="R406" s="70"/>
      <c r="S406" s="71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</row>
    <row r="407" ht="13.5" customHeight="1">
      <c r="A407" s="66"/>
      <c r="B407" s="72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70"/>
      <c r="P407" s="66"/>
      <c r="Q407" s="66"/>
      <c r="R407" s="70"/>
      <c r="S407" s="71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</row>
    <row r="408" ht="13.5" customHeight="1">
      <c r="A408" s="66"/>
      <c r="B408" s="72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70"/>
      <c r="P408" s="66"/>
      <c r="Q408" s="66"/>
      <c r="R408" s="70"/>
      <c r="S408" s="71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</row>
    <row r="409" ht="13.5" customHeight="1">
      <c r="A409" s="66"/>
      <c r="B409" s="72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70"/>
      <c r="P409" s="66"/>
      <c r="Q409" s="66"/>
      <c r="R409" s="70"/>
      <c r="S409" s="71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</row>
    <row r="410" ht="13.5" customHeight="1">
      <c r="A410" s="66"/>
      <c r="B410" s="72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70"/>
      <c r="P410" s="66"/>
      <c r="Q410" s="66"/>
      <c r="R410" s="70"/>
      <c r="S410" s="71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</row>
    <row r="411" ht="13.5" customHeight="1">
      <c r="A411" s="66"/>
      <c r="B411" s="72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70"/>
      <c r="P411" s="66"/>
      <c r="Q411" s="66"/>
      <c r="R411" s="70"/>
      <c r="S411" s="71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</row>
    <row r="412" ht="13.5" customHeight="1">
      <c r="A412" s="66"/>
      <c r="B412" s="72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70"/>
      <c r="P412" s="66"/>
      <c r="Q412" s="66"/>
      <c r="R412" s="70"/>
      <c r="S412" s="71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</row>
    <row r="413" ht="13.5" customHeight="1">
      <c r="A413" s="66"/>
      <c r="B413" s="72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70"/>
      <c r="P413" s="66"/>
      <c r="Q413" s="66"/>
      <c r="R413" s="70"/>
      <c r="S413" s="71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</row>
    <row r="414" ht="13.5" customHeight="1">
      <c r="A414" s="66"/>
      <c r="B414" s="72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70"/>
      <c r="P414" s="66"/>
      <c r="Q414" s="66"/>
      <c r="R414" s="70"/>
      <c r="S414" s="71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</row>
    <row r="415" ht="13.5" customHeight="1">
      <c r="A415" s="66"/>
      <c r="B415" s="72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70"/>
      <c r="P415" s="66"/>
      <c r="Q415" s="66"/>
      <c r="R415" s="70"/>
      <c r="S415" s="71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</row>
    <row r="416" ht="13.5" customHeight="1">
      <c r="A416" s="66"/>
      <c r="B416" s="72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70"/>
      <c r="P416" s="66"/>
      <c r="Q416" s="66"/>
      <c r="R416" s="70"/>
      <c r="S416" s="71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</row>
    <row r="417" ht="13.5" customHeight="1">
      <c r="A417" s="66"/>
      <c r="B417" s="72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70"/>
      <c r="P417" s="66"/>
      <c r="Q417" s="66"/>
      <c r="R417" s="70"/>
      <c r="S417" s="71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</row>
    <row r="418" ht="13.5" customHeight="1">
      <c r="A418" s="66"/>
      <c r="B418" s="72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70"/>
      <c r="P418" s="66"/>
      <c r="Q418" s="66"/>
      <c r="R418" s="70"/>
      <c r="S418" s="71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</row>
    <row r="419" ht="13.5" customHeight="1">
      <c r="A419" s="66"/>
      <c r="B419" s="72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70"/>
      <c r="P419" s="66"/>
      <c r="Q419" s="66"/>
      <c r="R419" s="70"/>
      <c r="S419" s="71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</row>
    <row r="420" ht="13.5" customHeight="1">
      <c r="A420" s="66"/>
      <c r="B420" s="72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70"/>
      <c r="P420" s="66"/>
      <c r="Q420" s="66"/>
      <c r="R420" s="70"/>
      <c r="S420" s="71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</row>
    <row r="421" ht="13.5" customHeight="1">
      <c r="A421" s="66"/>
      <c r="B421" s="72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70"/>
      <c r="P421" s="66"/>
      <c r="Q421" s="66"/>
      <c r="R421" s="70"/>
      <c r="S421" s="71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</row>
    <row r="422" ht="13.5" customHeight="1">
      <c r="A422" s="66"/>
      <c r="B422" s="72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70"/>
      <c r="P422" s="66"/>
      <c r="Q422" s="66"/>
      <c r="R422" s="70"/>
      <c r="S422" s="71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</row>
    <row r="423" ht="13.5" customHeight="1">
      <c r="A423" s="66"/>
      <c r="B423" s="72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70"/>
      <c r="P423" s="66"/>
      <c r="Q423" s="66"/>
      <c r="R423" s="70"/>
      <c r="S423" s="71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</row>
    <row r="424" ht="13.5" customHeight="1">
      <c r="A424" s="66"/>
      <c r="B424" s="72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70"/>
      <c r="P424" s="66"/>
      <c r="Q424" s="66"/>
      <c r="R424" s="70"/>
      <c r="S424" s="71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</row>
    <row r="425" ht="13.5" customHeight="1">
      <c r="A425" s="66"/>
      <c r="B425" s="72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70"/>
      <c r="P425" s="66"/>
      <c r="Q425" s="66"/>
      <c r="R425" s="70"/>
      <c r="S425" s="71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</row>
    <row r="426" ht="13.5" customHeight="1">
      <c r="A426" s="66"/>
      <c r="B426" s="72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70"/>
      <c r="P426" s="66"/>
      <c r="Q426" s="66"/>
      <c r="R426" s="70"/>
      <c r="S426" s="71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</row>
    <row r="427" ht="13.5" customHeight="1">
      <c r="A427" s="66"/>
      <c r="B427" s="72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70"/>
      <c r="P427" s="66"/>
      <c r="Q427" s="66"/>
      <c r="R427" s="70"/>
      <c r="S427" s="71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</row>
    <row r="428" ht="13.5" customHeight="1">
      <c r="A428" s="66"/>
      <c r="B428" s="72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70"/>
      <c r="P428" s="66"/>
      <c r="Q428" s="66"/>
      <c r="R428" s="70"/>
      <c r="S428" s="71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</row>
    <row r="429" ht="13.5" customHeight="1">
      <c r="A429" s="66"/>
      <c r="B429" s="72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70"/>
      <c r="P429" s="66"/>
      <c r="Q429" s="66"/>
      <c r="R429" s="70"/>
      <c r="S429" s="71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</row>
    <row r="430" ht="13.5" customHeight="1">
      <c r="A430" s="66"/>
      <c r="B430" s="72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70"/>
      <c r="P430" s="66"/>
      <c r="Q430" s="66"/>
      <c r="R430" s="70"/>
      <c r="S430" s="71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</row>
    <row r="431" ht="13.5" customHeight="1">
      <c r="A431" s="66"/>
      <c r="B431" s="72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70"/>
      <c r="P431" s="66"/>
      <c r="Q431" s="66"/>
      <c r="R431" s="70"/>
      <c r="S431" s="71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</row>
    <row r="432" ht="13.5" customHeight="1">
      <c r="A432" s="66"/>
      <c r="B432" s="72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70"/>
      <c r="P432" s="66"/>
      <c r="Q432" s="66"/>
      <c r="R432" s="70"/>
      <c r="S432" s="71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</row>
    <row r="433" ht="13.5" customHeight="1">
      <c r="A433" s="66"/>
      <c r="B433" s="72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70"/>
      <c r="P433" s="66"/>
      <c r="Q433" s="66"/>
      <c r="R433" s="70"/>
      <c r="S433" s="71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</row>
    <row r="434" ht="13.5" customHeight="1">
      <c r="A434" s="66"/>
      <c r="B434" s="72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70"/>
      <c r="P434" s="66"/>
      <c r="Q434" s="66"/>
      <c r="R434" s="70"/>
      <c r="S434" s="71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</row>
    <row r="435" ht="13.5" customHeight="1">
      <c r="A435" s="66"/>
      <c r="B435" s="72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70"/>
      <c r="P435" s="66"/>
      <c r="Q435" s="66"/>
      <c r="R435" s="70"/>
      <c r="S435" s="71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</row>
    <row r="436" ht="13.5" customHeight="1">
      <c r="A436" s="66"/>
      <c r="B436" s="72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70"/>
      <c r="P436" s="66"/>
      <c r="Q436" s="66"/>
      <c r="R436" s="70"/>
      <c r="S436" s="71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</row>
    <row r="437" ht="13.5" customHeight="1">
      <c r="A437" s="66"/>
      <c r="B437" s="72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70"/>
      <c r="P437" s="66"/>
      <c r="Q437" s="66"/>
      <c r="R437" s="70"/>
      <c r="S437" s="71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</row>
    <row r="438" ht="13.5" customHeight="1">
      <c r="A438" s="66"/>
      <c r="B438" s="72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70"/>
      <c r="P438" s="66"/>
      <c r="Q438" s="66"/>
      <c r="R438" s="70"/>
      <c r="S438" s="71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</row>
    <row r="439" ht="13.5" customHeight="1">
      <c r="A439" s="66"/>
      <c r="B439" s="72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70"/>
      <c r="P439" s="66"/>
      <c r="Q439" s="66"/>
      <c r="R439" s="70"/>
      <c r="S439" s="71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</row>
    <row r="440" ht="13.5" customHeight="1">
      <c r="A440" s="66"/>
      <c r="B440" s="72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70"/>
      <c r="P440" s="66"/>
      <c r="Q440" s="66"/>
      <c r="R440" s="70"/>
      <c r="S440" s="71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</row>
    <row r="441" ht="13.5" customHeight="1">
      <c r="A441" s="66"/>
      <c r="B441" s="72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70"/>
      <c r="P441" s="66"/>
      <c r="Q441" s="66"/>
      <c r="R441" s="70"/>
      <c r="S441" s="71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</row>
    <row r="442" ht="13.5" customHeight="1">
      <c r="A442" s="66"/>
      <c r="B442" s="72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70"/>
      <c r="P442" s="66"/>
      <c r="Q442" s="66"/>
      <c r="R442" s="70"/>
      <c r="S442" s="71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</row>
    <row r="443" ht="13.5" customHeight="1">
      <c r="A443" s="66"/>
      <c r="B443" s="72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70"/>
      <c r="P443" s="66"/>
      <c r="Q443" s="66"/>
      <c r="R443" s="70"/>
      <c r="S443" s="71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</row>
    <row r="444" ht="13.5" customHeight="1">
      <c r="A444" s="66"/>
      <c r="B444" s="72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70"/>
      <c r="P444" s="66"/>
      <c r="Q444" s="66"/>
      <c r="R444" s="70"/>
      <c r="S444" s="71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</row>
    <row r="445" ht="13.5" customHeight="1">
      <c r="A445" s="66"/>
      <c r="B445" s="72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70"/>
      <c r="P445" s="66"/>
      <c r="Q445" s="66"/>
      <c r="R445" s="70"/>
      <c r="S445" s="71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</row>
    <row r="446" ht="13.5" customHeight="1">
      <c r="A446" s="66"/>
      <c r="B446" s="72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70"/>
      <c r="P446" s="66"/>
      <c r="Q446" s="66"/>
      <c r="R446" s="70"/>
      <c r="S446" s="71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</row>
    <row r="447" ht="13.5" customHeight="1">
      <c r="A447" s="66"/>
      <c r="B447" s="72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70"/>
      <c r="P447" s="66"/>
      <c r="Q447" s="66"/>
      <c r="R447" s="70"/>
      <c r="S447" s="71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</row>
    <row r="448" ht="13.5" customHeight="1">
      <c r="A448" s="66"/>
      <c r="B448" s="72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70"/>
      <c r="P448" s="66"/>
      <c r="Q448" s="66"/>
      <c r="R448" s="70"/>
      <c r="S448" s="71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</row>
    <row r="449" ht="13.5" customHeight="1">
      <c r="A449" s="66"/>
      <c r="B449" s="72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70"/>
      <c r="P449" s="66"/>
      <c r="Q449" s="66"/>
      <c r="R449" s="70"/>
      <c r="S449" s="71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</row>
    <row r="450" ht="13.5" customHeight="1">
      <c r="A450" s="66"/>
      <c r="B450" s="72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70"/>
      <c r="P450" s="66"/>
      <c r="Q450" s="66"/>
      <c r="R450" s="70"/>
      <c r="S450" s="71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</row>
    <row r="451" ht="13.5" customHeight="1">
      <c r="A451" s="66"/>
      <c r="B451" s="72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70"/>
      <c r="P451" s="66"/>
      <c r="Q451" s="66"/>
      <c r="R451" s="70"/>
      <c r="S451" s="71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</row>
    <row r="452" ht="13.5" customHeight="1">
      <c r="A452" s="66"/>
      <c r="B452" s="72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70"/>
      <c r="P452" s="66"/>
      <c r="Q452" s="66"/>
      <c r="R452" s="70"/>
      <c r="S452" s="71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</row>
    <row r="453" ht="13.5" customHeight="1">
      <c r="A453" s="66"/>
      <c r="B453" s="72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70"/>
      <c r="P453" s="66"/>
      <c r="Q453" s="66"/>
      <c r="R453" s="70"/>
      <c r="S453" s="71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</row>
    <row r="454" ht="13.5" customHeight="1">
      <c r="A454" s="66"/>
      <c r="B454" s="72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70"/>
      <c r="P454" s="66"/>
      <c r="Q454" s="66"/>
      <c r="R454" s="70"/>
      <c r="S454" s="71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</row>
    <row r="455" ht="13.5" customHeight="1">
      <c r="A455" s="66"/>
      <c r="B455" s="72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70"/>
      <c r="P455" s="66"/>
      <c r="Q455" s="66"/>
      <c r="R455" s="70"/>
      <c r="S455" s="71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</row>
    <row r="456" ht="13.5" customHeight="1">
      <c r="A456" s="66"/>
      <c r="B456" s="72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70"/>
      <c r="P456" s="66"/>
      <c r="Q456" s="66"/>
      <c r="R456" s="70"/>
      <c r="S456" s="71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</row>
    <row r="457" ht="13.5" customHeight="1">
      <c r="A457" s="66"/>
      <c r="B457" s="72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70"/>
      <c r="P457" s="66"/>
      <c r="Q457" s="66"/>
      <c r="R457" s="70"/>
      <c r="S457" s="71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</row>
    <row r="458" ht="13.5" customHeight="1">
      <c r="A458" s="66"/>
      <c r="B458" s="72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70"/>
      <c r="P458" s="66"/>
      <c r="Q458" s="66"/>
      <c r="R458" s="70"/>
      <c r="S458" s="71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</row>
    <row r="459" ht="13.5" customHeight="1">
      <c r="A459" s="66"/>
      <c r="B459" s="72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70"/>
      <c r="P459" s="66"/>
      <c r="Q459" s="66"/>
      <c r="R459" s="70"/>
      <c r="S459" s="71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</row>
    <row r="460" ht="13.5" customHeight="1">
      <c r="A460" s="66"/>
      <c r="B460" s="72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70"/>
      <c r="P460" s="66"/>
      <c r="Q460" s="66"/>
      <c r="R460" s="70"/>
      <c r="S460" s="71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</row>
    <row r="461" ht="13.5" customHeight="1">
      <c r="A461" s="66"/>
      <c r="B461" s="72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70"/>
      <c r="P461" s="66"/>
      <c r="Q461" s="66"/>
      <c r="R461" s="70"/>
      <c r="S461" s="71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</row>
    <row r="462" ht="13.5" customHeight="1">
      <c r="A462" s="66"/>
      <c r="B462" s="72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70"/>
      <c r="P462" s="66"/>
      <c r="Q462" s="66"/>
      <c r="R462" s="70"/>
      <c r="S462" s="71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</row>
    <row r="463" ht="13.5" customHeight="1">
      <c r="A463" s="66"/>
      <c r="B463" s="72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70"/>
      <c r="P463" s="66"/>
      <c r="Q463" s="66"/>
      <c r="R463" s="70"/>
      <c r="S463" s="71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</row>
    <row r="464" ht="13.5" customHeight="1">
      <c r="A464" s="66"/>
      <c r="B464" s="72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70"/>
      <c r="P464" s="66"/>
      <c r="Q464" s="66"/>
      <c r="R464" s="70"/>
      <c r="S464" s="71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</row>
    <row r="465" ht="13.5" customHeight="1">
      <c r="A465" s="66"/>
      <c r="B465" s="72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70"/>
      <c r="P465" s="66"/>
      <c r="Q465" s="66"/>
      <c r="R465" s="70"/>
      <c r="S465" s="71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</row>
    <row r="466" ht="13.5" customHeight="1">
      <c r="A466" s="66"/>
      <c r="B466" s="72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70"/>
      <c r="P466" s="66"/>
      <c r="Q466" s="66"/>
      <c r="R466" s="70"/>
      <c r="S466" s="71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</row>
    <row r="467" ht="13.5" customHeight="1">
      <c r="A467" s="66"/>
      <c r="B467" s="72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70"/>
      <c r="P467" s="66"/>
      <c r="Q467" s="66"/>
      <c r="R467" s="70"/>
      <c r="S467" s="71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</row>
    <row r="468" ht="13.5" customHeight="1">
      <c r="A468" s="66"/>
      <c r="B468" s="72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70"/>
      <c r="P468" s="66"/>
      <c r="Q468" s="66"/>
      <c r="R468" s="70"/>
      <c r="S468" s="71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</row>
    <row r="469" ht="13.5" customHeight="1">
      <c r="A469" s="66"/>
      <c r="B469" s="72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70"/>
      <c r="P469" s="66"/>
      <c r="Q469" s="66"/>
      <c r="R469" s="70"/>
      <c r="S469" s="71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</row>
    <row r="470" ht="13.5" customHeight="1">
      <c r="A470" s="66"/>
      <c r="B470" s="72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70"/>
      <c r="P470" s="66"/>
      <c r="Q470" s="66"/>
      <c r="R470" s="70"/>
      <c r="S470" s="71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</row>
    <row r="471" ht="13.5" customHeight="1">
      <c r="A471" s="66"/>
      <c r="B471" s="72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70"/>
      <c r="P471" s="66"/>
      <c r="Q471" s="66"/>
      <c r="R471" s="70"/>
      <c r="S471" s="71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</row>
    <row r="472" ht="13.5" customHeight="1">
      <c r="A472" s="66"/>
      <c r="B472" s="72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70"/>
      <c r="P472" s="66"/>
      <c r="Q472" s="66"/>
      <c r="R472" s="70"/>
      <c r="S472" s="71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</row>
    <row r="473" ht="13.5" customHeight="1">
      <c r="A473" s="66"/>
      <c r="B473" s="72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70"/>
      <c r="P473" s="66"/>
      <c r="Q473" s="66"/>
      <c r="R473" s="70"/>
      <c r="S473" s="71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</row>
    <row r="474" ht="13.5" customHeight="1">
      <c r="A474" s="66"/>
      <c r="B474" s="72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70"/>
      <c r="P474" s="66"/>
      <c r="Q474" s="66"/>
      <c r="R474" s="70"/>
      <c r="S474" s="71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</row>
    <row r="475" ht="13.5" customHeight="1">
      <c r="A475" s="66"/>
      <c r="B475" s="72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70"/>
      <c r="P475" s="66"/>
      <c r="Q475" s="66"/>
      <c r="R475" s="70"/>
      <c r="S475" s="71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</row>
    <row r="476" ht="13.5" customHeight="1">
      <c r="A476" s="66"/>
      <c r="B476" s="72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70"/>
      <c r="P476" s="66"/>
      <c r="Q476" s="66"/>
      <c r="R476" s="70"/>
      <c r="S476" s="71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</row>
    <row r="477" ht="13.5" customHeight="1">
      <c r="A477" s="66"/>
      <c r="B477" s="72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70"/>
      <c r="P477" s="66"/>
      <c r="Q477" s="66"/>
      <c r="R477" s="70"/>
      <c r="S477" s="71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</row>
    <row r="478" ht="13.5" customHeight="1">
      <c r="A478" s="66"/>
      <c r="B478" s="72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70"/>
      <c r="P478" s="66"/>
      <c r="Q478" s="66"/>
      <c r="R478" s="70"/>
      <c r="S478" s="71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</row>
    <row r="479" ht="13.5" customHeight="1">
      <c r="A479" s="66"/>
      <c r="B479" s="72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70"/>
      <c r="P479" s="66"/>
      <c r="Q479" s="66"/>
      <c r="R479" s="70"/>
      <c r="S479" s="71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</row>
    <row r="480" ht="13.5" customHeight="1">
      <c r="A480" s="66"/>
      <c r="B480" s="72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70"/>
      <c r="P480" s="66"/>
      <c r="Q480" s="66"/>
      <c r="R480" s="70"/>
      <c r="S480" s="71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</row>
    <row r="481" ht="13.5" customHeight="1">
      <c r="A481" s="66"/>
      <c r="B481" s="72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70"/>
      <c r="P481" s="66"/>
      <c r="Q481" s="66"/>
      <c r="R481" s="70"/>
      <c r="S481" s="71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</row>
    <row r="482" ht="13.5" customHeight="1">
      <c r="A482" s="66"/>
      <c r="B482" s="72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70"/>
      <c r="P482" s="66"/>
      <c r="Q482" s="66"/>
      <c r="R482" s="70"/>
      <c r="S482" s="71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</row>
    <row r="483" ht="13.5" customHeight="1">
      <c r="A483" s="66"/>
      <c r="B483" s="72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70"/>
      <c r="P483" s="66"/>
      <c r="Q483" s="66"/>
      <c r="R483" s="70"/>
      <c r="S483" s="71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</row>
    <row r="484" ht="13.5" customHeight="1">
      <c r="A484" s="66"/>
      <c r="B484" s="72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70"/>
      <c r="P484" s="66"/>
      <c r="Q484" s="66"/>
      <c r="R484" s="70"/>
      <c r="S484" s="71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</row>
    <row r="485" ht="13.5" customHeight="1">
      <c r="A485" s="66"/>
      <c r="B485" s="72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70"/>
      <c r="P485" s="66"/>
      <c r="Q485" s="66"/>
      <c r="R485" s="70"/>
      <c r="S485" s="71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</row>
    <row r="486" ht="13.5" customHeight="1">
      <c r="A486" s="66"/>
      <c r="B486" s="72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70"/>
      <c r="P486" s="66"/>
      <c r="Q486" s="66"/>
      <c r="R486" s="70"/>
      <c r="S486" s="71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</row>
    <row r="487" ht="13.5" customHeight="1">
      <c r="A487" s="66"/>
      <c r="B487" s="72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70"/>
      <c r="P487" s="66"/>
      <c r="Q487" s="66"/>
      <c r="R487" s="70"/>
      <c r="S487" s="71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</row>
    <row r="488" ht="13.5" customHeight="1">
      <c r="A488" s="66"/>
      <c r="B488" s="72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70"/>
      <c r="P488" s="66"/>
      <c r="Q488" s="66"/>
      <c r="R488" s="70"/>
      <c r="S488" s="71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</row>
    <row r="489" ht="13.5" customHeight="1">
      <c r="A489" s="66"/>
      <c r="B489" s="72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70"/>
      <c r="P489" s="66"/>
      <c r="Q489" s="66"/>
      <c r="R489" s="70"/>
      <c r="S489" s="71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</row>
    <row r="490" ht="13.5" customHeight="1">
      <c r="A490" s="66"/>
      <c r="B490" s="72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70"/>
      <c r="P490" s="66"/>
      <c r="Q490" s="66"/>
      <c r="R490" s="70"/>
      <c r="S490" s="71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</row>
    <row r="491" ht="13.5" customHeight="1">
      <c r="A491" s="66"/>
      <c r="B491" s="72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70"/>
      <c r="P491" s="66"/>
      <c r="Q491" s="66"/>
      <c r="R491" s="70"/>
      <c r="S491" s="71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</row>
    <row r="492" ht="13.5" customHeight="1">
      <c r="A492" s="66"/>
      <c r="B492" s="72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70"/>
      <c r="P492" s="66"/>
      <c r="Q492" s="66"/>
      <c r="R492" s="70"/>
      <c r="S492" s="71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</row>
    <row r="493" ht="13.5" customHeight="1">
      <c r="A493" s="66"/>
      <c r="B493" s="72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70"/>
      <c r="P493" s="66"/>
      <c r="Q493" s="66"/>
      <c r="R493" s="70"/>
      <c r="S493" s="71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</row>
    <row r="494" ht="13.5" customHeight="1">
      <c r="A494" s="66"/>
      <c r="B494" s="72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70"/>
      <c r="P494" s="66"/>
      <c r="Q494" s="66"/>
      <c r="R494" s="70"/>
      <c r="S494" s="71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</row>
    <row r="495" ht="13.5" customHeight="1">
      <c r="A495" s="66"/>
      <c r="B495" s="72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70"/>
      <c r="P495" s="66"/>
      <c r="Q495" s="66"/>
      <c r="R495" s="70"/>
      <c r="S495" s="71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</row>
    <row r="496" ht="13.5" customHeight="1">
      <c r="A496" s="66"/>
      <c r="B496" s="72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70"/>
      <c r="P496" s="66"/>
      <c r="Q496" s="66"/>
      <c r="R496" s="70"/>
      <c r="S496" s="71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</row>
    <row r="497" ht="13.5" customHeight="1">
      <c r="A497" s="66"/>
      <c r="B497" s="72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70"/>
      <c r="P497" s="66"/>
      <c r="Q497" s="66"/>
      <c r="R497" s="70"/>
      <c r="S497" s="71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</row>
    <row r="498" ht="13.5" customHeight="1">
      <c r="A498" s="66"/>
      <c r="B498" s="72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70"/>
      <c r="P498" s="66"/>
      <c r="Q498" s="66"/>
      <c r="R498" s="70"/>
      <c r="S498" s="71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</row>
    <row r="499" ht="13.5" customHeight="1">
      <c r="A499" s="66"/>
      <c r="B499" s="72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70"/>
      <c r="P499" s="66"/>
      <c r="Q499" s="66"/>
      <c r="R499" s="70"/>
      <c r="S499" s="71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</row>
    <row r="500" ht="13.5" customHeight="1">
      <c r="A500" s="66"/>
      <c r="B500" s="72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70"/>
      <c r="P500" s="66"/>
      <c r="Q500" s="66"/>
      <c r="R500" s="70"/>
      <c r="S500" s="71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</row>
    <row r="501" ht="13.5" customHeight="1">
      <c r="A501" s="66"/>
      <c r="B501" s="72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70"/>
      <c r="P501" s="66"/>
      <c r="Q501" s="66"/>
      <c r="R501" s="70"/>
      <c r="S501" s="71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</row>
    <row r="502" ht="13.5" customHeight="1">
      <c r="A502" s="66"/>
      <c r="B502" s="72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70"/>
      <c r="P502" s="66"/>
      <c r="Q502" s="66"/>
      <c r="R502" s="70"/>
      <c r="S502" s="71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</row>
    <row r="503" ht="13.5" customHeight="1">
      <c r="A503" s="66"/>
      <c r="B503" s="72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70"/>
      <c r="P503" s="66"/>
      <c r="Q503" s="66"/>
      <c r="R503" s="70"/>
      <c r="S503" s="71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</row>
    <row r="504" ht="13.5" customHeight="1">
      <c r="A504" s="66"/>
      <c r="B504" s="72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70"/>
      <c r="P504" s="66"/>
      <c r="Q504" s="66"/>
      <c r="R504" s="70"/>
      <c r="S504" s="71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</row>
    <row r="505" ht="13.5" customHeight="1">
      <c r="A505" s="66"/>
      <c r="B505" s="72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70"/>
      <c r="P505" s="66"/>
      <c r="Q505" s="66"/>
      <c r="R505" s="70"/>
      <c r="S505" s="71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</row>
    <row r="506" ht="13.5" customHeight="1">
      <c r="A506" s="66"/>
      <c r="B506" s="72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70"/>
      <c r="P506" s="66"/>
      <c r="Q506" s="66"/>
      <c r="R506" s="70"/>
      <c r="S506" s="71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</row>
    <row r="507" ht="13.5" customHeight="1">
      <c r="A507" s="66"/>
      <c r="B507" s="72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70"/>
      <c r="P507" s="66"/>
      <c r="Q507" s="66"/>
      <c r="R507" s="70"/>
      <c r="S507" s="71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</row>
    <row r="508" ht="13.5" customHeight="1">
      <c r="A508" s="66"/>
      <c r="B508" s="72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70"/>
      <c r="P508" s="66"/>
      <c r="Q508" s="66"/>
      <c r="R508" s="70"/>
      <c r="S508" s="71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</row>
    <row r="509" ht="13.5" customHeight="1">
      <c r="A509" s="66"/>
      <c r="B509" s="72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70"/>
      <c r="P509" s="66"/>
      <c r="Q509" s="66"/>
      <c r="R509" s="70"/>
      <c r="S509" s="71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</row>
    <row r="510" ht="13.5" customHeight="1">
      <c r="A510" s="66"/>
      <c r="B510" s="72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70"/>
      <c r="P510" s="66"/>
      <c r="Q510" s="66"/>
      <c r="R510" s="70"/>
      <c r="S510" s="71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</row>
    <row r="511" ht="13.5" customHeight="1">
      <c r="A511" s="66"/>
      <c r="B511" s="72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70"/>
      <c r="P511" s="66"/>
      <c r="Q511" s="66"/>
      <c r="R511" s="70"/>
      <c r="S511" s="71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</row>
    <row r="512" ht="13.5" customHeight="1">
      <c r="A512" s="66"/>
      <c r="B512" s="72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70"/>
      <c r="P512" s="66"/>
      <c r="Q512" s="66"/>
      <c r="R512" s="70"/>
      <c r="S512" s="71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</row>
    <row r="513" ht="13.5" customHeight="1">
      <c r="A513" s="66"/>
      <c r="B513" s="72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70"/>
      <c r="P513" s="66"/>
      <c r="Q513" s="66"/>
      <c r="R513" s="70"/>
      <c r="S513" s="71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</row>
    <row r="514" ht="13.5" customHeight="1">
      <c r="A514" s="66"/>
      <c r="B514" s="72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70"/>
      <c r="P514" s="66"/>
      <c r="Q514" s="66"/>
      <c r="R514" s="70"/>
      <c r="S514" s="71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</row>
    <row r="515" ht="13.5" customHeight="1">
      <c r="A515" s="66"/>
      <c r="B515" s="72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70"/>
      <c r="P515" s="66"/>
      <c r="Q515" s="66"/>
      <c r="R515" s="70"/>
      <c r="S515" s="71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</row>
    <row r="516" ht="13.5" customHeight="1">
      <c r="A516" s="66"/>
      <c r="B516" s="72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70"/>
      <c r="P516" s="66"/>
      <c r="Q516" s="66"/>
      <c r="R516" s="70"/>
      <c r="S516" s="71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</row>
    <row r="517" ht="13.5" customHeight="1">
      <c r="A517" s="66"/>
      <c r="B517" s="72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70"/>
      <c r="P517" s="66"/>
      <c r="Q517" s="66"/>
      <c r="R517" s="70"/>
      <c r="S517" s="71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</row>
    <row r="518" ht="13.5" customHeight="1">
      <c r="A518" s="66"/>
      <c r="B518" s="72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70"/>
      <c r="P518" s="66"/>
      <c r="Q518" s="66"/>
      <c r="R518" s="70"/>
      <c r="S518" s="71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</row>
    <row r="519" ht="13.5" customHeight="1">
      <c r="A519" s="66"/>
      <c r="B519" s="72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70"/>
      <c r="P519" s="66"/>
      <c r="Q519" s="66"/>
      <c r="R519" s="70"/>
      <c r="S519" s="71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</row>
    <row r="520" ht="13.5" customHeight="1">
      <c r="A520" s="66"/>
      <c r="B520" s="72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70"/>
      <c r="P520" s="66"/>
      <c r="Q520" s="66"/>
      <c r="R520" s="70"/>
      <c r="S520" s="71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</row>
    <row r="521" ht="13.5" customHeight="1">
      <c r="A521" s="66"/>
      <c r="B521" s="7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70"/>
      <c r="P521" s="66"/>
      <c r="Q521" s="66"/>
      <c r="R521" s="70"/>
      <c r="S521" s="71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</row>
    <row r="522" ht="13.5" customHeight="1">
      <c r="A522" s="66"/>
      <c r="B522" s="72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70"/>
      <c r="P522" s="66"/>
      <c r="Q522" s="66"/>
      <c r="R522" s="70"/>
      <c r="S522" s="71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</row>
    <row r="523" ht="13.5" customHeight="1">
      <c r="A523" s="66"/>
      <c r="B523" s="72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70"/>
      <c r="P523" s="66"/>
      <c r="Q523" s="66"/>
      <c r="R523" s="70"/>
      <c r="S523" s="71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</row>
    <row r="524" ht="13.5" customHeight="1">
      <c r="A524" s="66"/>
      <c r="B524" s="72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70"/>
      <c r="P524" s="66"/>
      <c r="Q524" s="66"/>
      <c r="R524" s="70"/>
      <c r="S524" s="71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</row>
    <row r="525" ht="13.5" customHeight="1">
      <c r="A525" s="66"/>
      <c r="B525" s="72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70"/>
      <c r="P525" s="66"/>
      <c r="Q525" s="66"/>
      <c r="R525" s="70"/>
      <c r="S525" s="71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</row>
    <row r="526" ht="13.5" customHeight="1">
      <c r="A526" s="66"/>
      <c r="B526" s="72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70"/>
      <c r="P526" s="66"/>
      <c r="Q526" s="66"/>
      <c r="R526" s="70"/>
      <c r="S526" s="71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</row>
    <row r="527" ht="13.5" customHeight="1">
      <c r="A527" s="66"/>
      <c r="B527" s="72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70"/>
      <c r="P527" s="66"/>
      <c r="Q527" s="66"/>
      <c r="R527" s="70"/>
      <c r="S527" s="71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</row>
    <row r="528" ht="13.5" customHeight="1">
      <c r="A528" s="66"/>
      <c r="B528" s="72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70"/>
      <c r="P528" s="66"/>
      <c r="Q528" s="66"/>
      <c r="R528" s="70"/>
      <c r="S528" s="71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</row>
    <row r="529" ht="13.5" customHeight="1">
      <c r="A529" s="66"/>
      <c r="B529" s="72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70"/>
      <c r="P529" s="66"/>
      <c r="Q529" s="66"/>
      <c r="R529" s="70"/>
      <c r="S529" s="71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</row>
    <row r="530" ht="13.5" customHeight="1">
      <c r="A530" s="66"/>
      <c r="B530" s="72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70"/>
      <c r="P530" s="66"/>
      <c r="Q530" s="66"/>
      <c r="R530" s="70"/>
      <c r="S530" s="71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</row>
    <row r="531" ht="13.5" customHeight="1">
      <c r="A531" s="66"/>
      <c r="B531" s="72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70"/>
      <c r="P531" s="66"/>
      <c r="Q531" s="66"/>
      <c r="R531" s="70"/>
      <c r="S531" s="71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</row>
    <row r="532" ht="13.5" customHeight="1">
      <c r="A532" s="66"/>
      <c r="B532" s="72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70"/>
      <c r="P532" s="66"/>
      <c r="Q532" s="66"/>
      <c r="R532" s="70"/>
      <c r="S532" s="71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</row>
    <row r="533" ht="13.5" customHeight="1">
      <c r="A533" s="66"/>
      <c r="B533" s="72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70"/>
      <c r="P533" s="66"/>
      <c r="Q533" s="66"/>
      <c r="R533" s="70"/>
      <c r="S533" s="71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</row>
    <row r="534" ht="13.5" customHeight="1">
      <c r="A534" s="66"/>
      <c r="B534" s="72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70"/>
      <c r="P534" s="66"/>
      <c r="Q534" s="66"/>
      <c r="R534" s="70"/>
      <c r="S534" s="71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</row>
    <row r="535" ht="13.5" customHeight="1">
      <c r="A535" s="66"/>
      <c r="B535" s="72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70"/>
      <c r="P535" s="66"/>
      <c r="Q535" s="66"/>
      <c r="R535" s="70"/>
      <c r="S535" s="71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</row>
    <row r="536" ht="13.5" customHeight="1">
      <c r="A536" s="66"/>
      <c r="B536" s="72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70"/>
      <c r="P536" s="66"/>
      <c r="Q536" s="66"/>
      <c r="R536" s="70"/>
      <c r="S536" s="71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</row>
    <row r="537" ht="13.5" customHeight="1">
      <c r="A537" s="66"/>
      <c r="B537" s="72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70"/>
      <c r="P537" s="66"/>
      <c r="Q537" s="66"/>
      <c r="R537" s="70"/>
      <c r="S537" s="71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</row>
    <row r="538" ht="13.5" customHeight="1">
      <c r="A538" s="66"/>
      <c r="B538" s="72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70"/>
      <c r="P538" s="66"/>
      <c r="Q538" s="66"/>
      <c r="R538" s="70"/>
      <c r="S538" s="71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</row>
    <row r="539" ht="13.5" customHeight="1">
      <c r="A539" s="66"/>
      <c r="B539" s="72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70"/>
      <c r="P539" s="66"/>
      <c r="Q539" s="66"/>
      <c r="R539" s="70"/>
      <c r="S539" s="71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</row>
    <row r="540" ht="13.5" customHeight="1">
      <c r="A540" s="66"/>
      <c r="B540" s="72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70"/>
      <c r="P540" s="66"/>
      <c r="Q540" s="66"/>
      <c r="R540" s="70"/>
      <c r="S540" s="71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</row>
    <row r="541" ht="13.5" customHeight="1">
      <c r="A541" s="66"/>
      <c r="B541" s="72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70"/>
      <c r="P541" s="66"/>
      <c r="Q541" s="66"/>
      <c r="R541" s="70"/>
      <c r="S541" s="71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</row>
    <row r="542" ht="13.5" customHeight="1">
      <c r="A542" s="66"/>
      <c r="B542" s="72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70"/>
      <c r="P542" s="66"/>
      <c r="Q542" s="66"/>
      <c r="R542" s="70"/>
      <c r="S542" s="71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</row>
    <row r="543" ht="13.5" customHeight="1">
      <c r="A543" s="66"/>
      <c r="B543" s="72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70"/>
      <c r="P543" s="66"/>
      <c r="Q543" s="66"/>
      <c r="R543" s="70"/>
      <c r="S543" s="71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</row>
    <row r="544" ht="13.5" customHeight="1">
      <c r="A544" s="66"/>
      <c r="B544" s="72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70"/>
      <c r="P544" s="66"/>
      <c r="Q544" s="66"/>
      <c r="R544" s="70"/>
      <c r="S544" s="71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</row>
    <row r="545" ht="13.5" customHeight="1">
      <c r="A545" s="66"/>
      <c r="B545" s="72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70"/>
      <c r="P545" s="66"/>
      <c r="Q545" s="66"/>
      <c r="R545" s="70"/>
      <c r="S545" s="71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</row>
    <row r="546" ht="13.5" customHeight="1">
      <c r="A546" s="66"/>
      <c r="B546" s="72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70"/>
      <c r="P546" s="66"/>
      <c r="Q546" s="66"/>
      <c r="R546" s="70"/>
      <c r="S546" s="71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</row>
    <row r="547" ht="13.5" customHeight="1">
      <c r="A547" s="66"/>
      <c r="B547" s="72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70"/>
      <c r="P547" s="66"/>
      <c r="Q547" s="66"/>
      <c r="R547" s="70"/>
      <c r="S547" s="71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</row>
    <row r="548" ht="13.5" customHeight="1">
      <c r="A548" s="66"/>
      <c r="B548" s="72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70"/>
      <c r="P548" s="66"/>
      <c r="Q548" s="66"/>
      <c r="R548" s="70"/>
      <c r="S548" s="71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</row>
    <row r="549" ht="13.5" customHeight="1">
      <c r="A549" s="66"/>
      <c r="B549" s="72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70"/>
      <c r="P549" s="66"/>
      <c r="Q549" s="66"/>
      <c r="R549" s="70"/>
      <c r="S549" s="71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</row>
    <row r="550" ht="13.5" customHeight="1">
      <c r="A550" s="66"/>
      <c r="B550" s="72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70"/>
      <c r="P550" s="66"/>
      <c r="Q550" s="66"/>
      <c r="R550" s="70"/>
      <c r="S550" s="71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</row>
    <row r="551" ht="13.5" customHeight="1">
      <c r="A551" s="66"/>
      <c r="B551" s="72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70"/>
      <c r="P551" s="66"/>
      <c r="Q551" s="66"/>
      <c r="R551" s="70"/>
      <c r="S551" s="71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</row>
    <row r="552" ht="13.5" customHeight="1">
      <c r="A552" s="66"/>
      <c r="B552" s="72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70"/>
      <c r="P552" s="66"/>
      <c r="Q552" s="66"/>
      <c r="R552" s="70"/>
      <c r="S552" s="71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</row>
    <row r="553" ht="13.5" customHeight="1">
      <c r="A553" s="66"/>
      <c r="B553" s="72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70"/>
      <c r="P553" s="66"/>
      <c r="Q553" s="66"/>
      <c r="R553" s="70"/>
      <c r="S553" s="71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</row>
    <row r="554" ht="13.5" customHeight="1">
      <c r="A554" s="66"/>
      <c r="B554" s="72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70"/>
      <c r="P554" s="66"/>
      <c r="Q554" s="66"/>
      <c r="R554" s="70"/>
      <c r="S554" s="71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</row>
    <row r="555" ht="13.5" customHeight="1">
      <c r="A555" s="66"/>
      <c r="B555" s="72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70"/>
      <c r="P555" s="66"/>
      <c r="Q555" s="66"/>
      <c r="R555" s="70"/>
      <c r="S555" s="71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</row>
    <row r="556" ht="13.5" customHeight="1">
      <c r="A556" s="66"/>
      <c r="B556" s="72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70"/>
      <c r="P556" s="66"/>
      <c r="Q556" s="66"/>
      <c r="R556" s="70"/>
      <c r="S556" s="71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</row>
    <row r="557" ht="13.5" customHeight="1">
      <c r="A557" s="66"/>
      <c r="B557" s="72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70"/>
      <c r="P557" s="66"/>
      <c r="Q557" s="66"/>
      <c r="R557" s="70"/>
      <c r="S557" s="71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</row>
    <row r="558" ht="13.5" customHeight="1">
      <c r="A558" s="66"/>
      <c r="B558" s="72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70"/>
      <c r="P558" s="66"/>
      <c r="Q558" s="66"/>
      <c r="R558" s="70"/>
      <c r="S558" s="71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</row>
    <row r="559" ht="13.5" customHeight="1">
      <c r="A559" s="66"/>
      <c r="B559" s="72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70"/>
      <c r="P559" s="66"/>
      <c r="Q559" s="66"/>
      <c r="R559" s="70"/>
      <c r="S559" s="71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</row>
    <row r="560" ht="13.5" customHeight="1">
      <c r="A560" s="66"/>
      <c r="B560" s="72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70"/>
      <c r="P560" s="66"/>
      <c r="Q560" s="66"/>
      <c r="R560" s="70"/>
      <c r="S560" s="71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</row>
    <row r="561" ht="13.5" customHeight="1">
      <c r="A561" s="66"/>
      <c r="B561" s="72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70"/>
      <c r="P561" s="66"/>
      <c r="Q561" s="66"/>
      <c r="R561" s="70"/>
      <c r="S561" s="71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</row>
    <row r="562" ht="13.5" customHeight="1">
      <c r="A562" s="66"/>
      <c r="B562" s="72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70"/>
      <c r="P562" s="66"/>
      <c r="Q562" s="66"/>
      <c r="R562" s="70"/>
      <c r="S562" s="71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</row>
    <row r="563" ht="13.5" customHeight="1">
      <c r="A563" s="66"/>
      <c r="B563" s="72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70"/>
      <c r="P563" s="66"/>
      <c r="Q563" s="66"/>
      <c r="R563" s="70"/>
      <c r="S563" s="71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</row>
    <row r="564" ht="13.5" customHeight="1">
      <c r="A564" s="66"/>
      <c r="B564" s="72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70"/>
      <c r="P564" s="66"/>
      <c r="Q564" s="66"/>
      <c r="R564" s="70"/>
      <c r="S564" s="71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</row>
    <row r="565" ht="13.5" customHeight="1">
      <c r="A565" s="66"/>
      <c r="B565" s="72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70"/>
      <c r="P565" s="66"/>
      <c r="Q565" s="66"/>
      <c r="R565" s="70"/>
      <c r="S565" s="71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</row>
    <row r="566" ht="13.5" customHeight="1">
      <c r="A566" s="66"/>
      <c r="B566" s="72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70"/>
      <c r="P566" s="66"/>
      <c r="Q566" s="66"/>
      <c r="R566" s="70"/>
      <c r="S566" s="71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</row>
    <row r="567" ht="13.5" customHeight="1">
      <c r="A567" s="66"/>
      <c r="B567" s="72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70"/>
      <c r="P567" s="66"/>
      <c r="Q567" s="66"/>
      <c r="R567" s="70"/>
      <c r="S567" s="71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</row>
    <row r="568" ht="13.5" customHeight="1">
      <c r="A568" s="66"/>
      <c r="B568" s="72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70"/>
      <c r="P568" s="66"/>
      <c r="Q568" s="66"/>
      <c r="R568" s="70"/>
      <c r="S568" s="71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</row>
    <row r="569" ht="13.5" customHeight="1">
      <c r="A569" s="66"/>
      <c r="B569" s="72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70"/>
      <c r="P569" s="66"/>
      <c r="Q569" s="66"/>
      <c r="R569" s="70"/>
      <c r="S569" s="71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</row>
    <row r="570" ht="13.5" customHeight="1">
      <c r="A570" s="66"/>
      <c r="B570" s="72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70"/>
      <c r="P570" s="66"/>
      <c r="Q570" s="66"/>
      <c r="R570" s="70"/>
      <c r="S570" s="71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</row>
    <row r="571" ht="13.5" customHeight="1">
      <c r="A571" s="66"/>
      <c r="B571" s="72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70"/>
      <c r="P571" s="66"/>
      <c r="Q571" s="66"/>
      <c r="R571" s="70"/>
      <c r="S571" s="71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</row>
    <row r="572" ht="13.5" customHeight="1">
      <c r="A572" s="66"/>
      <c r="B572" s="72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70"/>
      <c r="P572" s="66"/>
      <c r="Q572" s="66"/>
      <c r="R572" s="70"/>
      <c r="S572" s="71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</row>
    <row r="573" ht="13.5" customHeight="1">
      <c r="A573" s="66"/>
      <c r="B573" s="72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70"/>
      <c r="P573" s="66"/>
      <c r="Q573" s="66"/>
      <c r="R573" s="70"/>
      <c r="S573" s="71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</row>
    <row r="574" ht="13.5" customHeight="1">
      <c r="A574" s="66"/>
      <c r="B574" s="72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70"/>
      <c r="P574" s="66"/>
      <c r="Q574" s="66"/>
      <c r="R574" s="70"/>
      <c r="S574" s="71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</row>
    <row r="575" ht="13.5" customHeight="1">
      <c r="A575" s="66"/>
      <c r="B575" s="72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70"/>
      <c r="P575" s="66"/>
      <c r="Q575" s="66"/>
      <c r="R575" s="70"/>
      <c r="S575" s="71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</row>
    <row r="576" ht="13.5" customHeight="1">
      <c r="A576" s="66"/>
      <c r="B576" s="72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70"/>
      <c r="P576" s="66"/>
      <c r="Q576" s="66"/>
      <c r="R576" s="70"/>
      <c r="S576" s="71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</row>
    <row r="577" ht="13.5" customHeight="1">
      <c r="A577" s="66"/>
      <c r="B577" s="72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70"/>
      <c r="P577" s="66"/>
      <c r="Q577" s="66"/>
      <c r="R577" s="70"/>
      <c r="S577" s="71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</row>
    <row r="578" ht="13.5" customHeight="1">
      <c r="A578" s="66"/>
      <c r="B578" s="72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70"/>
      <c r="P578" s="66"/>
      <c r="Q578" s="66"/>
      <c r="R578" s="70"/>
      <c r="S578" s="71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</row>
    <row r="579" ht="13.5" customHeight="1">
      <c r="A579" s="66"/>
      <c r="B579" s="72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70"/>
      <c r="P579" s="66"/>
      <c r="Q579" s="66"/>
      <c r="R579" s="70"/>
      <c r="S579" s="71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</row>
    <row r="580" ht="13.5" customHeight="1">
      <c r="A580" s="66"/>
      <c r="B580" s="72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70"/>
      <c r="P580" s="66"/>
      <c r="Q580" s="66"/>
      <c r="R580" s="70"/>
      <c r="S580" s="71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</row>
    <row r="581" ht="13.5" customHeight="1">
      <c r="A581" s="66"/>
      <c r="B581" s="72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70"/>
      <c r="P581" s="66"/>
      <c r="Q581" s="66"/>
      <c r="R581" s="70"/>
      <c r="S581" s="71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</row>
    <row r="582" ht="13.5" customHeight="1">
      <c r="A582" s="66"/>
      <c r="B582" s="72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70"/>
      <c r="P582" s="66"/>
      <c r="Q582" s="66"/>
      <c r="R582" s="70"/>
      <c r="S582" s="71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</row>
    <row r="583" ht="13.5" customHeight="1">
      <c r="A583" s="66"/>
      <c r="B583" s="72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70"/>
      <c r="P583" s="66"/>
      <c r="Q583" s="66"/>
      <c r="R583" s="70"/>
      <c r="S583" s="71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</row>
    <row r="584" ht="13.5" customHeight="1">
      <c r="A584" s="66"/>
      <c r="B584" s="72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70"/>
      <c r="P584" s="66"/>
      <c r="Q584" s="66"/>
      <c r="R584" s="70"/>
      <c r="S584" s="71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</row>
    <row r="585" ht="13.5" customHeight="1">
      <c r="A585" s="66"/>
      <c r="B585" s="72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70"/>
      <c r="P585" s="66"/>
      <c r="Q585" s="66"/>
      <c r="R585" s="70"/>
      <c r="S585" s="71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</row>
    <row r="586" ht="13.5" customHeight="1">
      <c r="A586" s="66"/>
      <c r="B586" s="72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70"/>
      <c r="P586" s="66"/>
      <c r="Q586" s="66"/>
      <c r="R586" s="70"/>
      <c r="S586" s="71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</row>
    <row r="587" ht="13.5" customHeight="1">
      <c r="A587" s="66"/>
      <c r="B587" s="72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70"/>
      <c r="P587" s="66"/>
      <c r="Q587" s="66"/>
      <c r="R587" s="70"/>
      <c r="S587" s="71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</row>
    <row r="588" ht="13.5" customHeight="1">
      <c r="A588" s="66"/>
      <c r="B588" s="72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70"/>
      <c r="P588" s="66"/>
      <c r="Q588" s="66"/>
      <c r="R588" s="70"/>
      <c r="S588" s="71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</row>
    <row r="589" ht="13.5" customHeight="1">
      <c r="A589" s="66"/>
      <c r="B589" s="72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70"/>
      <c r="P589" s="66"/>
      <c r="Q589" s="66"/>
      <c r="R589" s="70"/>
      <c r="S589" s="71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</row>
    <row r="590" ht="13.5" customHeight="1">
      <c r="A590" s="66"/>
      <c r="B590" s="72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70"/>
      <c r="P590" s="66"/>
      <c r="Q590" s="66"/>
      <c r="R590" s="70"/>
      <c r="S590" s="71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</row>
    <row r="591" ht="13.5" customHeight="1">
      <c r="A591" s="66"/>
      <c r="B591" s="72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70"/>
      <c r="P591" s="66"/>
      <c r="Q591" s="66"/>
      <c r="R591" s="70"/>
      <c r="S591" s="71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</row>
    <row r="592" ht="13.5" customHeight="1">
      <c r="A592" s="66"/>
      <c r="B592" s="72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70"/>
      <c r="P592" s="66"/>
      <c r="Q592" s="66"/>
      <c r="R592" s="70"/>
      <c r="S592" s="71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</row>
    <row r="593" ht="13.5" customHeight="1">
      <c r="A593" s="66"/>
      <c r="B593" s="72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70"/>
      <c r="P593" s="66"/>
      <c r="Q593" s="66"/>
      <c r="R593" s="70"/>
      <c r="S593" s="71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</row>
    <row r="594" ht="13.5" customHeight="1">
      <c r="A594" s="66"/>
      <c r="B594" s="72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70"/>
      <c r="P594" s="66"/>
      <c r="Q594" s="66"/>
      <c r="R594" s="70"/>
      <c r="S594" s="71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</row>
    <row r="595" ht="13.5" customHeight="1">
      <c r="A595" s="66"/>
      <c r="B595" s="72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70"/>
      <c r="P595" s="66"/>
      <c r="Q595" s="66"/>
      <c r="R595" s="70"/>
      <c r="S595" s="71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</row>
    <row r="596" ht="13.5" customHeight="1">
      <c r="A596" s="66"/>
      <c r="B596" s="72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70"/>
      <c r="P596" s="66"/>
      <c r="Q596" s="66"/>
      <c r="R596" s="70"/>
      <c r="S596" s="71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</row>
    <row r="597" ht="13.5" customHeight="1">
      <c r="A597" s="66"/>
      <c r="B597" s="72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70"/>
      <c r="P597" s="66"/>
      <c r="Q597" s="66"/>
      <c r="R597" s="70"/>
      <c r="S597" s="71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</row>
    <row r="598" ht="13.5" customHeight="1">
      <c r="A598" s="66"/>
      <c r="B598" s="72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70"/>
      <c r="P598" s="66"/>
      <c r="Q598" s="66"/>
      <c r="R598" s="70"/>
      <c r="S598" s="71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</row>
    <row r="599" ht="13.5" customHeight="1">
      <c r="A599" s="66"/>
      <c r="B599" s="72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70"/>
      <c r="P599" s="66"/>
      <c r="Q599" s="66"/>
      <c r="R599" s="70"/>
      <c r="S599" s="71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</row>
    <row r="600" ht="13.5" customHeight="1">
      <c r="A600" s="66"/>
      <c r="B600" s="72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70"/>
      <c r="P600" s="66"/>
      <c r="Q600" s="66"/>
      <c r="R600" s="70"/>
      <c r="S600" s="71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</row>
    <row r="601" ht="13.5" customHeight="1">
      <c r="A601" s="66"/>
      <c r="B601" s="72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70"/>
      <c r="P601" s="66"/>
      <c r="Q601" s="66"/>
      <c r="R601" s="70"/>
      <c r="S601" s="71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</row>
    <row r="602" ht="13.5" customHeight="1">
      <c r="A602" s="66"/>
      <c r="B602" s="72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70"/>
      <c r="P602" s="66"/>
      <c r="Q602" s="66"/>
      <c r="R602" s="70"/>
      <c r="S602" s="71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</row>
    <row r="603" ht="13.5" customHeight="1">
      <c r="A603" s="66"/>
      <c r="B603" s="72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70"/>
      <c r="P603" s="66"/>
      <c r="Q603" s="66"/>
      <c r="R603" s="70"/>
      <c r="S603" s="71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</row>
    <row r="604" ht="13.5" customHeight="1">
      <c r="A604" s="66"/>
      <c r="B604" s="72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70"/>
      <c r="P604" s="66"/>
      <c r="Q604" s="66"/>
      <c r="R604" s="70"/>
      <c r="S604" s="71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</row>
    <row r="605" ht="13.5" customHeight="1">
      <c r="A605" s="66"/>
      <c r="B605" s="72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70"/>
      <c r="P605" s="66"/>
      <c r="Q605" s="66"/>
      <c r="R605" s="70"/>
      <c r="S605" s="71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</row>
    <row r="606" ht="13.5" customHeight="1">
      <c r="A606" s="66"/>
      <c r="B606" s="72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70"/>
      <c r="P606" s="66"/>
      <c r="Q606" s="66"/>
      <c r="R606" s="70"/>
      <c r="S606" s="71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</row>
    <row r="607" ht="13.5" customHeight="1">
      <c r="A607" s="66"/>
      <c r="B607" s="72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70"/>
      <c r="P607" s="66"/>
      <c r="Q607" s="66"/>
      <c r="R607" s="70"/>
      <c r="S607" s="71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</row>
    <row r="608" ht="13.5" customHeight="1">
      <c r="A608" s="66"/>
      <c r="B608" s="72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70"/>
      <c r="P608" s="66"/>
      <c r="Q608" s="66"/>
      <c r="R608" s="70"/>
      <c r="S608" s="71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</row>
    <row r="609" ht="13.5" customHeight="1">
      <c r="A609" s="66"/>
      <c r="B609" s="72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70"/>
      <c r="P609" s="66"/>
      <c r="Q609" s="66"/>
      <c r="R609" s="70"/>
      <c r="S609" s="71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</row>
    <row r="610" ht="13.5" customHeight="1">
      <c r="A610" s="66"/>
      <c r="B610" s="72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70"/>
      <c r="P610" s="66"/>
      <c r="Q610" s="66"/>
      <c r="R610" s="70"/>
      <c r="S610" s="71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</row>
    <row r="611" ht="13.5" customHeight="1">
      <c r="A611" s="66"/>
      <c r="B611" s="72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70"/>
      <c r="P611" s="66"/>
      <c r="Q611" s="66"/>
      <c r="R611" s="70"/>
      <c r="S611" s="71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</row>
    <row r="612" ht="13.5" customHeight="1">
      <c r="A612" s="66"/>
      <c r="B612" s="72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70"/>
      <c r="P612" s="66"/>
      <c r="Q612" s="66"/>
      <c r="R612" s="70"/>
      <c r="S612" s="71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</row>
    <row r="613" ht="13.5" customHeight="1">
      <c r="A613" s="66"/>
      <c r="B613" s="72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70"/>
      <c r="P613" s="66"/>
      <c r="Q613" s="66"/>
      <c r="R613" s="70"/>
      <c r="S613" s="71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</row>
    <row r="614" ht="13.5" customHeight="1">
      <c r="A614" s="66"/>
      <c r="B614" s="72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70"/>
      <c r="P614" s="66"/>
      <c r="Q614" s="66"/>
      <c r="R614" s="70"/>
      <c r="S614" s="71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</row>
    <row r="615" ht="13.5" customHeight="1">
      <c r="A615" s="66"/>
      <c r="B615" s="72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70"/>
      <c r="P615" s="66"/>
      <c r="Q615" s="66"/>
      <c r="R615" s="70"/>
      <c r="S615" s="71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</row>
    <row r="616" ht="13.5" customHeight="1">
      <c r="A616" s="66"/>
      <c r="B616" s="72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70"/>
      <c r="P616" s="66"/>
      <c r="Q616" s="66"/>
      <c r="R616" s="70"/>
      <c r="S616" s="71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</row>
    <row r="617" ht="13.5" customHeight="1">
      <c r="A617" s="66"/>
      <c r="B617" s="72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70"/>
      <c r="P617" s="66"/>
      <c r="Q617" s="66"/>
      <c r="R617" s="70"/>
      <c r="S617" s="71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</row>
    <row r="618" ht="13.5" customHeight="1">
      <c r="A618" s="66"/>
      <c r="B618" s="72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70"/>
      <c r="P618" s="66"/>
      <c r="Q618" s="66"/>
      <c r="R618" s="70"/>
      <c r="S618" s="71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</row>
    <row r="619" ht="13.5" customHeight="1">
      <c r="A619" s="66"/>
      <c r="B619" s="72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70"/>
      <c r="P619" s="66"/>
      <c r="Q619" s="66"/>
      <c r="R619" s="70"/>
      <c r="S619" s="71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</row>
    <row r="620" ht="13.5" customHeight="1">
      <c r="A620" s="66"/>
      <c r="B620" s="72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70"/>
      <c r="P620" s="66"/>
      <c r="Q620" s="66"/>
      <c r="R620" s="70"/>
      <c r="S620" s="71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</row>
    <row r="621" ht="13.5" customHeight="1">
      <c r="A621" s="66"/>
      <c r="B621" s="72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70"/>
      <c r="P621" s="66"/>
      <c r="Q621" s="66"/>
      <c r="R621" s="70"/>
      <c r="S621" s="71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</row>
    <row r="622" ht="13.5" customHeight="1">
      <c r="A622" s="66"/>
      <c r="B622" s="72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70"/>
      <c r="P622" s="66"/>
      <c r="Q622" s="66"/>
      <c r="R622" s="70"/>
      <c r="S622" s="71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</row>
    <row r="623" ht="13.5" customHeight="1">
      <c r="A623" s="66"/>
      <c r="B623" s="72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70"/>
      <c r="P623" s="66"/>
      <c r="Q623" s="66"/>
      <c r="R623" s="70"/>
      <c r="S623" s="71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</row>
    <row r="624" ht="13.5" customHeight="1">
      <c r="A624" s="66"/>
      <c r="B624" s="72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70"/>
      <c r="P624" s="66"/>
      <c r="Q624" s="66"/>
      <c r="R624" s="70"/>
      <c r="S624" s="71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</row>
    <row r="625" ht="13.5" customHeight="1">
      <c r="A625" s="66"/>
      <c r="B625" s="72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70"/>
      <c r="P625" s="66"/>
      <c r="Q625" s="66"/>
      <c r="R625" s="70"/>
      <c r="S625" s="71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</row>
    <row r="626" ht="13.5" customHeight="1">
      <c r="A626" s="66"/>
      <c r="B626" s="72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70"/>
      <c r="P626" s="66"/>
      <c r="Q626" s="66"/>
      <c r="R626" s="70"/>
      <c r="S626" s="71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</row>
    <row r="627" ht="13.5" customHeight="1">
      <c r="A627" s="66"/>
      <c r="B627" s="72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70"/>
      <c r="P627" s="66"/>
      <c r="Q627" s="66"/>
      <c r="R627" s="70"/>
      <c r="S627" s="71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</row>
    <row r="628" ht="13.5" customHeight="1">
      <c r="A628" s="66"/>
      <c r="B628" s="72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70"/>
      <c r="P628" s="66"/>
      <c r="Q628" s="66"/>
      <c r="R628" s="70"/>
      <c r="S628" s="71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</row>
    <row r="629" ht="13.5" customHeight="1">
      <c r="A629" s="66"/>
      <c r="B629" s="72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70"/>
      <c r="P629" s="66"/>
      <c r="Q629" s="66"/>
      <c r="R629" s="70"/>
      <c r="S629" s="71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</row>
    <row r="630" ht="13.5" customHeight="1">
      <c r="A630" s="66"/>
      <c r="B630" s="72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70"/>
      <c r="P630" s="66"/>
      <c r="Q630" s="66"/>
      <c r="R630" s="70"/>
      <c r="S630" s="71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</row>
    <row r="631" ht="13.5" customHeight="1">
      <c r="A631" s="66"/>
      <c r="B631" s="72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70"/>
      <c r="P631" s="66"/>
      <c r="Q631" s="66"/>
      <c r="R631" s="70"/>
      <c r="S631" s="71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</row>
    <row r="632" ht="13.5" customHeight="1">
      <c r="A632" s="66"/>
      <c r="B632" s="72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70"/>
      <c r="P632" s="66"/>
      <c r="Q632" s="66"/>
      <c r="R632" s="70"/>
      <c r="S632" s="71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</row>
    <row r="633" ht="13.5" customHeight="1">
      <c r="A633" s="66"/>
      <c r="B633" s="72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70"/>
      <c r="P633" s="66"/>
      <c r="Q633" s="66"/>
      <c r="R633" s="70"/>
      <c r="S633" s="71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</row>
    <row r="634" ht="13.5" customHeight="1">
      <c r="A634" s="66"/>
      <c r="B634" s="72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70"/>
      <c r="P634" s="66"/>
      <c r="Q634" s="66"/>
      <c r="R634" s="70"/>
      <c r="S634" s="71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</row>
    <row r="635" ht="13.5" customHeight="1">
      <c r="A635" s="66"/>
      <c r="B635" s="72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70"/>
      <c r="P635" s="66"/>
      <c r="Q635" s="66"/>
      <c r="R635" s="70"/>
      <c r="S635" s="71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</row>
    <row r="636" ht="13.5" customHeight="1">
      <c r="A636" s="66"/>
      <c r="B636" s="72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70"/>
      <c r="P636" s="66"/>
      <c r="Q636" s="66"/>
      <c r="R636" s="70"/>
      <c r="S636" s="71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</row>
    <row r="637" ht="13.5" customHeight="1">
      <c r="A637" s="66"/>
      <c r="B637" s="72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70"/>
      <c r="P637" s="66"/>
      <c r="Q637" s="66"/>
      <c r="R637" s="70"/>
      <c r="S637" s="71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</row>
    <row r="638" ht="13.5" customHeight="1">
      <c r="A638" s="66"/>
      <c r="B638" s="72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70"/>
      <c r="P638" s="66"/>
      <c r="Q638" s="66"/>
      <c r="R638" s="70"/>
      <c r="S638" s="71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</row>
    <row r="639" ht="13.5" customHeight="1">
      <c r="A639" s="66"/>
      <c r="B639" s="72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70"/>
      <c r="P639" s="66"/>
      <c r="Q639" s="66"/>
      <c r="R639" s="70"/>
      <c r="S639" s="71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</row>
    <row r="640" ht="13.5" customHeight="1">
      <c r="A640" s="66"/>
      <c r="B640" s="72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70"/>
      <c r="P640" s="66"/>
      <c r="Q640" s="66"/>
      <c r="R640" s="70"/>
      <c r="S640" s="71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</row>
    <row r="641" ht="13.5" customHeight="1">
      <c r="A641" s="66"/>
      <c r="B641" s="72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70"/>
      <c r="P641" s="66"/>
      <c r="Q641" s="66"/>
      <c r="R641" s="70"/>
      <c r="S641" s="71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</row>
    <row r="642" ht="13.5" customHeight="1">
      <c r="A642" s="66"/>
      <c r="B642" s="72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70"/>
      <c r="P642" s="66"/>
      <c r="Q642" s="66"/>
      <c r="R642" s="70"/>
      <c r="S642" s="71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</row>
    <row r="643" ht="13.5" customHeight="1">
      <c r="A643" s="66"/>
      <c r="B643" s="72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70"/>
      <c r="P643" s="66"/>
      <c r="Q643" s="66"/>
      <c r="R643" s="70"/>
      <c r="S643" s="71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</row>
    <row r="644" ht="13.5" customHeight="1">
      <c r="A644" s="66"/>
      <c r="B644" s="72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70"/>
      <c r="P644" s="66"/>
      <c r="Q644" s="66"/>
      <c r="R644" s="70"/>
      <c r="S644" s="71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</row>
    <row r="645" ht="13.5" customHeight="1">
      <c r="A645" s="66"/>
      <c r="B645" s="72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70"/>
      <c r="P645" s="66"/>
      <c r="Q645" s="66"/>
      <c r="R645" s="70"/>
      <c r="S645" s="71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</row>
    <row r="646" ht="13.5" customHeight="1">
      <c r="A646" s="66"/>
      <c r="B646" s="72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70"/>
      <c r="P646" s="66"/>
      <c r="Q646" s="66"/>
      <c r="R646" s="70"/>
      <c r="S646" s="71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</row>
    <row r="647" ht="13.5" customHeight="1">
      <c r="A647" s="66"/>
      <c r="B647" s="72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70"/>
      <c r="P647" s="66"/>
      <c r="Q647" s="66"/>
      <c r="R647" s="70"/>
      <c r="S647" s="71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</row>
    <row r="648" ht="13.5" customHeight="1">
      <c r="A648" s="66"/>
      <c r="B648" s="72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70"/>
      <c r="P648" s="66"/>
      <c r="Q648" s="66"/>
      <c r="R648" s="70"/>
      <c r="S648" s="71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</row>
    <row r="649" ht="13.5" customHeight="1">
      <c r="A649" s="66"/>
      <c r="B649" s="72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70"/>
      <c r="P649" s="66"/>
      <c r="Q649" s="66"/>
      <c r="R649" s="70"/>
      <c r="S649" s="71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</row>
    <row r="650" ht="13.5" customHeight="1">
      <c r="A650" s="66"/>
      <c r="B650" s="72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70"/>
      <c r="P650" s="66"/>
      <c r="Q650" s="66"/>
      <c r="R650" s="70"/>
      <c r="S650" s="71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</row>
    <row r="651" ht="13.5" customHeight="1">
      <c r="A651" s="66"/>
      <c r="B651" s="72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70"/>
      <c r="P651" s="66"/>
      <c r="Q651" s="66"/>
      <c r="R651" s="70"/>
      <c r="S651" s="71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</row>
    <row r="652" ht="13.5" customHeight="1">
      <c r="A652" s="66"/>
      <c r="B652" s="72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70"/>
      <c r="P652" s="66"/>
      <c r="Q652" s="66"/>
      <c r="R652" s="70"/>
      <c r="S652" s="71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</row>
    <row r="653" ht="13.5" customHeight="1">
      <c r="A653" s="66"/>
      <c r="B653" s="72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70"/>
      <c r="P653" s="66"/>
      <c r="Q653" s="66"/>
      <c r="R653" s="70"/>
      <c r="S653" s="71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</row>
    <row r="654" ht="13.5" customHeight="1">
      <c r="A654" s="66"/>
      <c r="B654" s="72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70"/>
      <c r="P654" s="66"/>
      <c r="Q654" s="66"/>
      <c r="R654" s="70"/>
      <c r="S654" s="71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</row>
    <row r="655" ht="13.5" customHeight="1">
      <c r="A655" s="66"/>
      <c r="B655" s="72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70"/>
      <c r="P655" s="66"/>
      <c r="Q655" s="66"/>
      <c r="R655" s="70"/>
      <c r="S655" s="71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</row>
    <row r="656" ht="13.5" customHeight="1">
      <c r="A656" s="66"/>
      <c r="B656" s="72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70"/>
      <c r="P656" s="66"/>
      <c r="Q656" s="66"/>
      <c r="R656" s="70"/>
      <c r="S656" s="71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</row>
    <row r="657" ht="13.5" customHeight="1">
      <c r="A657" s="66"/>
      <c r="B657" s="72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70"/>
      <c r="P657" s="66"/>
      <c r="Q657" s="66"/>
      <c r="R657" s="70"/>
      <c r="S657" s="71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</row>
    <row r="658" ht="13.5" customHeight="1">
      <c r="A658" s="66"/>
      <c r="B658" s="72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70"/>
      <c r="P658" s="66"/>
      <c r="Q658" s="66"/>
      <c r="R658" s="70"/>
      <c r="S658" s="71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</row>
    <row r="659" ht="13.5" customHeight="1">
      <c r="A659" s="66"/>
      <c r="B659" s="72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70"/>
      <c r="P659" s="66"/>
      <c r="Q659" s="66"/>
      <c r="R659" s="70"/>
      <c r="S659" s="71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</row>
    <row r="660" ht="13.5" customHeight="1">
      <c r="A660" s="66"/>
      <c r="B660" s="72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70"/>
      <c r="P660" s="66"/>
      <c r="Q660" s="66"/>
      <c r="R660" s="70"/>
      <c r="S660" s="71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</row>
    <row r="661" ht="13.5" customHeight="1">
      <c r="A661" s="66"/>
      <c r="B661" s="72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70"/>
      <c r="P661" s="66"/>
      <c r="Q661" s="66"/>
      <c r="R661" s="70"/>
      <c r="S661" s="71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</row>
    <row r="662" ht="13.5" customHeight="1">
      <c r="A662" s="66"/>
      <c r="B662" s="72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70"/>
      <c r="P662" s="66"/>
      <c r="Q662" s="66"/>
      <c r="R662" s="70"/>
      <c r="S662" s="71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</row>
    <row r="663" ht="13.5" customHeight="1">
      <c r="A663" s="66"/>
      <c r="B663" s="72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70"/>
      <c r="P663" s="66"/>
      <c r="Q663" s="66"/>
      <c r="R663" s="70"/>
      <c r="S663" s="71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</row>
    <row r="664" ht="13.5" customHeight="1">
      <c r="A664" s="66"/>
      <c r="B664" s="72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70"/>
      <c r="P664" s="66"/>
      <c r="Q664" s="66"/>
      <c r="R664" s="70"/>
      <c r="S664" s="71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</row>
    <row r="665" ht="13.5" customHeight="1">
      <c r="A665" s="66"/>
      <c r="B665" s="72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70"/>
      <c r="P665" s="66"/>
      <c r="Q665" s="66"/>
      <c r="R665" s="70"/>
      <c r="S665" s="71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</row>
    <row r="666" ht="13.5" customHeight="1">
      <c r="A666" s="66"/>
      <c r="B666" s="72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70"/>
      <c r="P666" s="66"/>
      <c r="Q666" s="66"/>
      <c r="R666" s="70"/>
      <c r="S666" s="71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</row>
    <row r="667" ht="13.5" customHeight="1">
      <c r="A667" s="66"/>
      <c r="B667" s="72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70"/>
      <c r="P667" s="66"/>
      <c r="Q667" s="66"/>
      <c r="R667" s="70"/>
      <c r="S667" s="71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</row>
    <row r="668" ht="13.5" customHeight="1">
      <c r="A668" s="66"/>
      <c r="B668" s="72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70"/>
      <c r="P668" s="66"/>
      <c r="Q668" s="66"/>
      <c r="R668" s="70"/>
      <c r="S668" s="71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</row>
    <row r="669" ht="13.5" customHeight="1">
      <c r="A669" s="66"/>
      <c r="B669" s="72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70"/>
      <c r="P669" s="66"/>
      <c r="Q669" s="66"/>
      <c r="R669" s="70"/>
      <c r="S669" s="71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</row>
    <row r="670" ht="13.5" customHeight="1">
      <c r="A670" s="66"/>
      <c r="B670" s="72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70"/>
      <c r="P670" s="66"/>
      <c r="Q670" s="66"/>
      <c r="R670" s="70"/>
      <c r="S670" s="71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</row>
    <row r="671" ht="13.5" customHeight="1">
      <c r="A671" s="66"/>
      <c r="B671" s="72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70"/>
      <c r="P671" s="66"/>
      <c r="Q671" s="66"/>
      <c r="R671" s="70"/>
      <c r="S671" s="71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</row>
    <row r="672" ht="13.5" customHeight="1">
      <c r="A672" s="66"/>
      <c r="B672" s="72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70"/>
      <c r="P672" s="66"/>
      <c r="Q672" s="66"/>
      <c r="R672" s="70"/>
      <c r="S672" s="71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</row>
    <row r="673" ht="13.5" customHeight="1">
      <c r="A673" s="66"/>
      <c r="B673" s="72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70"/>
      <c r="P673" s="66"/>
      <c r="Q673" s="66"/>
      <c r="R673" s="70"/>
      <c r="S673" s="71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</row>
    <row r="674" ht="13.5" customHeight="1">
      <c r="A674" s="66"/>
      <c r="B674" s="72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70"/>
      <c r="P674" s="66"/>
      <c r="Q674" s="66"/>
      <c r="R674" s="70"/>
      <c r="S674" s="71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</row>
    <row r="675" ht="13.5" customHeight="1">
      <c r="A675" s="66"/>
      <c r="B675" s="72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70"/>
      <c r="P675" s="66"/>
      <c r="Q675" s="66"/>
      <c r="R675" s="70"/>
      <c r="S675" s="71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</row>
    <row r="676" ht="13.5" customHeight="1">
      <c r="A676" s="66"/>
      <c r="B676" s="72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70"/>
      <c r="P676" s="66"/>
      <c r="Q676" s="66"/>
      <c r="R676" s="70"/>
      <c r="S676" s="71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</row>
    <row r="677" ht="13.5" customHeight="1">
      <c r="A677" s="66"/>
      <c r="B677" s="72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70"/>
      <c r="P677" s="66"/>
      <c r="Q677" s="66"/>
      <c r="R677" s="70"/>
      <c r="S677" s="71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</row>
    <row r="678" ht="13.5" customHeight="1">
      <c r="A678" s="66"/>
      <c r="B678" s="72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70"/>
      <c r="P678" s="66"/>
      <c r="Q678" s="66"/>
      <c r="R678" s="70"/>
      <c r="S678" s="71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</row>
    <row r="679" ht="13.5" customHeight="1">
      <c r="A679" s="66"/>
      <c r="B679" s="72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70"/>
      <c r="P679" s="66"/>
      <c r="Q679" s="66"/>
      <c r="R679" s="70"/>
      <c r="S679" s="71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</row>
    <row r="680" ht="13.5" customHeight="1">
      <c r="A680" s="66"/>
      <c r="B680" s="72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70"/>
      <c r="P680" s="66"/>
      <c r="Q680" s="66"/>
      <c r="R680" s="70"/>
      <c r="S680" s="71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</row>
    <row r="681" ht="13.5" customHeight="1">
      <c r="A681" s="66"/>
      <c r="B681" s="72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70"/>
      <c r="P681" s="66"/>
      <c r="Q681" s="66"/>
      <c r="R681" s="70"/>
      <c r="S681" s="71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</row>
    <row r="682" ht="13.5" customHeight="1">
      <c r="A682" s="66"/>
      <c r="B682" s="72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70"/>
      <c r="P682" s="66"/>
      <c r="Q682" s="66"/>
      <c r="R682" s="70"/>
      <c r="S682" s="71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</row>
    <row r="683" ht="13.5" customHeight="1">
      <c r="A683" s="66"/>
      <c r="B683" s="72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70"/>
      <c r="P683" s="66"/>
      <c r="Q683" s="66"/>
      <c r="R683" s="70"/>
      <c r="S683" s="71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</row>
    <row r="684" ht="13.5" customHeight="1">
      <c r="A684" s="66"/>
      <c r="B684" s="72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70"/>
      <c r="P684" s="66"/>
      <c r="Q684" s="66"/>
      <c r="R684" s="70"/>
      <c r="S684" s="71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</row>
    <row r="685" ht="13.5" customHeight="1">
      <c r="A685" s="66"/>
      <c r="B685" s="72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70"/>
      <c r="P685" s="66"/>
      <c r="Q685" s="66"/>
      <c r="R685" s="70"/>
      <c r="S685" s="71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</row>
    <row r="686" ht="13.5" customHeight="1">
      <c r="A686" s="66"/>
      <c r="B686" s="72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70"/>
      <c r="P686" s="66"/>
      <c r="Q686" s="66"/>
      <c r="R686" s="70"/>
      <c r="S686" s="71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</row>
    <row r="687" ht="13.5" customHeight="1">
      <c r="A687" s="66"/>
      <c r="B687" s="72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70"/>
      <c r="P687" s="66"/>
      <c r="Q687" s="66"/>
      <c r="R687" s="70"/>
      <c r="S687" s="71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</row>
    <row r="688" ht="13.5" customHeight="1">
      <c r="A688" s="66"/>
      <c r="B688" s="72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70"/>
      <c r="P688" s="66"/>
      <c r="Q688" s="66"/>
      <c r="R688" s="70"/>
      <c r="S688" s="71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</row>
    <row r="689" ht="13.5" customHeight="1">
      <c r="A689" s="66"/>
      <c r="B689" s="72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70"/>
      <c r="P689" s="66"/>
      <c r="Q689" s="66"/>
      <c r="R689" s="70"/>
      <c r="S689" s="71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</row>
    <row r="690" ht="13.5" customHeight="1">
      <c r="A690" s="66"/>
      <c r="B690" s="72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70"/>
      <c r="P690" s="66"/>
      <c r="Q690" s="66"/>
      <c r="R690" s="70"/>
      <c r="S690" s="71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</row>
    <row r="691" ht="13.5" customHeight="1">
      <c r="A691" s="66"/>
      <c r="B691" s="72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70"/>
      <c r="P691" s="66"/>
      <c r="Q691" s="66"/>
      <c r="R691" s="70"/>
      <c r="S691" s="71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</row>
    <row r="692" ht="13.5" customHeight="1">
      <c r="A692" s="66"/>
      <c r="B692" s="72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70"/>
      <c r="P692" s="66"/>
      <c r="Q692" s="66"/>
      <c r="R692" s="70"/>
      <c r="S692" s="71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</row>
    <row r="693" ht="13.5" customHeight="1">
      <c r="A693" s="66"/>
      <c r="B693" s="72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70"/>
      <c r="P693" s="66"/>
      <c r="Q693" s="66"/>
      <c r="R693" s="70"/>
      <c r="S693" s="71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</row>
    <row r="694" ht="13.5" customHeight="1">
      <c r="A694" s="66"/>
      <c r="B694" s="72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70"/>
      <c r="P694" s="66"/>
      <c r="Q694" s="66"/>
      <c r="R694" s="70"/>
      <c r="S694" s="71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</row>
    <row r="695" ht="13.5" customHeight="1">
      <c r="A695" s="66"/>
      <c r="B695" s="72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70"/>
      <c r="P695" s="66"/>
      <c r="Q695" s="66"/>
      <c r="R695" s="70"/>
      <c r="S695" s="71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</row>
    <row r="696" ht="13.5" customHeight="1">
      <c r="A696" s="66"/>
      <c r="B696" s="72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70"/>
      <c r="P696" s="66"/>
      <c r="Q696" s="66"/>
      <c r="R696" s="70"/>
      <c r="S696" s="71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</row>
    <row r="697" ht="13.5" customHeight="1">
      <c r="A697" s="66"/>
      <c r="B697" s="72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70"/>
      <c r="P697" s="66"/>
      <c r="Q697" s="66"/>
      <c r="R697" s="70"/>
      <c r="S697" s="71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</row>
    <row r="698" ht="13.5" customHeight="1">
      <c r="A698" s="66"/>
      <c r="B698" s="72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70"/>
      <c r="P698" s="66"/>
      <c r="Q698" s="66"/>
      <c r="R698" s="70"/>
      <c r="S698" s="71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</row>
    <row r="699" ht="13.5" customHeight="1">
      <c r="A699" s="66"/>
      <c r="B699" s="72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70"/>
      <c r="P699" s="66"/>
      <c r="Q699" s="66"/>
      <c r="R699" s="70"/>
      <c r="S699" s="71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</row>
    <row r="700" ht="13.5" customHeight="1">
      <c r="A700" s="66"/>
      <c r="B700" s="72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70"/>
      <c r="P700" s="66"/>
      <c r="Q700" s="66"/>
      <c r="R700" s="70"/>
      <c r="S700" s="71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</row>
    <row r="701" ht="13.5" customHeight="1">
      <c r="A701" s="66"/>
      <c r="B701" s="72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70"/>
      <c r="P701" s="66"/>
      <c r="Q701" s="66"/>
      <c r="R701" s="70"/>
      <c r="S701" s="71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</row>
    <row r="702" ht="13.5" customHeight="1">
      <c r="A702" s="66"/>
      <c r="B702" s="72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70"/>
      <c r="P702" s="66"/>
      <c r="Q702" s="66"/>
      <c r="R702" s="70"/>
      <c r="S702" s="71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</row>
    <row r="703" ht="13.5" customHeight="1">
      <c r="A703" s="66"/>
      <c r="B703" s="72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70"/>
      <c r="P703" s="66"/>
      <c r="Q703" s="66"/>
      <c r="R703" s="70"/>
      <c r="S703" s="71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</row>
    <row r="704" ht="13.5" customHeight="1">
      <c r="A704" s="66"/>
      <c r="B704" s="72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70"/>
      <c r="P704" s="66"/>
      <c r="Q704" s="66"/>
      <c r="R704" s="70"/>
      <c r="S704" s="71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</row>
    <row r="705" ht="13.5" customHeight="1">
      <c r="A705" s="66"/>
      <c r="B705" s="72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70"/>
      <c r="P705" s="66"/>
      <c r="Q705" s="66"/>
      <c r="R705" s="70"/>
      <c r="S705" s="71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</row>
    <row r="706" ht="13.5" customHeight="1">
      <c r="A706" s="66"/>
      <c r="B706" s="72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70"/>
      <c r="P706" s="66"/>
      <c r="Q706" s="66"/>
      <c r="R706" s="70"/>
      <c r="S706" s="71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</row>
    <row r="707" ht="13.5" customHeight="1">
      <c r="A707" s="66"/>
      <c r="B707" s="72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70"/>
      <c r="P707" s="66"/>
      <c r="Q707" s="66"/>
      <c r="R707" s="70"/>
      <c r="S707" s="71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</row>
    <row r="708" ht="13.5" customHeight="1">
      <c r="A708" s="66"/>
      <c r="B708" s="72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70"/>
      <c r="P708" s="66"/>
      <c r="Q708" s="66"/>
      <c r="R708" s="70"/>
      <c r="S708" s="71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</row>
    <row r="709" ht="13.5" customHeight="1">
      <c r="A709" s="66"/>
      <c r="B709" s="72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70"/>
      <c r="P709" s="66"/>
      <c r="Q709" s="66"/>
      <c r="R709" s="70"/>
      <c r="S709" s="71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</row>
    <row r="710" ht="13.5" customHeight="1">
      <c r="A710" s="66"/>
      <c r="B710" s="72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70"/>
      <c r="P710" s="66"/>
      <c r="Q710" s="66"/>
      <c r="R710" s="70"/>
      <c r="S710" s="71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</row>
    <row r="711" ht="13.5" customHeight="1">
      <c r="A711" s="66"/>
      <c r="B711" s="72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70"/>
      <c r="P711" s="66"/>
      <c r="Q711" s="66"/>
      <c r="R711" s="70"/>
      <c r="S711" s="71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</row>
    <row r="712" ht="13.5" customHeight="1">
      <c r="A712" s="66"/>
      <c r="B712" s="72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70"/>
      <c r="P712" s="66"/>
      <c r="Q712" s="66"/>
      <c r="R712" s="70"/>
      <c r="S712" s="71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</row>
    <row r="713" ht="13.5" customHeight="1">
      <c r="A713" s="66"/>
      <c r="B713" s="72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70"/>
      <c r="P713" s="66"/>
      <c r="Q713" s="66"/>
      <c r="R713" s="70"/>
      <c r="S713" s="71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</row>
    <row r="714" ht="13.5" customHeight="1">
      <c r="A714" s="66"/>
      <c r="B714" s="72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70"/>
      <c r="P714" s="66"/>
      <c r="Q714" s="66"/>
      <c r="R714" s="70"/>
      <c r="S714" s="71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</row>
    <row r="715" ht="13.5" customHeight="1">
      <c r="A715" s="66"/>
      <c r="B715" s="72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70"/>
      <c r="P715" s="66"/>
      <c r="Q715" s="66"/>
      <c r="R715" s="70"/>
      <c r="S715" s="71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</row>
    <row r="716" ht="13.5" customHeight="1">
      <c r="A716" s="66"/>
      <c r="B716" s="72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70"/>
      <c r="P716" s="66"/>
      <c r="Q716" s="66"/>
      <c r="R716" s="70"/>
      <c r="S716" s="71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</row>
    <row r="717" ht="13.5" customHeight="1">
      <c r="A717" s="66"/>
      <c r="B717" s="72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70"/>
      <c r="P717" s="66"/>
      <c r="Q717" s="66"/>
      <c r="R717" s="70"/>
      <c r="S717" s="71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</row>
    <row r="718" ht="13.5" customHeight="1">
      <c r="A718" s="66"/>
      <c r="B718" s="72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70"/>
      <c r="P718" s="66"/>
      <c r="Q718" s="66"/>
      <c r="R718" s="70"/>
      <c r="S718" s="71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</row>
    <row r="719" ht="13.5" customHeight="1">
      <c r="A719" s="66"/>
      <c r="B719" s="72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70"/>
      <c r="P719" s="66"/>
      <c r="Q719" s="66"/>
      <c r="R719" s="70"/>
      <c r="S719" s="71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</row>
    <row r="720" ht="13.5" customHeight="1">
      <c r="A720" s="66"/>
      <c r="B720" s="72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70"/>
      <c r="P720" s="66"/>
      <c r="Q720" s="66"/>
      <c r="R720" s="70"/>
      <c r="S720" s="71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</row>
    <row r="721" ht="13.5" customHeight="1">
      <c r="A721" s="66"/>
      <c r="B721" s="72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70"/>
      <c r="P721" s="66"/>
      <c r="Q721" s="66"/>
      <c r="R721" s="70"/>
      <c r="S721" s="71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</row>
    <row r="722" ht="13.5" customHeight="1">
      <c r="A722" s="66"/>
      <c r="B722" s="72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70"/>
      <c r="P722" s="66"/>
      <c r="Q722" s="66"/>
      <c r="R722" s="70"/>
      <c r="S722" s="71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</row>
    <row r="723" ht="13.5" customHeight="1">
      <c r="A723" s="66"/>
      <c r="B723" s="72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70"/>
      <c r="P723" s="66"/>
      <c r="Q723" s="66"/>
      <c r="R723" s="70"/>
      <c r="S723" s="71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</row>
    <row r="724" ht="13.5" customHeight="1">
      <c r="A724" s="66"/>
      <c r="B724" s="72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70"/>
      <c r="P724" s="66"/>
      <c r="Q724" s="66"/>
      <c r="R724" s="70"/>
      <c r="S724" s="71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</row>
    <row r="725" ht="13.5" customHeight="1">
      <c r="A725" s="66"/>
      <c r="B725" s="72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70"/>
      <c r="P725" s="66"/>
      <c r="Q725" s="66"/>
      <c r="R725" s="70"/>
      <c r="S725" s="71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</row>
    <row r="726" ht="13.5" customHeight="1">
      <c r="A726" s="66"/>
      <c r="B726" s="72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70"/>
      <c r="P726" s="66"/>
      <c r="Q726" s="66"/>
      <c r="R726" s="70"/>
      <c r="S726" s="71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</row>
    <row r="727" ht="13.5" customHeight="1">
      <c r="A727" s="66"/>
      <c r="B727" s="72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70"/>
      <c r="P727" s="66"/>
      <c r="Q727" s="66"/>
      <c r="R727" s="70"/>
      <c r="S727" s="71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</row>
    <row r="728" ht="13.5" customHeight="1">
      <c r="A728" s="66"/>
      <c r="B728" s="72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70"/>
      <c r="P728" s="66"/>
      <c r="Q728" s="66"/>
      <c r="R728" s="70"/>
      <c r="S728" s="71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</row>
    <row r="729" ht="13.5" customHeight="1">
      <c r="A729" s="66"/>
      <c r="B729" s="72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70"/>
      <c r="P729" s="66"/>
      <c r="Q729" s="66"/>
      <c r="R729" s="70"/>
      <c r="S729" s="71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</row>
    <row r="730" ht="13.5" customHeight="1">
      <c r="A730" s="66"/>
      <c r="B730" s="72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70"/>
      <c r="P730" s="66"/>
      <c r="Q730" s="66"/>
      <c r="R730" s="70"/>
      <c r="S730" s="71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</row>
    <row r="731" ht="13.5" customHeight="1">
      <c r="A731" s="66"/>
      <c r="B731" s="72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70"/>
      <c r="P731" s="66"/>
      <c r="Q731" s="66"/>
      <c r="R731" s="70"/>
      <c r="S731" s="71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</row>
    <row r="732" ht="13.5" customHeight="1">
      <c r="A732" s="66"/>
      <c r="B732" s="72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70"/>
      <c r="P732" s="66"/>
      <c r="Q732" s="66"/>
      <c r="R732" s="70"/>
      <c r="S732" s="71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</row>
    <row r="733" ht="13.5" customHeight="1">
      <c r="A733" s="66"/>
      <c r="B733" s="72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70"/>
      <c r="P733" s="66"/>
      <c r="Q733" s="66"/>
      <c r="R733" s="70"/>
      <c r="S733" s="71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</row>
    <row r="734" ht="13.5" customHeight="1">
      <c r="A734" s="66"/>
      <c r="B734" s="72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70"/>
      <c r="P734" s="66"/>
      <c r="Q734" s="66"/>
      <c r="R734" s="70"/>
      <c r="S734" s="71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</row>
    <row r="735" ht="13.5" customHeight="1">
      <c r="A735" s="66"/>
      <c r="B735" s="72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70"/>
      <c r="P735" s="66"/>
      <c r="Q735" s="66"/>
      <c r="R735" s="70"/>
      <c r="S735" s="71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</row>
    <row r="736" ht="13.5" customHeight="1">
      <c r="A736" s="66"/>
      <c r="B736" s="72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70"/>
      <c r="P736" s="66"/>
      <c r="Q736" s="66"/>
      <c r="R736" s="70"/>
      <c r="S736" s="71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</row>
    <row r="737" ht="13.5" customHeight="1">
      <c r="A737" s="66"/>
      <c r="B737" s="72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70"/>
      <c r="P737" s="66"/>
      <c r="Q737" s="66"/>
      <c r="R737" s="70"/>
      <c r="S737" s="71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</row>
    <row r="738" ht="13.5" customHeight="1">
      <c r="A738" s="66"/>
      <c r="B738" s="72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70"/>
      <c r="P738" s="66"/>
      <c r="Q738" s="66"/>
      <c r="R738" s="70"/>
      <c r="S738" s="71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</row>
    <row r="739" ht="13.5" customHeight="1">
      <c r="A739" s="66"/>
      <c r="B739" s="72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70"/>
      <c r="P739" s="66"/>
      <c r="Q739" s="66"/>
      <c r="R739" s="70"/>
      <c r="S739" s="71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</row>
    <row r="740" ht="13.5" customHeight="1">
      <c r="A740" s="66"/>
      <c r="B740" s="72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70"/>
      <c r="P740" s="66"/>
      <c r="Q740" s="66"/>
      <c r="R740" s="70"/>
      <c r="S740" s="71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</row>
    <row r="741" ht="13.5" customHeight="1">
      <c r="A741" s="66"/>
      <c r="B741" s="72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70"/>
      <c r="P741" s="66"/>
      <c r="Q741" s="66"/>
      <c r="R741" s="70"/>
      <c r="S741" s="71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</row>
    <row r="742" ht="13.5" customHeight="1">
      <c r="A742" s="66"/>
      <c r="B742" s="72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70"/>
      <c r="P742" s="66"/>
      <c r="Q742" s="66"/>
      <c r="R742" s="70"/>
      <c r="S742" s="71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</row>
    <row r="743" ht="13.5" customHeight="1">
      <c r="A743" s="66"/>
      <c r="B743" s="72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70"/>
      <c r="P743" s="66"/>
      <c r="Q743" s="66"/>
      <c r="R743" s="70"/>
      <c r="S743" s="71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</row>
    <row r="744" ht="13.5" customHeight="1">
      <c r="A744" s="66"/>
      <c r="B744" s="72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70"/>
      <c r="P744" s="66"/>
      <c r="Q744" s="66"/>
      <c r="R744" s="70"/>
      <c r="S744" s="71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</row>
    <row r="745" ht="13.5" customHeight="1">
      <c r="A745" s="66"/>
      <c r="B745" s="72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70"/>
      <c r="P745" s="66"/>
      <c r="Q745" s="66"/>
      <c r="R745" s="70"/>
      <c r="S745" s="71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</row>
    <row r="746" ht="13.5" customHeight="1">
      <c r="A746" s="66"/>
      <c r="B746" s="72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70"/>
      <c r="P746" s="66"/>
      <c r="Q746" s="66"/>
      <c r="R746" s="70"/>
      <c r="S746" s="71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</row>
    <row r="747" ht="13.5" customHeight="1">
      <c r="A747" s="66"/>
      <c r="B747" s="72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70"/>
      <c r="P747" s="66"/>
      <c r="Q747" s="66"/>
      <c r="R747" s="70"/>
      <c r="S747" s="71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</row>
    <row r="748" ht="13.5" customHeight="1">
      <c r="A748" s="66"/>
      <c r="B748" s="72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70"/>
      <c r="P748" s="66"/>
      <c r="Q748" s="66"/>
      <c r="R748" s="70"/>
      <c r="S748" s="71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</row>
    <row r="749" ht="13.5" customHeight="1">
      <c r="A749" s="66"/>
      <c r="B749" s="72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70"/>
      <c r="P749" s="66"/>
      <c r="Q749" s="66"/>
      <c r="R749" s="70"/>
      <c r="S749" s="71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</row>
    <row r="750" ht="13.5" customHeight="1">
      <c r="A750" s="66"/>
      <c r="B750" s="72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70"/>
      <c r="P750" s="66"/>
      <c r="Q750" s="66"/>
      <c r="R750" s="70"/>
      <c r="S750" s="71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</row>
    <row r="751" ht="13.5" customHeight="1">
      <c r="A751" s="66"/>
      <c r="B751" s="72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70"/>
      <c r="P751" s="66"/>
      <c r="Q751" s="66"/>
      <c r="R751" s="70"/>
      <c r="S751" s="71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</row>
    <row r="752" ht="13.5" customHeight="1">
      <c r="A752" s="66"/>
      <c r="B752" s="72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70"/>
      <c r="P752" s="66"/>
      <c r="Q752" s="66"/>
      <c r="R752" s="70"/>
      <c r="S752" s="71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</row>
    <row r="753" ht="13.5" customHeight="1">
      <c r="A753" s="66"/>
      <c r="B753" s="72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70"/>
      <c r="P753" s="66"/>
      <c r="Q753" s="66"/>
      <c r="R753" s="70"/>
      <c r="S753" s="71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</row>
    <row r="754" ht="13.5" customHeight="1">
      <c r="A754" s="66"/>
      <c r="B754" s="72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70"/>
      <c r="P754" s="66"/>
      <c r="Q754" s="66"/>
      <c r="R754" s="70"/>
      <c r="S754" s="71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</row>
    <row r="755" ht="13.5" customHeight="1">
      <c r="A755" s="66"/>
      <c r="B755" s="72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70"/>
      <c r="P755" s="66"/>
      <c r="Q755" s="66"/>
      <c r="R755" s="70"/>
      <c r="S755" s="71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</row>
    <row r="756" ht="13.5" customHeight="1">
      <c r="A756" s="66"/>
      <c r="B756" s="72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70"/>
      <c r="P756" s="66"/>
      <c r="Q756" s="66"/>
      <c r="R756" s="70"/>
      <c r="S756" s="71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</row>
    <row r="757" ht="13.5" customHeight="1">
      <c r="A757" s="66"/>
      <c r="B757" s="72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70"/>
      <c r="P757" s="66"/>
      <c r="Q757" s="66"/>
      <c r="R757" s="70"/>
      <c r="S757" s="71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</row>
    <row r="758" ht="13.5" customHeight="1">
      <c r="A758" s="66"/>
      <c r="B758" s="72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70"/>
      <c r="P758" s="66"/>
      <c r="Q758" s="66"/>
      <c r="R758" s="70"/>
      <c r="S758" s="71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</row>
    <row r="759" ht="13.5" customHeight="1">
      <c r="A759" s="66"/>
      <c r="B759" s="72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70"/>
      <c r="P759" s="66"/>
      <c r="Q759" s="66"/>
      <c r="R759" s="70"/>
      <c r="S759" s="71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</row>
    <row r="760" ht="13.5" customHeight="1">
      <c r="A760" s="66"/>
      <c r="B760" s="72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70"/>
      <c r="P760" s="66"/>
      <c r="Q760" s="66"/>
      <c r="R760" s="70"/>
      <c r="S760" s="71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</row>
    <row r="761" ht="13.5" customHeight="1">
      <c r="A761" s="66"/>
      <c r="B761" s="72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70"/>
      <c r="P761" s="66"/>
      <c r="Q761" s="66"/>
      <c r="R761" s="70"/>
      <c r="S761" s="71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</row>
    <row r="762" ht="13.5" customHeight="1">
      <c r="A762" s="66"/>
      <c r="B762" s="72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70"/>
      <c r="P762" s="66"/>
      <c r="Q762" s="66"/>
      <c r="R762" s="70"/>
      <c r="S762" s="71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</row>
    <row r="763" ht="13.5" customHeight="1">
      <c r="A763" s="66"/>
      <c r="B763" s="72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70"/>
      <c r="P763" s="66"/>
      <c r="Q763" s="66"/>
      <c r="R763" s="70"/>
      <c r="S763" s="71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</row>
    <row r="764" ht="13.5" customHeight="1">
      <c r="A764" s="66"/>
      <c r="B764" s="72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70"/>
      <c r="P764" s="66"/>
      <c r="Q764" s="66"/>
      <c r="R764" s="70"/>
      <c r="S764" s="71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</row>
    <row r="765" ht="13.5" customHeight="1">
      <c r="A765" s="66"/>
      <c r="B765" s="72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70"/>
      <c r="P765" s="66"/>
      <c r="Q765" s="66"/>
      <c r="R765" s="70"/>
      <c r="S765" s="71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</row>
    <row r="766" ht="13.5" customHeight="1">
      <c r="A766" s="66"/>
      <c r="B766" s="72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70"/>
      <c r="P766" s="66"/>
      <c r="Q766" s="66"/>
      <c r="R766" s="70"/>
      <c r="S766" s="71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</row>
    <row r="767" ht="13.5" customHeight="1">
      <c r="A767" s="66"/>
      <c r="B767" s="72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70"/>
      <c r="P767" s="66"/>
      <c r="Q767" s="66"/>
      <c r="R767" s="70"/>
      <c r="S767" s="71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</row>
    <row r="768" ht="13.5" customHeight="1">
      <c r="A768" s="66"/>
      <c r="B768" s="72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70"/>
      <c r="P768" s="66"/>
      <c r="Q768" s="66"/>
      <c r="R768" s="70"/>
      <c r="S768" s="71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</row>
    <row r="769" ht="13.5" customHeight="1">
      <c r="A769" s="66"/>
      <c r="B769" s="72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70"/>
      <c r="P769" s="66"/>
      <c r="Q769" s="66"/>
      <c r="R769" s="70"/>
      <c r="S769" s="71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</row>
    <row r="770" ht="13.5" customHeight="1">
      <c r="A770" s="66"/>
      <c r="B770" s="72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70"/>
      <c r="P770" s="66"/>
      <c r="Q770" s="66"/>
      <c r="R770" s="70"/>
      <c r="S770" s="71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</row>
    <row r="771" ht="13.5" customHeight="1">
      <c r="A771" s="66"/>
      <c r="B771" s="72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70"/>
      <c r="P771" s="66"/>
      <c r="Q771" s="66"/>
      <c r="R771" s="70"/>
      <c r="S771" s="71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</row>
    <row r="772" ht="13.5" customHeight="1">
      <c r="A772" s="66"/>
      <c r="B772" s="72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70"/>
      <c r="P772" s="66"/>
      <c r="Q772" s="66"/>
      <c r="R772" s="70"/>
      <c r="S772" s="71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</row>
    <row r="773" ht="13.5" customHeight="1">
      <c r="A773" s="66"/>
      <c r="B773" s="72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70"/>
      <c r="P773" s="66"/>
      <c r="Q773" s="66"/>
      <c r="R773" s="70"/>
      <c r="S773" s="71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</row>
    <row r="774" ht="13.5" customHeight="1">
      <c r="A774" s="66"/>
      <c r="B774" s="72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70"/>
      <c r="P774" s="66"/>
      <c r="Q774" s="66"/>
      <c r="R774" s="70"/>
      <c r="S774" s="71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</row>
    <row r="775" ht="13.5" customHeight="1">
      <c r="A775" s="66"/>
      <c r="B775" s="72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70"/>
      <c r="P775" s="66"/>
      <c r="Q775" s="66"/>
      <c r="R775" s="70"/>
      <c r="S775" s="71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</row>
    <row r="776" ht="13.5" customHeight="1">
      <c r="A776" s="66"/>
      <c r="B776" s="72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70"/>
      <c r="P776" s="66"/>
      <c r="Q776" s="66"/>
      <c r="R776" s="70"/>
      <c r="S776" s="71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</row>
    <row r="777" ht="13.5" customHeight="1">
      <c r="A777" s="66"/>
      <c r="B777" s="72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70"/>
      <c r="P777" s="66"/>
      <c r="Q777" s="66"/>
      <c r="R777" s="70"/>
      <c r="S777" s="71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</row>
    <row r="778" ht="13.5" customHeight="1">
      <c r="A778" s="66"/>
      <c r="B778" s="72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70"/>
      <c r="P778" s="66"/>
      <c r="Q778" s="66"/>
      <c r="R778" s="70"/>
      <c r="S778" s="71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</row>
    <row r="779" ht="13.5" customHeight="1">
      <c r="A779" s="66"/>
      <c r="B779" s="72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70"/>
      <c r="P779" s="66"/>
      <c r="Q779" s="66"/>
      <c r="R779" s="70"/>
      <c r="S779" s="71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</row>
    <row r="780" ht="13.5" customHeight="1">
      <c r="A780" s="66"/>
      <c r="B780" s="72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70"/>
      <c r="P780" s="66"/>
      <c r="Q780" s="66"/>
      <c r="R780" s="70"/>
      <c r="S780" s="71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</row>
    <row r="781" ht="13.5" customHeight="1">
      <c r="A781" s="66"/>
      <c r="B781" s="72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70"/>
      <c r="P781" s="66"/>
      <c r="Q781" s="66"/>
      <c r="R781" s="70"/>
      <c r="S781" s="71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</row>
    <row r="782" ht="13.5" customHeight="1">
      <c r="A782" s="66"/>
      <c r="B782" s="72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70"/>
      <c r="P782" s="66"/>
      <c r="Q782" s="66"/>
      <c r="R782" s="70"/>
      <c r="S782" s="71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</row>
    <row r="783" ht="13.5" customHeight="1">
      <c r="A783" s="66"/>
      <c r="B783" s="72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70"/>
      <c r="P783" s="66"/>
      <c r="Q783" s="66"/>
      <c r="R783" s="70"/>
      <c r="S783" s="71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</row>
    <row r="784" ht="13.5" customHeight="1">
      <c r="A784" s="66"/>
      <c r="B784" s="72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70"/>
      <c r="P784" s="66"/>
      <c r="Q784" s="66"/>
      <c r="R784" s="70"/>
      <c r="S784" s="71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</row>
    <row r="785" ht="13.5" customHeight="1">
      <c r="A785" s="66"/>
      <c r="B785" s="72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70"/>
      <c r="P785" s="66"/>
      <c r="Q785" s="66"/>
      <c r="R785" s="70"/>
      <c r="S785" s="71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</row>
    <row r="786" ht="13.5" customHeight="1">
      <c r="A786" s="66"/>
      <c r="B786" s="72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70"/>
      <c r="P786" s="66"/>
      <c r="Q786" s="66"/>
      <c r="R786" s="70"/>
      <c r="S786" s="71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</row>
    <row r="787" ht="13.5" customHeight="1">
      <c r="A787" s="66"/>
      <c r="B787" s="72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70"/>
      <c r="P787" s="66"/>
      <c r="Q787" s="66"/>
      <c r="R787" s="70"/>
      <c r="S787" s="71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</row>
    <row r="788" ht="13.5" customHeight="1">
      <c r="A788" s="66"/>
      <c r="B788" s="72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70"/>
      <c r="P788" s="66"/>
      <c r="Q788" s="66"/>
      <c r="R788" s="70"/>
      <c r="S788" s="71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</row>
    <row r="789" ht="13.5" customHeight="1">
      <c r="A789" s="66"/>
      <c r="B789" s="72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70"/>
      <c r="P789" s="66"/>
      <c r="Q789" s="66"/>
      <c r="R789" s="70"/>
      <c r="S789" s="71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</row>
    <row r="790" ht="13.5" customHeight="1">
      <c r="A790" s="66"/>
      <c r="B790" s="72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70"/>
      <c r="P790" s="66"/>
      <c r="Q790" s="66"/>
      <c r="R790" s="70"/>
      <c r="S790" s="71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</row>
    <row r="791" ht="13.5" customHeight="1">
      <c r="A791" s="66"/>
      <c r="B791" s="72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70"/>
      <c r="P791" s="66"/>
      <c r="Q791" s="66"/>
      <c r="R791" s="70"/>
      <c r="S791" s="71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</row>
    <row r="792" ht="13.5" customHeight="1">
      <c r="A792" s="66"/>
      <c r="B792" s="72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70"/>
      <c r="P792" s="66"/>
      <c r="Q792" s="66"/>
      <c r="R792" s="70"/>
      <c r="S792" s="71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</row>
    <row r="793" ht="13.5" customHeight="1">
      <c r="A793" s="66"/>
      <c r="B793" s="72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70"/>
      <c r="P793" s="66"/>
      <c r="Q793" s="66"/>
      <c r="R793" s="70"/>
      <c r="S793" s="71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</row>
    <row r="794" ht="13.5" customHeight="1">
      <c r="A794" s="66"/>
      <c r="B794" s="72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70"/>
      <c r="P794" s="66"/>
      <c r="Q794" s="66"/>
      <c r="R794" s="70"/>
      <c r="S794" s="71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</row>
    <row r="795" ht="13.5" customHeight="1">
      <c r="A795" s="66"/>
      <c r="B795" s="72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70"/>
      <c r="P795" s="66"/>
      <c r="Q795" s="66"/>
      <c r="R795" s="70"/>
      <c r="S795" s="71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</row>
    <row r="796" ht="13.5" customHeight="1">
      <c r="A796" s="66"/>
      <c r="B796" s="72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70"/>
      <c r="P796" s="66"/>
      <c r="Q796" s="66"/>
      <c r="R796" s="70"/>
      <c r="S796" s="71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</row>
    <row r="797" ht="13.5" customHeight="1">
      <c r="A797" s="66"/>
      <c r="B797" s="72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70"/>
      <c r="P797" s="66"/>
      <c r="Q797" s="66"/>
      <c r="R797" s="70"/>
      <c r="S797" s="71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</row>
    <row r="798" ht="13.5" customHeight="1">
      <c r="A798" s="66"/>
      <c r="B798" s="72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70"/>
      <c r="P798" s="66"/>
      <c r="Q798" s="66"/>
      <c r="R798" s="70"/>
      <c r="S798" s="71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</row>
    <row r="799" ht="13.5" customHeight="1">
      <c r="A799" s="66"/>
      <c r="B799" s="72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70"/>
      <c r="P799" s="66"/>
      <c r="Q799" s="66"/>
      <c r="R799" s="70"/>
      <c r="S799" s="71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</row>
    <row r="800" ht="13.5" customHeight="1">
      <c r="A800" s="66"/>
      <c r="B800" s="72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70"/>
      <c r="P800" s="66"/>
      <c r="Q800" s="66"/>
      <c r="R800" s="70"/>
      <c r="S800" s="71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</row>
    <row r="801" ht="13.5" customHeight="1">
      <c r="A801" s="66"/>
      <c r="B801" s="72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70"/>
      <c r="P801" s="66"/>
      <c r="Q801" s="66"/>
      <c r="R801" s="70"/>
      <c r="S801" s="71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</row>
    <row r="802" ht="13.5" customHeight="1">
      <c r="A802" s="66"/>
      <c r="B802" s="72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70"/>
      <c r="P802" s="66"/>
      <c r="Q802" s="66"/>
      <c r="R802" s="70"/>
      <c r="S802" s="71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</row>
    <row r="803" ht="13.5" customHeight="1">
      <c r="A803" s="66"/>
      <c r="B803" s="72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70"/>
      <c r="P803" s="66"/>
      <c r="Q803" s="66"/>
      <c r="R803" s="70"/>
      <c r="S803" s="71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</row>
    <row r="804" ht="13.5" customHeight="1">
      <c r="A804" s="66"/>
      <c r="B804" s="72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70"/>
      <c r="P804" s="66"/>
      <c r="Q804" s="66"/>
      <c r="R804" s="70"/>
      <c r="S804" s="71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</row>
    <row r="805" ht="13.5" customHeight="1">
      <c r="A805" s="66"/>
      <c r="B805" s="72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70"/>
      <c r="P805" s="66"/>
      <c r="Q805" s="66"/>
      <c r="R805" s="70"/>
      <c r="S805" s="71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</row>
    <row r="806" ht="13.5" customHeight="1">
      <c r="A806" s="66"/>
      <c r="B806" s="72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70"/>
      <c r="P806" s="66"/>
      <c r="Q806" s="66"/>
      <c r="R806" s="70"/>
      <c r="S806" s="71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</row>
    <row r="807" ht="13.5" customHeight="1">
      <c r="A807" s="66"/>
      <c r="B807" s="72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70"/>
      <c r="P807" s="66"/>
      <c r="Q807" s="66"/>
      <c r="R807" s="70"/>
      <c r="S807" s="71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</row>
    <row r="808" ht="13.5" customHeight="1">
      <c r="A808" s="66"/>
      <c r="B808" s="72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70"/>
      <c r="P808" s="66"/>
      <c r="Q808" s="66"/>
      <c r="R808" s="70"/>
      <c r="S808" s="71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</row>
    <row r="809" ht="13.5" customHeight="1">
      <c r="A809" s="66"/>
      <c r="B809" s="72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70"/>
      <c r="P809" s="66"/>
      <c r="Q809" s="66"/>
      <c r="R809" s="70"/>
      <c r="S809" s="71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</row>
    <row r="810" ht="13.5" customHeight="1">
      <c r="A810" s="66"/>
      <c r="B810" s="72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70"/>
      <c r="P810" s="66"/>
      <c r="Q810" s="66"/>
      <c r="R810" s="70"/>
      <c r="S810" s="71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</row>
    <row r="811" ht="13.5" customHeight="1">
      <c r="A811" s="66"/>
      <c r="B811" s="72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70"/>
      <c r="P811" s="66"/>
      <c r="Q811" s="66"/>
      <c r="R811" s="70"/>
      <c r="S811" s="71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</row>
    <row r="812" ht="13.5" customHeight="1">
      <c r="A812" s="66"/>
      <c r="B812" s="72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70"/>
      <c r="P812" s="66"/>
      <c r="Q812" s="66"/>
      <c r="R812" s="70"/>
      <c r="S812" s="71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</row>
    <row r="813" ht="13.5" customHeight="1">
      <c r="A813" s="66"/>
      <c r="B813" s="72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70"/>
      <c r="P813" s="66"/>
      <c r="Q813" s="66"/>
      <c r="R813" s="70"/>
      <c r="S813" s="71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</row>
    <row r="814" ht="13.5" customHeight="1">
      <c r="A814" s="66"/>
      <c r="B814" s="72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70"/>
      <c r="P814" s="66"/>
      <c r="Q814" s="66"/>
      <c r="R814" s="70"/>
      <c r="S814" s="71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</row>
    <row r="815" ht="13.5" customHeight="1">
      <c r="A815" s="66"/>
      <c r="B815" s="72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70"/>
      <c r="P815" s="66"/>
      <c r="Q815" s="66"/>
      <c r="R815" s="70"/>
      <c r="S815" s="71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</row>
    <row r="816" ht="13.5" customHeight="1">
      <c r="A816" s="66"/>
      <c r="B816" s="72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70"/>
      <c r="P816" s="66"/>
      <c r="Q816" s="66"/>
      <c r="R816" s="70"/>
      <c r="S816" s="71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</row>
    <row r="817" ht="13.5" customHeight="1">
      <c r="A817" s="66"/>
      <c r="B817" s="72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70"/>
      <c r="P817" s="66"/>
      <c r="Q817" s="66"/>
      <c r="R817" s="70"/>
      <c r="S817" s="71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</row>
    <row r="818" ht="13.5" customHeight="1">
      <c r="A818" s="66"/>
      <c r="B818" s="72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70"/>
      <c r="P818" s="66"/>
      <c r="Q818" s="66"/>
      <c r="R818" s="70"/>
      <c r="S818" s="71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</row>
    <row r="819" ht="13.5" customHeight="1">
      <c r="A819" s="66"/>
      <c r="B819" s="72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70"/>
      <c r="P819" s="66"/>
      <c r="Q819" s="66"/>
      <c r="R819" s="70"/>
      <c r="S819" s="71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</row>
    <row r="820" ht="13.5" customHeight="1">
      <c r="A820" s="66"/>
      <c r="B820" s="72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70"/>
      <c r="P820" s="66"/>
      <c r="Q820" s="66"/>
      <c r="R820" s="70"/>
      <c r="S820" s="71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</row>
    <row r="821" ht="13.5" customHeight="1">
      <c r="A821" s="66"/>
      <c r="B821" s="72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70"/>
      <c r="P821" s="66"/>
      <c r="Q821" s="66"/>
      <c r="R821" s="70"/>
      <c r="S821" s="71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</row>
    <row r="822" ht="13.5" customHeight="1">
      <c r="A822" s="66"/>
      <c r="B822" s="72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70"/>
      <c r="P822" s="66"/>
      <c r="Q822" s="66"/>
      <c r="R822" s="70"/>
      <c r="S822" s="71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</row>
    <row r="823" ht="13.5" customHeight="1">
      <c r="A823" s="66"/>
      <c r="B823" s="72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70"/>
      <c r="P823" s="66"/>
      <c r="Q823" s="66"/>
      <c r="R823" s="70"/>
      <c r="S823" s="71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</row>
    <row r="824" ht="13.5" customHeight="1">
      <c r="A824" s="66"/>
      <c r="B824" s="72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70"/>
      <c r="P824" s="66"/>
      <c r="Q824" s="66"/>
      <c r="R824" s="70"/>
      <c r="S824" s="71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</row>
    <row r="825" ht="13.5" customHeight="1">
      <c r="A825" s="66"/>
      <c r="B825" s="72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70"/>
      <c r="P825" s="66"/>
      <c r="Q825" s="66"/>
      <c r="R825" s="70"/>
      <c r="S825" s="71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</row>
    <row r="826" ht="13.5" customHeight="1">
      <c r="A826" s="66"/>
      <c r="B826" s="72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70"/>
      <c r="P826" s="66"/>
      <c r="Q826" s="66"/>
      <c r="R826" s="70"/>
      <c r="S826" s="71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</row>
    <row r="827" ht="13.5" customHeight="1">
      <c r="A827" s="66"/>
      <c r="B827" s="72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70"/>
      <c r="P827" s="66"/>
      <c r="Q827" s="66"/>
      <c r="R827" s="70"/>
      <c r="S827" s="71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</row>
    <row r="828" ht="13.5" customHeight="1">
      <c r="A828" s="66"/>
      <c r="B828" s="72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70"/>
      <c r="P828" s="66"/>
      <c r="Q828" s="66"/>
      <c r="R828" s="70"/>
      <c r="S828" s="71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</row>
    <row r="829" ht="13.5" customHeight="1">
      <c r="A829" s="66"/>
      <c r="B829" s="72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70"/>
      <c r="P829" s="66"/>
      <c r="Q829" s="66"/>
      <c r="R829" s="70"/>
      <c r="S829" s="71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</row>
    <row r="830" ht="13.5" customHeight="1">
      <c r="A830" s="66"/>
      <c r="B830" s="72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70"/>
      <c r="P830" s="66"/>
      <c r="Q830" s="66"/>
      <c r="R830" s="70"/>
      <c r="S830" s="71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</row>
    <row r="831" ht="13.5" customHeight="1">
      <c r="A831" s="66"/>
      <c r="B831" s="72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70"/>
      <c r="P831" s="66"/>
      <c r="Q831" s="66"/>
      <c r="R831" s="70"/>
      <c r="S831" s="71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</row>
    <row r="832" ht="13.5" customHeight="1">
      <c r="A832" s="66"/>
      <c r="B832" s="72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70"/>
      <c r="P832" s="66"/>
      <c r="Q832" s="66"/>
      <c r="R832" s="70"/>
      <c r="S832" s="71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</row>
    <row r="833" ht="13.5" customHeight="1">
      <c r="A833" s="66"/>
      <c r="B833" s="72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70"/>
      <c r="P833" s="66"/>
      <c r="Q833" s="66"/>
      <c r="R833" s="70"/>
      <c r="S833" s="71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</row>
    <row r="834" ht="13.5" customHeight="1">
      <c r="A834" s="66"/>
      <c r="B834" s="72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70"/>
      <c r="P834" s="66"/>
      <c r="Q834" s="66"/>
      <c r="R834" s="70"/>
      <c r="S834" s="71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</row>
    <row r="835" ht="13.5" customHeight="1">
      <c r="A835" s="66"/>
      <c r="B835" s="72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70"/>
      <c r="P835" s="66"/>
      <c r="Q835" s="66"/>
      <c r="R835" s="70"/>
      <c r="S835" s="71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</row>
    <row r="836" ht="13.5" customHeight="1">
      <c r="A836" s="66"/>
      <c r="B836" s="72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70"/>
      <c r="P836" s="66"/>
      <c r="Q836" s="66"/>
      <c r="R836" s="70"/>
      <c r="S836" s="71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</row>
    <row r="837" ht="13.5" customHeight="1">
      <c r="A837" s="66"/>
      <c r="B837" s="72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70"/>
      <c r="P837" s="66"/>
      <c r="Q837" s="66"/>
      <c r="R837" s="70"/>
      <c r="S837" s="71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</row>
    <row r="838" ht="13.5" customHeight="1">
      <c r="A838" s="66"/>
      <c r="B838" s="72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70"/>
      <c r="P838" s="66"/>
      <c r="Q838" s="66"/>
      <c r="R838" s="70"/>
      <c r="S838" s="71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</row>
    <row r="839" ht="13.5" customHeight="1">
      <c r="A839" s="66"/>
      <c r="B839" s="72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70"/>
      <c r="P839" s="66"/>
      <c r="Q839" s="66"/>
      <c r="R839" s="70"/>
      <c r="S839" s="71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</row>
    <row r="840" ht="13.5" customHeight="1">
      <c r="A840" s="66"/>
      <c r="B840" s="72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70"/>
      <c r="P840" s="66"/>
      <c r="Q840" s="66"/>
      <c r="R840" s="70"/>
      <c r="S840" s="71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</row>
    <row r="841" ht="13.5" customHeight="1">
      <c r="A841" s="66"/>
      <c r="B841" s="72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70"/>
      <c r="P841" s="66"/>
      <c r="Q841" s="66"/>
      <c r="R841" s="70"/>
      <c r="S841" s="71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</row>
    <row r="842" ht="13.5" customHeight="1">
      <c r="A842" s="66"/>
      <c r="B842" s="72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70"/>
      <c r="P842" s="66"/>
      <c r="Q842" s="66"/>
      <c r="R842" s="70"/>
      <c r="S842" s="71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</row>
    <row r="843" ht="13.5" customHeight="1">
      <c r="A843" s="66"/>
      <c r="B843" s="72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70"/>
      <c r="P843" s="66"/>
      <c r="Q843" s="66"/>
      <c r="R843" s="70"/>
      <c r="S843" s="71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</row>
    <row r="844" ht="13.5" customHeight="1">
      <c r="A844" s="66"/>
      <c r="B844" s="72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70"/>
      <c r="P844" s="66"/>
      <c r="Q844" s="66"/>
      <c r="R844" s="70"/>
      <c r="S844" s="71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</row>
    <row r="845" ht="13.5" customHeight="1">
      <c r="A845" s="66"/>
      <c r="B845" s="72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70"/>
      <c r="P845" s="66"/>
      <c r="Q845" s="66"/>
      <c r="R845" s="70"/>
      <c r="S845" s="71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</row>
    <row r="846" ht="13.5" customHeight="1">
      <c r="A846" s="66"/>
      <c r="B846" s="72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70"/>
      <c r="P846" s="66"/>
      <c r="Q846" s="66"/>
      <c r="R846" s="70"/>
      <c r="S846" s="71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</row>
    <row r="847" ht="13.5" customHeight="1">
      <c r="A847" s="66"/>
      <c r="B847" s="72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70"/>
      <c r="P847" s="66"/>
      <c r="Q847" s="66"/>
      <c r="R847" s="70"/>
      <c r="S847" s="71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</row>
    <row r="848" ht="13.5" customHeight="1">
      <c r="A848" s="66"/>
      <c r="B848" s="72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70"/>
      <c r="P848" s="66"/>
      <c r="Q848" s="66"/>
      <c r="R848" s="70"/>
      <c r="S848" s="71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</row>
    <row r="849" ht="13.5" customHeight="1">
      <c r="A849" s="66"/>
      <c r="B849" s="72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70"/>
      <c r="P849" s="66"/>
      <c r="Q849" s="66"/>
      <c r="R849" s="70"/>
      <c r="S849" s="71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</row>
    <row r="850" ht="13.5" customHeight="1">
      <c r="A850" s="66"/>
      <c r="B850" s="72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70"/>
      <c r="P850" s="66"/>
      <c r="Q850" s="66"/>
      <c r="R850" s="70"/>
      <c r="S850" s="71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</row>
    <row r="851" ht="13.5" customHeight="1">
      <c r="A851" s="66"/>
      <c r="B851" s="72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70"/>
      <c r="P851" s="66"/>
      <c r="Q851" s="66"/>
      <c r="R851" s="70"/>
      <c r="S851" s="71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</row>
    <row r="852" ht="13.5" customHeight="1">
      <c r="A852" s="66"/>
      <c r="B852" s="72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70"/>
      <c r="P852" s="66"/>
      <c r="Q852" s="66"/>
      <c r="R852" s="70"/>
      <c r="S852" s="71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</row>
    <row r="853" ht="13.5" customHeight="1">
      <c r="A853" s="66"/>
      <c r="B853" s="72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70"/>
      <c r="P853" s="66"/>
      <c r="Q853" s="66"/>
      <c r="R853" s="70"/>
      <c r="S853" s="71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</row>
    <row r="854" ht="13.5" customHeight="1">
      <c r="A854" s="66"/>
      <c r="B854" s="72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70"/>
      <c r="P854" s="66"/>
      <c r="Q854" s="66"/>
      <c r="R854" s="70"/>
      <c r="S854" s="71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</row>
    <row r="855" ht="13.5" customHeight="1">
      <c r="A855" s="66"/>
      <c r="B855" s="72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70"/>
      <c r="P855" s="66"/>
      <c r="Q855" s="66"/>
      <c r="R855" s="70"/>
      <c r="S855" s="71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</row>
    <row r="856" ht="13.5" customHeight="1">
      <c r="A856" s="66"/>
      <c r="B856" s="72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70"/>
      <c r="P856" s="66"/>
      <c r="Q856" s="66"/>
      <c r="R856" s="70"/>
      <c r="S856" s="71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</row>
    <row r="857" ht="13.5" customHeight="1">
      <c r="A857" s="66"/>
      <c r="B857" s="72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70"/>
      <c r="P857" s="66"/>
      <c r="Q857" s="66"/>
      <c r="R857" s="70"/>
      <c r="S857" s="71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</row>
    <row r="858" ht="13.5" customHeight="1">
      <c r="A858" s="66"/>
      <c r="B858" s="72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70"/>
      <c r="P858" s="66"/>
      <c r="Q858" s="66"/>
      <c r="R858" s="70"/>
      <c r="S858" s="71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</row>
    <row r="859" ht="13.5" customHeight="1">
      <c r="A859" s="66"/>
      <c r="B859" s="72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70"/>
      <c r="P859" s="66"/>
      <c r="Q859" s="66"/>
      <c r="R859" s="70"/>
      <c r="S859" s="71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</row>
    <row r="860" ht="13.5" customHeight="1">
      <c r="A860" s="66"/>
      <c r="B860" s="72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70"/>
      <c r="P860" s="66"/>
      <c r="Q860" s="66"/>
      <c r="R860" s="70"/>
      <c r="S860" s="71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</row>
    <row r="861" ht="13.5" customHeight="1">
      <c r="A861" s="66"/>
      <c r="B861" s="72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70"/>
      <c r="P861" s="66"/>
      <c r="Q861" s="66"/>
      <c r="R861" s="70"/>
      <c r="S861" s="71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</row>
    <row r="862" ht="13.5" customHeight="1">
      <c r="A862" s="66"/>
      <c r="B862" s="72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70"/>
      <c r="P862" s="66"/>
      <c r="Q862" s="66"/>
      <c r="R862" s="70"/>
      <c r="S862" s="71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</row>
    <row r="863" ht="13.5" customHeight="1">
      <c r="A863" s="66"/>
      <c r="B863" s="72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70"/>
      <c r="P863" s="66"/>
      <c r="Q863" s="66"/>
      <c r="R863" s="70"/>
      <c r="S863" s="71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</row>
    <row r="864" ht="13.5" customHeight="1">
      <c r="A864" s="66"/>
      <c r="B864" s="72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70"/>
      <c r="P864" s="66"/>
      <c r="Q864" s="66"/>
      <c r="R864" s="70"/>
      <c r="S864" s="71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</row>
    <row r="865" ht="13.5" customHeight="1">
      <c r="A865" s="66"/>
      <c r="B865" s="72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70"/>
      <c r="P865" s="66"/>
      <c r="Q865" s="66"/>
      <c r="R865" s="70"/>
      <c r="S865" s="71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</row>
    <row r="866" ht="13.5" customHeight="1">
      <c r="A866" s="66"/>
      <c r="B866" s="72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70"/>
      <c r="P866" s="66"/>
      <c r="Q866" s="66"/>
      <c r="R866" s="70"/>
      <c r="S866" s="71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</row>
    <row r="867" ht="13.5" customHeight="1">
      <c r="A867" s="66"/>
      <c r="B867" s="72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70"/>
      <c r="P867" s="66"/>
      <c r="Q867" s="66"/>
      <c r="R867" s="70"/>
      <c r="S867" s="71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</row>
    <row r="868" ht="13.5" customHeight="1">
      <c r="A868" s="66"/>
      <c r="B868" s="72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70"/>
      <c r="P868" s="66"/>
      <c r="Q868" s="66"/>
      <c r="R868" s="70"/>
      <c r="S868" s="71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</row>
    <row r="869" ht="13.5" customHeight="1">
      <c r="A869" s="66"/>
      <c r="B869" s="72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70"/>
      <c r="P869" s="66"/>
      <c r="Q869" s="66"/>
      <c r="R869" s="70"/>
      <c r="S869" s="71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</row>
    <row r="870" ht="13.5" customHeight="1">
      <c r="A870" s="66"/>
      <c r="B870" s="72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70"/>
      <c r="P870" s="66"/>
      <c r="Q870" s="66"/>
      <c r="R870" s="70"/>
      <c r="S870" s="71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</row>
    <row r="871" ht="13.5" customHeight="1">
      <c r="A871" s="66"/>
      <c r="B871" s="72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70"/>
      <c r="P871" s="66"/>
      <c r="Q871" s="66"/>
      <c r="R871" s="70"/>
      <c r="S871" s="71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</row>
    <row r="872" ht="13.5" customHeight="1">
      <c r="A872" s="66"/>
      <c r="B872" s="72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70"/>
      <c r="P872" s="66"/>
      <c r="Q872" s="66"/>
      <c r="R872" s="70"/>
      <c r="S872" s="71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</row>
    <row r="873" ht="13.5" customHeight="1">
      <c r="A873" s="66"/>
      <c r="B873" s="72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70"/>
      <c r="P873" s="66"/>
      <c r="Q873" s="66"/>
      <c r="R873" s="70"/>
      <c r="S873" s="71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</row>
    <row r="874" ht="13.5" customHeight="1">
      <c r="A874" s="66"/>
      <c r="B874" s="72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70"/>
      <c r="P874" s="66"/>
      <c r="Q874" s="66"/>
      <c r="R874" s="70"/>
      <c r="S874" s="71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</row>
    <row r="875" ht="13.5" customHeight="1">
      <c r="A875" s="66"/>
      <c r="B875" s="72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70"/>
      <c r="P875" s="66"/>
      <c r="Q875" s="66"/>
      <c r="R875" s="70"/>
      <c r="S875" s="71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</row>
    <row r="876" ht="13.5" customHeight="1">
      <c r="A876" s="66"/>
      <c r="B876" s="72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70"/>
      <c r="P876" s="66"/>
      <c r="Q876" s="66"/>
      <c r="R876" s="70"/>
      <c r="S876" s="71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</row>
    <row r="877" ht="13.5" customHeight="1">
      <c r="A877" s="66"/>
      <c r="B877" s="72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70"/>
      <c r="P877" s="66"/>
      <c r="Q877" s="66"/>
      <c r="R877" s="70"/>
      <c r="S877" s="71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</row>
    <row r="878" ht="13.5" customHeight="1">
      <c r="A878" s="66"/>
      <c r="B878" s="72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70"/>
      <c r="P878" s="66"/>
      <c r="Q878" s="66"/>
      <c r="R878" s="70"/>
      <c r="S878" s="71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</row>
    <row r="879" ht="13.5" customHeight="1">
      <c r="A879" s="66"/>
      <c r="B879" s="72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70"/>
      <c r="P879" s="66"/>
      <c r="Q879" s="66"/>
      <c r="R879" s="70"/>
      <c r="S879" s="71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</row>
    <row r="880" ht="13.5" customHeight="1">
      <c r="A880" s="66"/>
      <c r="B880" s="72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70"/>
      <c r="P880" s="66"/>
      <c r="Q880" s="66"/>
      <c r="R880" s="70"/>
      <c r="S880" s="71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</row>
    <row r="881" ht="13.5" customHeight="1">
      <c r="A881" s="66"/>
      <c r="B881" s="72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70"/>
      <c r="P881" s="66"/>
      <c r="Q881" s="66"/>
      <c r="R881" s="70"/>
      <c r="S881" s="71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</row>
    <row r="882" ht="13.5" customHeight="1">
      <c r="A882" s="66"/>
      <c r="B882" s="72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70"/>
      <c r="P882" s="66"/>
      <c r="Q882" s="66"/>
      <c r="R882" s="70"/>
      <c r="S882" s="71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</row>
    <row r="883" ht="13.5" customHeight="1">
      <c r="A883" s="66"/>
      <c r="B883" s="72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70"/>
      <c r="P883" s="66"/>
      <c r="Q883" s="66"/>
      <c r="R883" s="70"/>
      <c r="S883" s="71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</row>
    <row r="884" ht="13.5" customHeight="1">
      <c r="A884" s="66"/>
      <c r="B884" s="72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70"/>
      <c r="P884" s="66"/>
      <c r="Q884" s="66"/>
      <c r="R884" s="70"/>
      <c r="S884" s="71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</row>
    <row r="885" ht="13.5" customHeight="1">
      <c r="A885" s="66"/>
      <c r="B885" s="72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70"/>
      <c r="P885" s="66"/>
      <c r="Q885" s="66"/>
      <c r="R885" s="70"/>
      <c r="S885" s="71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</row>
    <row r="886" ht="13.5" customHeight="1">
      <c r="A886" s="66"/>
      <c r="B886" s="72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70"/>
      <c r="P886" s="66"/>
      <c r="Q886" s="66"/>
      <c r="R886" s="70"/>
      <c r="S886" s="71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</row>
    <row r="887" ht="13.5" customHeight="1">
      <c r="A887" s="66"/>
      <c r="B887" s="72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70"/>
      <c r="P887" s="66"/>
      <c r="Q887" s="66"/>
      <c r="R887" s="70"/>
      <c r="S887" s="71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</row>
    <row r="888" ht="13.5" customHeight="1">
      <c r="A888" s="66"/>
      <c r="B888" s="72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70"/>
      <c r="P888" s="66"/>
      <c r="Q888" s="66"/>
      <c r="R888" s="70"/>
      <c r="S888" s="71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</row>
    <row r="889" ht="13.5" customHeight="1">
      <c r="A889" s="66"/>
      <c r="B889" s="72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70"/>
      <c r="P889" s="66"/>
      <c r="Q889" s="66"/>
      <c r="R889" s="70"/>
      <c r="S889" s="71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</row>
    <row r="890" ht="13.5" customHeight="1">
      <c r="A890" s="66"/>
      <c r="B890" s="72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70"/>
      <c r="P890" s="66"/>
      <c r="Q890" s="66"/>
      <c r="R890" s="70"/>
      <c r="S890" s="71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</row>
    <row r="891" ht="13.5" customHeight="1">
      <c r="A891" s="66"/>
      <c r="B891" s="72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70"/>
      <c r="P891" s="66"/>
      <c r="Q891" s="66"/>
      <c r="R891" s="70"/>
      <c r="S891" s="71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</row>
    <row r="892" ht="13.5" customHeight="1">
      <c r="A892" s="66"/>
      <c r="B892" s="72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70"/>
      <c r="P892" s="66"/>
      <c r="Q892" s="66"/>
      <c r="R892" s="70"/>
      <c r="S892" s="71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</row>
    <row r="893" ht="13.5" customHeight="1">
      <c r="A893" s="66"/>
      <c r="B893" s="72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70"/>
      <c r="P893" s="66"/>
      <c r="Q893" s="66"/>
      <c r="R893" s="70"/>
      <c r="S893" s="71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</row>
    <row r="894" ht="13.5" customHeight="1">
      <c r="A894" s="66"/>
      <c r="B894" s="72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70"/>
      <c r="P894" s="66"/>
      <c r="Q894" s="66"/>
      <c r="R894" s="70"/>
      <c r="S894" s="71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</row>
    <row r="895" ht="13.5" customHeight="1">
      <c r="A895" s="66"/>
      <c r="B895" s="72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70"/>
      <c r="P895" s="66"/>
      <c r="Q895" s="66"/>
      <c r="R895" s="70"/>
      <c r="S895" s="71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</row>
    <row r="896" ht="13.5" customHeight="1">
      <c r="A896" s="66"/>
      <c r="B896" s="72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70"/>
      <c r="P896" s="66"/>
      <c r="Q896" s="66"/>
      <c r="R896" s="70"/>
      <c r="S896" s="71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</row>
    <row r="897" ht="13.5" customHeight="1">
      <c r="A897" s="66"/>
      <c r="B897" s="72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70"/>
      <c r="P897" s="66"/>
      <c r="Q897" s="66"/>
      <c r="R897" s="70"/>
      <c r="S897" s="71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</row>
    <row r="898" ht="13.5" customHeight="1">
      <c r="A898" s="66"/>
      <c r="B898" s="72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70"/>
      <c r="P898" s="66"/>
      <c r="Q898" s="66"/>
      <c r="R898" s="70"/>
      <c r="S898" s="71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</row>
    <row r="899" ht="13.5" customHeight="1">
      <c r="A899" s="66"/>
      <c r="B899" s="72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70"/>
      <c r="P899" s="66"/>
      <c r="Q899" s="66"/>
      <c r="R899" s="70"/>
      <c r="S899" s="71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</row>
    <row r="900" ht="13.5" customHeight="1">
      <c r="A900" s="66"/>
      <c r="B900" s="72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70"/>
      <c r="P900" s="66"/>
      <c r="Q900" s="66"/>
      <c r="R900" s="70"/>
      <c r="S900" s="71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</row>
    <row r="901" ht="13.5" customHeight="1">
      <c r="A901" s="66"/>
      <c r="B901" s="72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70"/>
      <c r="P901" s="66"/>
      <c r="Q901" s="66"/>
      <c r="R901" s="70"/>
      <c r="S901" s="71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</row>
    <row r="902" ht="13.5" customHeight="1">
      <c r="A902" s="66"/>
      <c r="B902" s="72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70"/>
      <c r="P902" s="66"/>
      <c r="Q902" s="66"/>
      <c r="R902" s="70"/>
      <c r="S902" s="71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</row>
    <row r="903" ht="13.5" customHeight="1">
      <c r="A903" s="66"/>
      <c r="B903" s="72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70"/>
      <c r="P903" s="66"/>
      <c r="Q903" s="66"/>
      <c r="R903" s="70"/>
      <c r="S903" s="71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</row>
    <row r="904" ht="13.5" customHeight="1">
      <c r="A904" s="66"/>
      <c r="B904" s="72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70"/>
      <c r="P904" s="66"/>
      <c r="Q904" s="66"/>
      <c r="R904" s="70"/>
      <c r="S904" s="71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</row>
    <row r="905" ht="13.5" customHeight="1">
      <c r="A905" s="66"/>
      <c r="B905" s="72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70"/>
      <c r="P905" s="66"/>
      <c r="Q905" s="66"/>
      <c r="R905" s="70"/>
      <c r="S905" s="71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</row>
    <row r="906" ht="13.5" customHeight="1">
      <c r="A906" s="66"/>
      <c r="B906" s="72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70"/>
      <c r="P906" s="66"/>
      <c r="Q906" s="66"/>
      <c r="R906" s="70"/>
      <c r="S906" s="71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</row>
    <row r="907" ht="13.5" customHeight="1">
      <c r="A907" s="66"/>
      <c r="B907" s="72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70"/>
      <c r="P907" s="66"/>
      <c r="Q907" s="66"/>
      <c r="R907" s="70"/>
      <c r="S907" s="71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</row>
    <row r="908" ht="13.5" customHeight="1">
      <c r="A908" s="66"/>
      <c r="B908" s="72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70"/>
      <c r="P908" s="66"/>
      <c r="Q908" s="66"/>
      <c r="R908" s="70"/>
      <c r="S908" s="71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</row>
    <row r="909" ht="13.5" customHeight="1">
      <c r="A909" s="66"/>
      <c r="B909" s="72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70"/>
      <c r="P909" s="66"/>
      <c r="Q909" s="66"/>
      <c r="R909" s="70"/>
      <c r="S909" s="71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</row>
    <row r="910" ht="13.5" customHeight="1">
      <c r="A910" s="66"/>
      <c r="B910" s="72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70"/>
      <c r="P910" s="66"/>
      <c r="Q910" s="66"/>
      <c r="R910" s="70"/>
      <c r="S910" s="71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</row>
    <row r="911" ht="13.5" customHeight="1">
      <c r="A911" s="66"/>
      <c r="B911" s="72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70"/>
      <c r="P911" s="66"/>
      <c r="Q911" s="66"/>
      <c r="R911" s="70"/>
      <c r="S911" s="71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</row>
    <row r="912" ht="13.5" customHeight="1">
      <c r="A912" s="66"/>
      <c r="B912" s="72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70"/>
      <c r="P912" s="66"/>
      <c r="Q912" s="66"/>
      <c r="R912" s="70"/>
      <c r="S912" s="71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</row>
    <row r="913" ht="13.5" customHeight="1">
      <c r="A913" s="66"/>
      <c r="B913" s="72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70"/>
      <c r="P913" s="66"/>
      <c r="Q913" s="66"/>
      <c r="R913" s="70"/>
      <c r="S913" s="71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</row>
    <row r="914" ht="13.5" customHeight="1">
      <c r="A914" s="66"/>
      <c r="B914" s="72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70"/>
      <c r="P914" s="66"/>
      <c r="Q914" s="66"/>
      <c r="R914" s="70"/>
      <c r="S914" s="71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</row>
    <row r="915" ht="13.5" customHeight="1">
      <c r="A915" s="66"/>
      <c r="B915" s="72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70"/>
      <c r="P915" s="66"/>
      <c r="Q915" s="66"/>
      <c r="R915" s="70"/>
      <c r="S915" s="71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</row>
    <row r="916" ht="13.5" customHeight="1">
      <c r="A916" s="66"/>
      <c r="B916" s="72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70"/>
      <c r="P916" s="66"/>
      <c r="Q916" s="66"/>
      <c r="R916" s="70"/>
      <c r="S916" s="71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</row>
    <row r="917" ht="13.5" customHeight="1">
      <c r="A917" s="66"/>
      <c r="B917" s="72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70"/>
      <c r="P917" s="66"/>
      <c r="Q917" s="66"/>
      <c r="R917" s="70"/>
      <c r="S917" s="71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</row>
    <row r="918" ht="13.5" customHeight="1">
      <c r="A918" s="66"/>
      <c r="B918" s="72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70"/>
      <c r="P918" s="66"/>
      <c r="Q918" s="66"/>
      <c r="R918" s="70"/>
      <c r="S918" s="71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</row>
    <row r="919" ht="13.5" customHeight="1">
      <c r="A919" s="66"/>
      <c r="B919" s="72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70"/>
      <c r="P919" s="66"/>
      <c r="Q919" s="66"/>
      <c r="R919" s="70"/>
      <c r="S919" s="71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</row>
    <row r="920" ht="13.5" customHeight="1">
      <c r="A920" s="66"/>
      <c r="B920" s="72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70"/>
      <c r="P920" s="66"/>
      <c r="Q920" s="66"/>
      <c r="R920" s="70"/>
      <c r="S920" s="71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</row>
    <row r="921" ht="13.5" customHeight="1">
      <c r="A921" s="66"/>
      <c r="B921" s="72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70"/>
      <c r="P921" s="66"/>
      <c r="Q921" s="66"/>
      <c r="R921" s="70"/>
      <c r="S921" s="71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</row>
    <row r="922" ht="13.5" customHeight="1">
      <c r="A922" s="66"/>
      <c r="B922" s="72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70"/>
      <c r="P922" s="66"/>
      <c r="Q922" s="66"/>
      <c r="R922" s="70"/>
      <c r="S922" s="71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</row>
    <row r="923" ht="13.5" customHeight="1">
      <c r="A923" s="66"/>
      <c r="B923" s="72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70"/>
      <c r="P923" s="66"/>
      <c r="Q923" s="66"/>
      <c r="R923" s="70"/>
      <c r="S923" s="71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</row>
    <row r="924" ht="13.5" customHeight="1">
      <c r="A924" s="66"/>
      <c r="B924" s="72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70"/>
      <c r="P924" s="66"/>
      <c r="Q924" s="66"/>
      <c r="R924" s="70"/>
      <c r="S924" s="71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</row>
    <row r="925" ht="13.5" customHeight="1">
      <c r="A925" s="66"/>
      <c r="B925" s="72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70"/>
      <c r="P925" s="66"/>
      <c r="Q925" s="66"/>
      <c r="R925" s="70"/>
      <c r="S925" s="71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</row>
    <row r="926" ht="13.5" customHeight="1">
      <c r="A926" s="66"/>
      <c r="B926" s="72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70"/>
      <c r="P926" s="66"/>
      <c r="Q926" s="66"/>
      <c r="R926" s="70"/>
      <c r="S926" s="71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</row>
    <row r="927" ht="13.5" customHeight="1">
      <c r="A927" s="66"/>
      <c r="B927" s="72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70"/>
      <c r="P927" s="66"/>
      <c r="Q927" s="66"/>
      <c r="R927" s="70"/>
      <c r="S927" s="71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</row>
    <row r="928" ht="13.5" customHeight="1">
      <c r="A928" s="66"/>
      <c r="B928" s="72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70"/>
      <c r="P928" s="66"/>
      <c r="Q928" s="66"/>
      <c r="R928" s="70"/>
      <c r="S928" s="71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</row>
    <row r="929" ht="13.5" customHeight="1">
      <c r="A929" s="66"/>
      <c r="B929" s="72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70"/>
      <c r="P929" s="66"/>
      <c r="Q929" s="66"/>
      <c r="R929" s="70"/>
      <c r="S929" s="71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</row>
    <row r="930" ht="13.5" customHeight="1">
      <c r="A930" s="66"/>
      <c r="B930" s="72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70"/>
      <c r="P930" s="66"/>
      <c r="Q930" s="66"/>
      <c r="R930" s="70"/>
      <c r="S930" s="71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</row>
    <row r="931" ht="13.5" customHeight="1">
      <c r="A931" s="66"/>
      <c r="B931" s="72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70"/>
      <c r="P931" s="66"/>
      <c r="Q931" s="66"/>
      <c r="R931" s="70"/>
      <c r="S931" s="71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</row>
    <row r="932" ht="13.5" customHeight="1">
      <c r="A932" s="66"/>
      <c r="B932" s="72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70"/>
      <c r="P932" s="66"/>
      <c r="Q932" s="66"/>
      <c r="R932" s="70"/>
      <c r="S932" s="71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</row>
    <row r="933" ht="13.5" customHeight="1">
      <c r="A933" s="66"/>
      <c r="B933" s="72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70"/>
      <c r="P933" s="66"/>
      <c r="Q933" s="66"/>
      <c r="R933" s="70"/>
      <c r="S933" s="71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</row>
    <row r="934" ht="13.5" customHeight="1">
      <c r="A934" s="66"/>
      <c r="B934" s="72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70"/>
      <c r="P934" s="66"/>
      <c r="Q934" s="66"/>
      <c r="R934" s="70"/>
      <c r="S934" s="71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</row>
    <row r="935" ht="13.5" customHeight="1">
      <c r="A935" s="66"/>
      <c r="B935" s="72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70"/>
      <c r="P935" s="66"/>
      <c r="Q935" s="66"/>
      <c r="R935" s="70"/>
      <c r="S935" s="71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</row>
    <row r="936" ht="13.5" customHeight="1">
      <c r="A936" s="66"/>
      <c r="B936" s="72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70"/>
      <c r="P936" s="66"/>
      <c r="Q936" s="66"/>
      <c r="R936" s="70"/>
      <c r="S936" s="71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</row>
    <row r="937" ht="13.5" customHeight="1">
      <c r="A937" s="66"/>
      <c r="B937" s="72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70"/>
      <c r="P937" s="66"/>
      <c r="Q937" s="66"/>
      <c r="R937" s="70"/>
      <c r="S937" s="71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</row>
    <row r="938" ht="13.5" customHeight="1">
      <c r="A938" s="66"/>
      <c r="B938" s="72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70"/>
      <c r="P938" s="66"/>
      <c r="Q938" s="66"/>
      <c r="R938" s="70"/>
      <c r="S938" s="71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</row>
    <row r="939" ht="13.5" customHeight="1">
      <c r="A939" s="66"/>
      <c r="B939" s="72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70"/>
      <c r="P939" s="66"/>
      <c r="Q939" s="66"/>
      <c r="R939" s="70"/>
      <c r="S939" s="71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</row>
    <row r="940" ht="13.5" customHeight="1">
      <c r="A940" s="66"/>
      <c r="B940" s="72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70"/>
      <c r="P940" s="66"/>
      <c r="Q940" s="66"/>
      <c r="R940" s="70"/>
      <c r="S940" s="71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</row>
    <row r="941" ht="13.5" customHeight="1">
      <c r="A941" s="66"/>
      <c r="B941" s="72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70"/>
      <c r="P941" s="66"/>
      <c r="Q941" s="66"/>
      <c r="R941" s="70"/>
      <c r="S941" s="71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</row>
    <row r="942" ht="13.5" customHeight="1">
      <c r="A942" s="66"/>
      <c r="B942" s="72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70"/>
      <c r="P942" s="66"/>
      <c r="Q942" s="66"/>
      <c r="R942" s="70"/>
      <c r="S942" s="71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</row>
    <row r="943" ht="13.5" customHeight="1">
      <c r="A943" s="66"/>
      <c r="B943" s="72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70"/>
      <c r="P943" s="66"/>
      <c r="Q943" s="66"/>
      <c r="R943" s="70"/>
      <c r="S943" s="71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</row>
    <row r="944" ht="13.5" customHeight="1">
      <c r="A944" s="66"/>
      <c r="B944" s="72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70"/>
      <c r="P944" s="66"/>
      <c r="Q944" s="66"/>
      <c r="R944" s="70"/>
      <c r="S944" s="71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</row>
    <row r="945" ht="13.5" customHeight="1">
      <c r="A945" s="66"/>
      <c r="B945" s="72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70"/>
      <c r="P945" s="66"/>
      <c r="Q945" s="66"/>
      <c r="R945" s="70"/>
      <c r="S945" s="71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</row>
    <row r="946" ht="13.5" customHeight="1">
      <c r="A946" s="66"/>
      <c r="B946" s="72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70"/>
      <c r="P946" s="66"/>
      <c r="Q946" s="66"/>
      <c r="R946" s="70"/>
      <c r="S946" s="71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</row>
    <row r="947" ht="13.5" customHeight="1">
      <c r="A947" s="66"/>
      <c r="B947" s="72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70"/>
      <c r="P947" s="66"/>
      <c r="Q947" s="66"/>
      <c r="R947" s="70"/>
      <c r="S947" s="71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</row>
    <row r="948" ht="13.5" customHeight="1">
      <c r="A948" s="66"/>
      <c r="B948" s="72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70"/>
      <c r="P948" s="66"/>
      <c r="Q948" s="66"/>
      <c r="R948" s="70"/>
      <c r="S948" s="71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</row>
    <row r="949" ht="13.5" customHeight="1">
      <c r="A949" s="66"/>
      <c r="B949" s="72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70"/>
      <c r="P949" s="66"/>
      <c r="Q949" s="66"/>
      <c r="R949" s="70"/>
      <c r="S949" s="71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</row>
    <row r="950" ht="13.5" customHeight="1">
      <c r="A950" s="66"/>
      <c r="B950" s="72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70"/>
      <c r="P950" s="66"/>
      <c r="Q950" s="66"/>
      <c r="R950" s="70"/>
      <c r="S950" s="71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</row>
    <row r="951" ht="13.5" customHeight="1">
      <c r="A951" s="66"/>
      <c r="B951" s="72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70"/>
      <c r="P951" s="66"/>
      <c r="Q951" s="66"/>
      <c r="R951" s="70"/>
      <c r="S951" s="71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</row>
    <row r="952" ht="13.5" customHeight="1">
      <c r="A952" s="66"/>
      <c r="B952" s="72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70"/>
      <c r="P952" s="66"/>
      <c r="Q952" s="66"/>
      <c r="R952" s="70"/>
      <c r="S952" s="71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</row>
    <row r="953" ht="13.5" customHeight="1">
      <c r="A953" s="66"/>
      <c r="B953" s="72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70"/>
      <c r="P953" s="66"/>
      <c r="Q953" s="66"/>
      <c r="R953" s="70"/>
      <c r="S953" s="71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</row>
    <row r="954" ht="13.5" customHeight="1">
      <c r="A954" s="66"/>
      <c r="B954" s="72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70"/>
      <c r="P954" s="66"/>
      <c r="Q954" s="66"/>
      <c r="R954" s="70"/>
      <c r="S954" s="71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</row>
    <row r="955" ht="13.5" customHeight="1">
      <c r="A955" s="66"/>
      <c r="B955" s="72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70"/>
      <c r="P955" s="66"/>
      <c r="Q955" s="66"/>
      <c r="R955" s="70"/>
      <c r="S955" s="71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</row>
    <row r="956" ht="13.5" customHeight="1">
      <c r="A956" s="66"/>
      <c r="B956" s="72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70"/>
      <c r="P956" s="66"/>
      <c r="Q956" s="66"/>
      <c r="R956" s="70"/>
      <c r="S956" s="71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</row>
    <row r="957" ht="13.5" customHeight="1">
      <c r="A957" s="66"/>
      <c r="B957" s="72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70"/>
      <c r="P957" s="66"/>
      <c r="Q957" s="66"/>
      <c r="R957" s="70"/>
      <c r="S957" s="71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</row>
    <row r="958" ht="13.5" customHeight="1">
      <c r="A958" s="66"/>
      <c r="B958" s="72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70"/>
      <c r="P958" s="66"/>
      <c r="Q958" s="66"/>
      <c r="R958" s="70"/>
      <c r="S958" s="71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</row>
    <row r="959" ht="13.5" customHeight="1">
      <c r="A959" s="66"/>
      <c r="B959" s="72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70"/>
      <c r="P959" s="66"/>
      <c r="Q959" s="66"/>
      <c r="R959" s="70"/>
      <c r="S959" s="71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</row>
    <row r="960" ht="13.5" customHeight="1">
      <c r="A960" s="66"/>
      <c r="B960" s="72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70"/>
      <c r="P960" s="66"/>
      <c r="Q960" s="66"/>
      <c r="R960" s="70"/>
      <c r="S960" s="71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</row>
    <row r="961" ht="13.5" customHeight="1">
      <c r="A961" s="66"/>
      <c r="B961" s="72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70"/>
      <c r="P961" s="66"/>
      <c r="Q961" s="66"/>
      <c r="R961" s="70"/>
      <c r="S961" s="71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</row>
    <row r="962" ht="13.5" customHeight="1">
      <c r="A962" s="66"/>
      <c r="B962" s="72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70"/>
      <c r="P962" s="66"/>
      <c r="Q962" s="66"/>
      <c r="R962" s="70"/>
      <c r="S962" s="71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</row>
    <row r="963" ht="13.5" customHeight="1">
      <c r="A963" s="66"/>
      <c r="B963" s="72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70"/>
      <c r="P963" s="66"/>
      <c r="Q963" s="66"/>
      <c r="R963" s="70"/>
      <c r="S963" s="71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</row>
    <row r="964" ht="13.5" customHeight="1">
      <c r="A964" s="66"/>
      <c r="B964" s="72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70"/>
      <c r="P964" s="66"/>
      <c r="Q964" s="66"/>
      <c r="R964" s="70"/>
      <c r="S964" s="71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</row>
    <row r="965" ht="13.5" customHeight="1">
      <c r="A965" s="66"/>
      <c r="B965" s="72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70"/>
      <c r="P965" s="66"/>
      <c r="Q965" s="66"/>
      <c r="R965" s="70"/>
      <c r="S965" s="71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</row>
    <row r="966" ht="13.5" customHeight="1">
      <c r="A966" s="66"/>
      <c r="B966" s="72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70"/>
      <c r="P966" s="66"/>
      <c r="Q966" s="66"/>
      <c r="R966" s="70"/>
      <c r="S966" s="71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</row>
    <row r="967" ht="13.5" customHeight="1">
      <c r="A967" s="66"/>
      <c r="B967" s="72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70"/>
      <c r="P967" s="66"/>
      <c r="Q967" s="66"/>
      <c r="R967" s="70"/>
      <c r="S967" s="71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</row>
    <row r="968" ht="13.5" customHeight="1">
      <c r="A968" s="66"/>
      <c r="B968" s="72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70"/>
      <c r="P968" s="66"/>
      <c r="Q968" s="66"/>
      <c r="R968" s="70"/>
      <c r="S968" s="71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</row>
    <row r="969" ht="13.5" customHeight="1">
      <c r="A969" s="66"/>
      <c r="B969" s="72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70"/>
      <c r="P969" s="66"/>
      <c r="Q969" s="66"/>
      <c r="R969" s="70"/>
      <c r="S969" s="71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</row>
    <row r="970" ht="13.5" customHeight="1">
      <c r="A970" s="66"/>
      <c r="B970" s="72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70"/>
      <c r="P970" s="66"/>
      <c r="Q970" s="66"/>
      <c r="R970" s="70"/>
      <c r="S970" s="71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</row>
    <row r="971" ht="13.5" customHeight="1">
      <c r="A971" s="66"/>
      <c r="B971" s="72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70"/>
      <c r="P971" s="66"/>
      <c r="Q971" s="66"/>
      <c r="R971" s="70"/>
      <c r="S971" s="71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</row>
    <row r="972" ht="13.5" customHeight="1">
      <c r="A972" s="66"/>
      <c r="B972" s="72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70"/>
      <c r="P972" s="66"/>
      <c r="Q972" s="66"/>
      <c r="R972" s="70"/>
      <c r="S972" s="71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</row>
    <row r="973" ht="13.5" customHeight="1">
      <c r="A973" s="66"/>
      <c r="B973" s="72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70"/>
      <c r="P973" s="66"/>
      <c r="Q973" s="66"/>
      <c r="R973" s="70"/>
      <c r="S973" s="71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</row>
    <row r="974" ht="13.5" customHeight="1">
      <c r="A974" s="66"/>
      <c r="B974" s="72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70"/>
      <c r="P974" s="66"/>
      <c r="Q974" s="66"/>
      <c r="R974" s="70"/>
      <c r="S974" s="71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</row>
    <row r="975" ht="13.5" customHeight="1">
      <c r="A975" s="66"/>
      <c r="B975" s="72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70"/>
      <c r="P975" s="66"/>
      <c r="Q975" s="66"/>
      <c r="R975" s="70"/>
      <c r="S975" s="71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</row>
    <row r="976" ht="13.5" customHeight="1">
      <c r="A976" s="66"/>
      <c r="B976" s="72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70"/>
      <c r="P976" s="66"/>
      <c r="Q976" s="66"/>
      <c r="R976" s="70"/>
      <c r="S976" s="71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</row>
    <row r="977" ht="13.5" customHeight="1">
      <c r="A977" s="66"/>
      <c r="B977" s="72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70"/>
      <c r="P977" s="66"/>
      <c r="Q977" s="66"/>
      <c r="R977" s="70"/>
      <c r="S977" s="71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</row>
    <row r="978" ht="13.5" customHeight="1">
      <c r="A978" s="66"/>
      <c r="B978" s="72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70"/>
      <c r="P978" s="66"/>
      <c r="Q978" s="66"/>
      <c r="R978" s="70"/>
      <c r="S978" s="71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</row>
    <row r="979" ht="13.5" customHeight="1">
      <c r="A979" s="66"/>
      <c r="B979" s="72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70"/>
      <c r="P979" s="66"/>
      <c r="Q979" s="66"/>
      <c r="R979" s="70"/>
      <c r="S979" s="71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</row>
    <row r="980" ht="13.5" customHeight="1">
      <c r="A980" s="66"/>
      <c r="B980" s="72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70"/>
      <c r="P980" s="66"/>
      <c r="Q980" s="66"/>
      <c r="R980" s="70"/>
      <c r="S980" s="71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</row>
    <row r="981" ht="13.5" customHeight="1">
      <c r="A981" s="66"/>
      <c r="B981" s="72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70"/>
      <c r="P981" s="66"/>
      <c r="Q981" s="66"/>
      <c r="R981" s="70"/>
      <c r="S981" s="71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</row>
    <row r="982" ht="13.5" customHeight="1">
      <c r="A982" s="66"/>
      <c r="B982" s="72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70"/>
      <c r="P982" s="66"/>
      <c r="Q982" s="66"/>
      <c r="R982" s="70"/>
      <c r="S982" s="71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</row>
    <row r="983" ht="13.5" customHeight="1">
      <c r="A983" s="66"/>
      <c r="B983" s="72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70"/>
      <c r="P983" s="66"/>
      <c r="Q983" s="66"/>
      <c r="R983" s="70"/>
      <c r="S983" s="71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</row>
    <row r="984" ht="13.5" customHeight="1">
      <c r="A984" s="66"/>
      <c r="B984" s="72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70"/>
      <c r="P984" s="66"/>
      <c r="Q984" s="66"/>
      <c r="R984" s="70"/>
      <c r="S984" s="71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</row>
    <row r="985" ht="13.5" customHeight="1">
      <c r="A985" s="66"/>
      <c r="B985" s="72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70"/>
      <c r="P985" s="66"/>
      <c r="Q985" s="66"/>
      <c r="R985" s="70"/>
      <c r="S985" s="71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</row>
    <row r="986" ht="13.5" customHeight="1">
      <c r="A986" s="66"/>
      <c r="B986" s="72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70"/>
      <c r="P986" s="66"/>
      <c r="Q986" s="66"/>
      <c r="R986" s="70"/>
      <c r="S986" s="71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</row>
    <row r="987" ht="13.5" customHeight="1">
      <c r="A987" s="66"/>
      <c r="B987" s="72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70"/>
      <c r="P987" s="66"/>
      <c r="Q987" s="66"/>
      <c r="R987" s="70"/>
      <c r="S987" s="71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</row>
    <row r="988" ht="13.5" customHeight="1">
      <c r="A988" s="66"/>
      <c r="B988" s="72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70"/>
      <c r="P988" s="66"/>
      <c r="Q988" s="66"/>
      <c r="R988" s="70"/>
      <c r="S988" s="71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</row>
    <row r="989" ht="13.5" customHeight="1">
      <c r="A989" s="66"/>
      <c r="B989" s="72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70"/>
      <c r="P989" s="66"/>
      <c r="Q989" s="66"/>
      <c r="R989" s="70"/>
      <c r="S989" s="71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</row>
    <row r="990" ht="13.5" customHeight="1">
      <c r="A990" s="66"/>
      <c r="B990" s="72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70"/>
      <c r="P990" s="66"/>
      <c r="Q990" s="66"/>
      <c r="R990" s="70"/>
      <c r="S990" s="71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</row>
    <row r="991" ht="13.5" customHeight="1">
      <c r="A991" s="66"/>
      <c r="B991" s="72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70"/>
      <c r="P991" s="66"/>
      <c r="Q991" s="66"/>
      <c r="R991" s="70"/>
      <c r="S991" s="71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</row>
    <row r="992" ht="13.5" customHeight="1">
      <c r="A992" s="66"/>
      <c r="B992" s="72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70"/>
      <c r="P992" s="66"/>
      <c r="Q992" s="66"/>
      <c r="R992" s="70"/>
      <c r="S992" s="71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</row>
    <row r="993" ht="13.5" customHeight="1">
      <c r="A993" s="66"/>
      <c r="B993" s="72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70"/>
      <c r="P993" s="66"/>
      <c r="Q993" s="66"/>
      <c r="R993" s="70"/>
      <c r="S993" s="71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</row>
    <row r="994" ht="13.5" customHeight="1">
      <c r="A994" s="66"/>
      <c r="B994" s="72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70"/>
      <c r="P994" s="66"/>
      <c r="Q994" s="66"/>
      <c r="R994" s="70"/>
      <c r="S994" s="71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</row>
    <row r="995" ht="13.5" customHeight="1">
      <c r="A995" s="66"/>
      <c r="B995" s="72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70"/>
      <c r="P995" s="66"/>
      <c r="Q995" s="66"/>
      <c r="R995" s="70"/>
      <c r="S995" s="71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</row>
    <row r="996" ht="13.5" customHeight="1">
      <c r="A996" s="66"/>
      <c r="B996" s="72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70"/>
      <c r="P996" s="66"/>
      <c r="Q996" s="66"/>
      <c r="R996" s="70"/>
      <c r="S996" s="71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</row>
    <row r="997" ht="13.5" customHeight="1">
      <c r="A997" s="66"/>
      <c r="B997" s="72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70"/>
      <c r="P997" s="66"/>
      <c r="Q997" s="66"/>
      <c r="R997" s="70"/>
      <c r="S997" s="71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</row>
    <row r="998" ht="13.5" customHeight="1">
      <c r="A998" s="66"/>
      <c r="B998" s="72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70"/>
      <c r="P998" s="66"/>
      <c r="Q998" s="66"/>
      <c r="R998" s="70"/>
      <c r="S998" s="71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</row>
    <row r="999" ht="13.5" customHeight="1">
      <c r="A999" s="66"/>
      <c r="B999" s="72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70"/>
      <c r="P999" s="66"/>
      <c r="Q999" s="66"/>
      <c r="R999" s="70"/>
      <c r="S999" s="71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</row>
    <row r="1000" ht="13.5" customHeight="1">
      <c r="A1000" s="66"/>
      <c r="B1000" s="72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70"/>
      <c r="P1000" s="66"/>
      <c r="Q1000" s="66"/>
      <c r="R1000" s="70"/>
      <c r="S1000" s="71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</row>
  </sheetData>
  <mergeCells count="12">
    <mergeCell ref="M3:N3"/>
    <mergeCell ref="O3:O5"/>
    <mergeCell ref="P3:P5"/>
    <mergeCell ref="K129:L129"/>
    <mergeCell ref="K130:L130"/>
    <mergeCell ref="B1:O1"/>
    <mergeCell ref="B3:B5"/>
    <mergeCell ref="C3:C5"/>
    <mergeCell ref="E3:F3"/>
    <mergeCell ref="G3:H3"/>
    <mergeCell ref="I3:J3"/>
    <mergeCell ref="K3:L3"/>
  </mergeCells>
  <printOptions/>
  <pageMargins bottom="0.75" footer="0.0" header="0.0" left="0.7" right="0.7" top="0.75"/>
  <pageSetup orientation="landscape" paperHeight="13.779527559055117in" paperWidth="15.314960629921258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1.0" topLeftCell="D22" activePane="bottomRight" state="frozen"/>
      <selection activeCell="D1" sqref="D1" pane="topRight"/>
      <selection activeCell="A22" sqref="A22" pane="bottomLeft"/>
      <selection activeCell="D22" sqref="D22" pane="bottomRight"/>
    </sheetView>
  </sheetViews>
  <sheetFormatPr customHeight="1" defaultColWidth="14.43" defaultRowHeight="15.0"/>
  <cols>
    <col customWidth="1" min="1" max="1" width="8.86"/>
    <col customWidth="1" min="2" max="2" width="4.71"/>
    <col customWidth="1" min="3" max="3" width="28.71"/>
    <col customWidth="1" min="4" max="11" width="24.71"/>
    <col customWidth="1" min="12" max="12" width="23.43"/>
    <col customWidth="1" min="13" max="13" width="24.71"/>
    <col customWidth="1" min="14" max="26" width="8.0"/>
  </cols>
  <sheetData>
    <row r="1" ht="15.75" customHeight="1">
      <c r="A1" s="149"/>
      <c r="B1" s="150" t="s">
        <v>213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51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ht="15.75" customHeight="1">
      <c r="A2" s="152"/>
      <c r="B2" s="150" t="s">
        <v>2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51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 ht="15.75" customHeight="1">
      <c r="A3" s="152"/>
      <c r="B3" s="150" t="s">
        <v>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51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 ht="15.75" customHeight="1">
      <c r="A4" s="152"/>
      <c r="B4" s="57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51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 ht="15.75" customHeight="1">
      <c r="A5" s="29"/>
      <c r="B5" s="3" t="s">
        <v>214</v>
      </c>
      <c r="L5" s="3"/>
      <c r="M5" s="153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154"/>
      <c r="B6" s="150" t="s">
        <v>5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151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 ht="15.75" customHeight="1">
      <c r="A7" s="149"/>
      <c r="B7" s="150" t="s">
        <v>6</v>
      </c>
      <c r="C7" s="150" t="s">
        <v>215</v>
      </c>
      <c r="D7" s="150"/>
      <c r="E7" s="57"/>
      <c r="F7" s="57"/>
      <c r="G7" s="57"/>
      <c r="H7" s="57"/>
      <c r="I7" s="57"/>
      <c r="J7" s="57"/>
      <c r="K7" s="57"/>
      <c r="L7" s="57"/>
      <c r="M7" s="151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ht="15.75" customHeight="1">
      <c r="A8" s="149"/>
      <c r="B8" s="150"/>
      <c r="C8" s="57"/>
      <c r="D8" s="57"/>
      <c r="E8" s="57"/>
      <c r="F8" s="57"/>
      <c r="G8" s="57"/>
      <c r="H8" s="57"/>
      <c r="I8" s="57"/>
      <c r="J8" s="57"/>
      <c r="K8" s="57"/>
      <c r="L8" s="57"/>
      <c r="M8" s="151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 ht="15.75" customHeight="1">
      <c r="A9" s="149"/>
      <c r="B9" s="150" t="s">
        <v>14</v>
      </c>
      <c r="C9" s="150" t="s">
        <v>216</v>
      </c>
      <c r="D9" s="57"/>
      <c r="E9" s="57"/>
      <c r="F9" s="57"/>
      <c r="G9" s="57"/>
      <c r="H9" s="57"/>
      <c r="I9" s="57"/>
      <c r="J9" s="57"/>
      <c r="K9" s="57"/>
      <c r="L9" s="57"/>
      <c r="M9" s="151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 ht="15.75" customHeight="1">
      <c r="A10" s="149"/>
      <c r="B10" s="150"/>
      <c r="C10" s="150" t="s">
        <v>217</v>
      </c>
      <c r="D10" s="155">
        <v>2000000.0</v>
      </c>
      <c r="E10" s="57"/>
      <c r="F10" s="57"/>
      <c r="G10" s="57"/>
      <c r="H10" s="57"/>
      <c r="I10" s="57"/>
      <c r="J10" s="57"/>
      <c r="K10" s="57"/>
      <c r="L10" s="57"/>
      <c r="M10" s="151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ht="15.75" customHeight="1">
      <c r="A11" s="149"/>
      <c r="B11" s="57"/>
      <c r="C11" s="150" t="s">
        <v>218</v>
      </c>
      <c r="D11" s="155">
        <v>1950000.0</v>
      </c>
      <c r="E11" s="57"/>
      <c r="F11" s="57"/>
      <c r="G11" s="57"/>
      <c r="H11" s="57"/>
      <c r="I11" s="57"/>
      <c r="J11" s="57"/>
      <c r="K11" s="57"/>
      <c r="L11" s="57"/>
      <c r="M11" s="151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 ht="15.75" customHeight="1">
      <c r="A12" s="149"/>
      <c r="B12" s="57"/>
      <c r="C12" s="150" t="s">
        <v>219</v>
      </c>
      <c r="D12" s="155">
        <v>1900000.0</v>
      </c>
      <c r="E12" s="57"/>
      <c r="F12" s="57"/>
      <c r="G12" s="57"/>
      <c r="H12" s="57"/>
      <c r="I12" s="57"/>
      <c r="J12" s="57"/>
      <c r="K12" s="57"/>
      <c r="L12" s="57"/>
      <c r="M12" s="151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ht="15.75" customHeight="1">
      <c r="A13" s="149"/>
      <c r="B13" s="57"/>
      <c r="C13" s="150" t="s">
        <v>220</v>
      </c>
      <c r="D13" s="155">
        <v>1850000.0</v>
      </c>
      <c r="E13" s="57"/>
      <c r="F13" s="57"/>
      <c r="G13" s="57"/>
      <c r="H13" s="57"/>
      <c r="I13" s="57"/>
      <c r="J13" s="57"/>
      <c r="K13" s="57"/>
      <c r="L13" s="57"/>
      <c r="M13" s="151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 ht="15.75" customHeight="1">
      <c r="A14" s="149"/>
      <c r="B14" s="57"/>
      <c r="C14" s="150" t="s">
        <v>219</v>
      </c>
      <c r="D14" s="155">
        <v>1800000.0</v>
      </c>
      <c r="E14" s="57"/>
      <c r="F14" s="57"/>
      <c r="G14" s="57"/>
      <c r="H14" s="57"/>
      <c r="I14" s="57"/>
      <c r="J14" s="57"/>
      <c r="K14" s="57"/>
      <c r="L14" s="57"/>
      <c r="M14" s="151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ht="15.75" customHeight="1">
      <c r="A15" s="149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151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ht="24.0" customHeight="1">
      <c r="A16" s="29"/>
      <c r="B16" s="156" t="s">
        <v>16</v>
      </c>
      <c r="C16" s="157" t="s">
        <v>17</v>
      </c>
      <c r="D16" s="158" t="s">
        <v>221</v>
      </c>
      <c r="E16" s="159"/>
      <c r="F16" s="159"/>
      <c r="G16" s="159"/>
      <c r="H16" s="159"/>
      <c r="I16" s="159"/>
      <c r="J16" s="159"/>
      <c r="K16" s="160"/>
      <c r="L16" s="161"/>
      <c r="M16" s="162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24.0" customHeight="1">
      <c r="A17" s="29"/>
      <c r="B17" s="84"/>
      <c r="C17" s="84"/>
      <c r="D17" s="163" t="s">
        <v>222</v>
      </c>
      <c r="E17" s="164"/>
      <c r="F17" s="164"/>
      <c r="G17" s="164"/>
      <c r="H17" s="164"/>
      <c r="I17" s="164"/>
      <c r="J17" s="164"/>
      <c r="K17" s="165"/>
      <c r="L17" s="3"/>
      <c r="M17" s="162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24.0" customHeight="1">
      <c r="A18" s="29"/>
      <c r="B18" s="84"/>
      <c r="C18" s="84"/>
      <c r="D18" s="31" t="s">
        <v>223</v>
      </c>
      <c r="E18" s="31" t="s">
        <v>224</v>
      </c>
      <c r="F18" s="31" t="s">
        <v>225</v>
      </c>
      <c r="G18" s="31" t="s">
        <v>226</v>
      </c>
      <c r="H18" s="166" t="s">
        <v>227</v>
      </c>
      <c r="I18" s="159"/>
      <c r="J18" s="160"/>
      <c r="K18" s="31" t="s">
        <v>30</v>
      </c>
      <c r="L18" s="167"/>
      <c r="M18" s="162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24.0" customHeight="1">
      <c r="A19" s="29"/>
      <c r="B19" s="38"/>
      <c r="C19" s="38"/>
      <c r="D19" s="38"/>
      <c r="E19" s="38"/>
      <c r="F19" s="38"/>
      <c r="G19" s="38"/>
      <c r="H19" s="168"/>
      <c r="I19" s="164"/>
      <c r="J19" s="165"/>
      <c r="K19" s="38"/>
      <c r="L19" s="169"/>
      <c r="M19" s="162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24.0" customHeight="1">
      <c r="A20" s="29"/>
      <c r="B20" s="170"/>
      <c r="C20" s="171"/>
      <c r="D20" s="44"/>
      <c r="E20" s="44"/>
      <c r="F20" s="44"/>
      <c r="G20" s="44"/>
      <c r="H20" s="39" t="s">
        <v>228</v>
      </c>
      <c r="I20" s="172" t="s">
        <v>229</v>
      </c>
      <c r="J20" s="172" t="s">
        <v>30</v>
      </c>
      <c r="K20" s="44"/>
      <c r="L20" s="169"/>
      <c r="M20" s="162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24.0" customHeight="1">
      <c r="A21" s="29"/>
      <c r="B21" s="41">
        <v>1.0</v>
      </c>
      <c r="C21" s="41">
        <v>2.0</v>
      </c>
      <c r="D21" s="39">
        <v>3.0</v>
      </c>
      <c r="E21" s="39">
        <v>4.0</v>
      </c>
      <c r="F21" s="39">
        <v>5.0</v>
      </c>
      <c r="G21" s="39">
        <v>6.0</v>
      </c>
      <c r="H21" s="39">
        <v>7.0</v>
      </c>
      <c r="I21" s="39">
        <v>8.0</v>
      </c>
      <c r="J21" s="39" t="s">
        <v>230</v>
      </c>
      <c r="K21" s="39" t="s">
        <v>231</v>
      </c>
      <c r="L21" s="173"/>
      <c r="M21" s="162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149"/>
      <c r="B22" s="45" t="s">
        <v>50</v>
      </c>
      <c r="C22" s="174" t="s">
        <v>51</v>
      </c>
      <c r="D22" s="51"/>
      <c r="E22" s="175"/>
      <c r="F22" s="51"/>
      <c r="G22" s="51"/>
      <c r="H22" s="51"/>
      <c r="I22" s="51"/>
      <c r="J22" s="51"/>
      <c r="K22" s="51"/>
      <c r="L22" s="176"/>
      <c r="M22" s="151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15.75" customHeight="1">
      <c r="A23" s="149"/>
      <c r="B23" s="45" t="s">
        <v>6</v>
      </c>
      <c r="C23" s="177" t="s">
        <v>52</v>
      </c>
      <c r="D23" s="51">
        <f>'hitung siltap'!M22</f>
        <v>933300000</v>
      </c>
      <c r="E23" s="51">
        <f>ROUND('hitung siltap'!P22,0)</f>
        <v>10077696</v>
      </c>
      <c r="F23" s="51">
        <f>ROUND('hitung siltap'!W22,0)</f>
        <v>73959126</v>
      </c>
      <c r="G23" s="51">
        <f>'hitung siltap'!X22</f>
        <v>155550000</v>
      </c>
      <c r="H23" s="51">
        <v>2.01E8</v>
      </c>
      <c r="I23" s="51">
        <f>'hitung kewenangan kegiatan'!P7</f>
        <v>689919442</v>
      </c>
      <c r="J23" s="51">
        <f t="shared" ref="J23:J27" si="1">H23+I23</f>
        <v>890919442</v>
      </c>
      <c r="K23" s="51">
        <f t="shared" ref="K23:K27" si="2">SUM(D23:G23)+J23</f>
        <v>2063806264</v>
      </c>
      <c r="L23" s="176"/>
      <c r="M23" s="151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15.75" customHeight="1">
      <c r="A24" s="149"/>
      <c r="B24" s="45" t="s">
        <v>14</v>
      </c>
      <c r="C24" s="177" t="s">
        <v>53</v>
      </c>
      <c r="D24" s="51">
        <f>'hitung siltap'!M23</f>
        <v>759300000</v>
      </c>
      <c r="E24" s="51">
        <f>ROUND('hitung siltap'!P23,0)</f>
        <v>10077696</v>
      </c>
      <c r="F24" s="51">
        <f>ROUND('hitung siltap'!W23,0)</f>
        <v>63101526</v>
      </c>
      <c r="G24" s="51">
        <f>'hitung siltap'!X23</f>
        <v>126550000</v>
      </c>
      <c r="H24" s="51">
        <v>2.01E8</v>
      </c>
      <c r="I24" s="51">
        <f>'hitung kewenangan kegiatan'!P8</f>
        <v>622226824</v>
      </c>
      <c r="J24" s="51">
        <f t="shared" si="1"/>
        <v>823226824</v>
      </c>
      <c r="K24" s="51">
        <f t="shared" si="2"/>
        <v>1782256046</v>
      </c>
      <c r="L24" s="176"/>
      <c r="M24" s="151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5.75" customHeight="1">
      <c r="A25" s="149"/>
      <c r="B25" s="45" t="s">
        <v>232</v>
      </c>
      <c r="C25" s="177" t="s">
        <v>54</v>
      </c>
      <c r="D25" s="51">
        <f>'hitung siltap'!M24</f>
        <v>585300000</v>
      </c>
      <c r="E25" s="51">
        <f>ROUND('hitung siltap'!P24,0)</f>
        <v>10077696</v>
      </c>
      <c r="F25" s="51">
        <f>ROUND('hitung siltap'!W24,0)</f>
        <v>52243926</v>
      </c>
      <c r="G25" s="51">
        <f>'hitung siltap'!X24</f>
        <v>97550000</v>
      </c>
      <c r="H25" s="51">
        <v>2.01E8</v>
      </c>
      <c r="I25" s="51">
        <f>'hitung kewenangan kegiatan'!P9</f>
        <v>451329140</v>
      </c>
      <c r="J25" s="51">
        <f t="shared" si="1"/>
        <v>652329140</v>
      </c>
      <c r="K25" s="51">
        <f t="shared" si="2"/>
        <v>1397500762</v>
      </c>
      <c r="L25" s="176"/>
      <c r="M25" s="151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5.75" customHeight="1">
      <c r="A26" s="149"/>
      <c r="B26" s="45" t="s">
        <v>233</v>
      </c>
      <c r="C26" s="177" t="s">
        <v>55</v>
      </c>
      <c r="D26" s="51">
        <f>'hitung siltap'!M25</f>
        <v>585300000</v>
      </c>
      <c r="E26" s="51">
        <f>ROUND('hitung siltap'!P25,0)</f>
        <v>10077696</v>
      </c>
      <c r="F26" s="51">
        <f>ROUND('hitung siltap'!W25,0)</f>
        <v>52243926</v>
      </c>
      <c r="G26" s="51">
        <f>'hitung siltap'!X25</f>
        <v>97550000</v>
      </c>
      <c r="H26" s="51">
        <v>2.01E8</v>
      </c>
      <c r="I26" s="51">
        <f>'hitung kewenangan kegiatan'!P10</f>
        <v>440641099</v>
      </c>
      <c r="J26" s="51">
        <f t="shared" si="1"/>
        <v>641641099</v>
      </c>
      <c r="K26" s="51">
        <f t="shared" si="2"/>
        <v>1386812721</v>
      </c>
      <c r="L26" s="176"/>
      <c r="M26" s="151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5.75" customHeight="1">
      <c r="A27" s="149"/>
      <c r="B27" s="45" t="s">
        <v>234</v>
      </c>
      <c r="C27" s="177" t="s">
        <v>56</v>
      </c>
      <c r="D27" s="51">
        <f>'hitung siltap'!M26</f>
        <v>724500000</v>
      </c>
      <c r="E27" s="51">
        <f>ROUND('hitung siltap'!P26,0)</f>
        <v>10077696</v>
      </c>
      <c r="F27" s="51">
        <f>ROUND('hitung siltap'!W26,0)</f>
        <v>60930006</v>
      </c>
      <c r="G27" s="51">
        <f>'hitung siltap'!X26</f>
        <v>120750000</v>
      </c>
      <c r="H27" s="51">
        <v>2.01E8</v>
      </c>
      <c r="I27" s="51">
        <f>'hitung kewenangan kegiatan'!P11</f>
        <v>549112626</v>
      </c>
      <c r="J27" s="51">
        <f t="shared" si="1"/>
        <v>750112626</v>
      </c>
      <c r="K27" s="51">
        <f t="shared" si="2"/>
        <v>1666370328</v>
      </c>
      <c r="L27" s="176"/>
      <c r="M27" s="151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15.75" customHeight="1">
      <c r="A28" s="149"/>
      <c r="B28" s="45" t="s">
        <v>57</v>
      </c>
      <c r="C28" s="177" t="s">
        <v>58</v>
      </c>
      <c r="D28" s="51"/>
      <c r="E28" s="51"/>
      <c r="F28" s="51"/>
      <c r="G28" s="51"/>
      <c r="H28" s="51"/>
      <c r="I28" s="51"/>
      <c r="J28" s="51"/>
      <c r="K28" s="51"/>
      <c r="L28" s="176"/>
      <c r="M28" s="151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5.75" customHeight="1">
      <c r="A29" s="149"/>
      <c r="B29" s="45" t="s">
        <v>235</v>
      </c>
      <c r="C29" s="177" t="s">
        <v>59</v>
      </c>
      <c r="D29" s="51">
        <f>'hitung siltap'!M28</f>
        <v>759300000</v>
      </c>
      <c r="E29" s="51">
        <f>ROUND('hitung siltap'!P28,0)</f>
        <v>10077696</v>
      </c>
      <c r="F29" s="51">
        <f>ROUND('hitung siltap'!W28,0)</f>
        <v>63101526</v>
      </c>
      <c r="G29" s="51">
        <f>'hitung siltap'!X28</f>
        <v>126550000</v>
      </c>
      <c r="H29" s="51">
        <v>1.578E8</v>
      </c>
      <c r="I29" s="51">
        <f>'hitung kewenangan kegiatan'!P14</f>
        <v>429911810</v>
      </c>
      <c r="J29" s="51">
        <f t="shared" ref="J29:J35" si="3">H29+I29</f>
        <v>587711810</v>
      </c>
      <c r="K29" s="51">
        <f t="shared" ref="K29:K35" si="4">SUM(D29:G29)+J29</f>
        <v>1546741032</v>
      </c>
      <c r="L29" s="176"/>
      <c r="M29" s="151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5.75" customHeight="1">
      <c r="A30" s="149"/>
      <c r="B30" s="45" t="s">
        <v>236</v>
      </c>
      <c r="C30" s="177" t="s">
        <v>60</v>
      </c>
      <c r="D30" s="51">
        <f>'hitung siltap'!M29</f>
        <v>828900000</v>
      </c>
      <c r="E30" s="51">
        <f>ROUND('hitung siltap'!P29,0)</f>
        <v>10077696</v>
      </c>
      <c r="F30" s="51">
        <f>ROUND('hitung siltap'!W29,0)</f>
        <v>67444566</v>
      </c>
      <c r="G30" s="51">
        <f>'hitung siltap'!X29</f>
        <v>138150000</v>
      </c>
      <c r="H30" s="51">
        <v>2.01E8</v>
      </c>
      <c r="I30" s="51">
        <f>'hitung kewenangan kegiatan'!P15</f>
        <v>476931989</v>
      </c>
      <c r="J30" s="51">
        <f t="shared" si="3"/>
        <v>677931989</v>
      </c>
      <c r="K30" s="51">
        <f t="shared" si="4"/>
        <v>1722504251</v>
      </c>
      <c r="L30" s="176"/>
      <c r="M30" s="151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15.75" customHeight="1">
      <c r="A31" s="149"/>
      <c r="B31" s="45" t="s">
        <v>237</v>
      </c>
      <c r="C31" s="177" t="s">
        <v>61</v>
      </c>
      <c r="D31" s="51">
        <f>'hitung siltap'!M30</f>
        <v>585300000</v>
      </c>
      <c r="E31" s="51">
        <f>ROUND('hitung siltap'!P30,0)</f>
        <v>10077696</v>
      </c>
      <c r="F31" s="51">
        <f>ROUND('hitung siltap'!W30,0)</f>
        <v>52243926</v>
      </c>
      <c r="G31" s="51">
        <f>'hitung siltap'!X30</f>
        <v>97550000</v>
      </c>
      <c r="H31" s="51">
        <v>1.578E8</v>
      </c>
      <c r="I31" s="51">
        <f>'hitung kewenangan kegiatan'!P16</f>
        <v>296837003</v>
      </c>
      <c r="J31" s="51">
        <f t="shared" si="3"/>
        <v>454637003</v>
      </c>
      <c r="K31" s="51">
        <f t="shared" si="4"/>
        <v>1199808625</v>
      </c>
      <c r="L31" s="176"/>
      <c r="M31" s="151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5.75" customHeight="1">
      <c r="A32" s="149"/>
      <c r="B32" s="45" t="s">
        <v>238</v>
      </c>
      <c r="C32" s="177" t="s">
        <v>62</v>
      </c>
      <c r="D32" s="51">
        <f>'hitung siltap'!M31</f>
        <v>585300000</v>
      </c>
      <c r="E32" s="51">
        <f>ROUND('hitung siltap'!P31,0)</f>
        <v>10077696</v>
      </c>
      <c r="F32" s="51">
        <f>ROUND('hitung siltap'!W31,0)</f>
        <v>52243926</v>
      </c>
      <c r="G32" s="51">
        <f>'hitung siltap'!X31</f>
        <v>97550000</v>
      </c>
      <c r="H32" s="51">
        <v>2.01E8</v>
      </c>
      <c r="I32" s="51">
        <f>'hitung kewenangan kegiatan'!P17</f>
        <v>352280244</v>
      </c>
      <c r="J32" s="51">
        <f t="shared" si="3"/>
        <v>553280244</v>
      </c>
      <c r="K32" s="51">
        <f t="shared" si="4"/>
        <v>1298451866</v>
      </c>
      <c r="L32" s="176"/>
      <c r="M32" s="151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5.75" customHeight="1">
      <c r="A33" s="149"/>
      <c r="B33" s="45" t="s">
        <v>239</v>
      </c>
      <c r="C33" s="177" t="s">
        <v>63</v>
      </c>
      <c r="D33" s="51">
        <f>'hitung siltap'!M32</f>
        <v>794100000</v>
      </c>
      <c r="E33" s="51">
        <f>ROUND('hitung siltap'!P32,0)</f>
        <v>10077696</v>
      </c>
      <c r="F33" s="51">
        <f>ROUND('hitung siltap'!W32,0)</f>
        <v>65273046</v>
      </c>
      <c r="G33" s="51">
        <f>'hitung siltap'!X32</f>
        <v>132350000</v>
      </c>
      <c r="H33" s="51">
        <v>2.01E8</v>
      </c>
      <c r="I33" s="51">
        <f>'hitung kewenangan kegiatan'!P18</f>
        <v>472341159</v>
      </c>
      <c r="J33" s="51">
        <f t="shared" si="3"/>
        <v>673341159</v>
      </c>
      <c r="K33" s="51">
        <f t="shared" si="4"/>
        <v>1675141901</v>
      </c>
      <c r="L33" s="176"/>
      <c r="M33" s="151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5.75" customHeight="1">
      <c r="A34" s="149"/>
      <c r="B34" s="45" t="s">
        <v>240</v>
      </c>
      <c r="C34" s="177" t="s">
        <v>64</v>
      </c>
      <c r="D34" s="51">
        <f>'hitung siltap'!M33</f>
        <v>585300000</v>
      </c>
      <c r="E34" s="51">
        <f>ROUND('hitung siltap'!P33,0)</f>
        <v>10077696</v>
      </c>
      <c r="F34" s="51">
        <f>ROUND('hitung siltap'!W33,0)</f>
        <v>52243926</v>
      </c>
      <c r="G34" s="51">
        <f>'hitung siltap'!X33</f>
        <v>97550000</v>
      </c>
      <c r="H34" s="51">
        <v>2.01E8</v>
      </c>
      <c r="I34" s="51">
        <f>'hitung kewenangan kegiatan'!P19</f>
        <v>472317611</v>
      </c>
      <c r="J34" s="51">
        <f t="shared" si="3"/>
        <v>673317611</v>
      </c>
      <c r="K34" s="51">
        <f t="shared" si="4"/>
        <v>1418489233</v>
      </c>
      <c r="L34" s="176"/>
      <c r="M34" s="151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5.75" customHeight="1">
      <c r="A35" s="149"/>
      <c r="B35" s="45" t="s">
        <v>241</v>
      </c>
      <c r="C35" s="177" t="s">
        <v>65</v>
      </c>
      <c r="D35" s="51">
        <f>'hitung siltap'!M34</f>
        <v>689700000</v>
      </c>
      <c r="E35" s="51">
        <f>ROUND('hitung siltap'!P34,0)</f>
        <v>10077696</v>
      </c>
      <c r="F35" s="51">
        <f>ROUND('hitung siltap'!W34,0)</f>
        <v>58758486</v>
      </c>
      <c r="G35" s="51">
        <f>'hitung siltap'!X34</f>
        <v>114950000</v>
      </c>
      <c r="H35" s="51">
        <v>1.578E8</v>
      </c>
      <c r="I35" s="51">
        <f>'hitung kewenangan kegiatan'!P20</f>
        <v>377225642</v>
      </c>
      <c r="J35" s="51">
        <f t="shared" si="3"/>
        <v>535025642</v>
      </c>
      <c r="K35" s="51">
        <f t="shared" si="4"/>
        <v>1408511824</v>
      </c>
      <c r="L35" s="176"/>
      <c r="M35" s="151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5.75" customHeight="1">
      <c r="A36" s="149"/>
      <c r="B36" s="45" t="s">
        <v>66</v>
      </c>
      <c r="C36" s="177" t="s">
        <v>67</v>
      </c>
      <c r="D36" s="51"/>
      <c r="E36" s="51"/>
      <c r="F36" s="51"/>
      <c r="G36" s="51"/>
      <c r="H36" s="51"/>
      <c r="I36" s="51"/>
      <c r="J36" s="51"/>
      <c r="K36" s="51"/>
      <c r="L36" s="176"/>
      <c r="M36" s="151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ht="15.75" customHeight="1">
      <c r="A37" s="149"/>
      <c r="B37" s="45" t="s">
        <v>242</v>
      </c>
      <c r="C37" s="177" t="s">
        <v>243</v>
      </c>
      <c r="D37" s="51">
        <f>'hitung siltap'!M36</f>
        <v>828900000</v>
      </c>
      <c r="E37" s="51">
        <f>ROUND('hitung siltap'!P36,0)</f>
        <v>10077696</v>
      </c>
      <c r="F37" s="51">
        <f>ROUND('hitung siltap'!W36,0)</f>
        <v>67444566</v>
      </c>
      <c r="G37" s="51">
        <f>'hitung siltap'!X36</f>
        <v>138150000</v>
      </c>
      <c r="H37" s="51">
        <v>1.578E8</v>
      </c>
      <c r="I37" s="51">
        <f>'hitung kewenangan kegiatan'!P23</f>
        <v>443202847</v>
      </c>
      <c r="J37" s="51">
        <f t="shared" ref="J37:J40" si="5">H37+I37</f>
        <v>601002847</v>
      </c>
      <c r="K37" s="51">
        <f t="shared" ref="K37:K40" si="6">SUM(D37:G37)+J37</f>
        <v>1645575109</v>
      </c>
      <c r="L37" s="176"/>
      <c r="M37" s="151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5.75" customHeight="1">
      <c r="A38" s="149"/>
      <c r="B38" s="45" t="s">
        <v>244</v>
      </c>
      <c r="C38" s="177" t="s">
        <v>69</v>
      </c>
      <c r="D38" s="51">
        <f>'hitung siltap'!M37</f>
        <v>759300000</v>
      </c>
      <c r="E38" s="51">
        <f>ROUND('hitung siltap'!P37,0)</f>
        <v>10077696</v>
      </c>
      <c r="F38" s="51">
        <f>ROUND('hitung siltap'!W37,0)</f>
        <v>63101526</v>
      </c>
      <c r="G38" s="51">
        <f>'hitung siltap'!X37</f>
        <v>126550000</v>
      </c>
      <c r="H38" s="51">
        <v>2.01E8</v>
      </c>
      <c r="I38" s="51">
        <f>'hitung kewenangan kegiatan'!P24</f>
        <v>435120813</v>
      </c>
      <c r="J38" s="51">
        <f t="shared" si="5"/>
        <v>636120813</v>
      </c>
      <c r="K38" s="51">
        <f t="shared" si="6"/>
        <v>1595150035</v>
      </c>
      <c r="L38" s="176"/>
      <c r="M38" s="151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5.75" customHeight="1">
      <c r="A39" s="149"/>
      <c r="B39" s="45" t="s">
        <v>245</v>
      </c>
      <c r="C39" s="178" t="s">
        <v>70</v>
      </c>
      <c r="D39" s="51">
        <f>'hitung siltap'!M38</f>
        <v>1037700000</v>
      </c>
      <c r="E39" s="51">
        <f>ROUND('hitung siltap'!P38,0)</f>
        <v>10077696</v>
      </c>
      <c r="F39" s="51">
        <f>ROUND('hitung siltap'!W38,0)</f>
        <v>80473686</v>
      </c>
      <c r="G39" s="51">
        <f>'hitung siltap'!X38</f>
        <v>172950000</v>
      </c>
      <c r="H39" s="51">
        <v>2.01E8</v>
      </c>
      <c r="I39" s="51">
        <f>'hitung kewenangan kegiatan'!P25</f>
        <v>612640508</v>
      </c>
      <c r="J39" s="51">
        <f t="shared" si="5"/>
        <v>813640508</v>
      </c>
      <c r="K39" s="51">
        <f t="shared" si="6"/>
        <v>2114841890</v>
      </c>
      <c r="L39" s="176"/>
      <c r="M39" s="151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5.75" customHeight="1">
      <c r="A40" s="149"/>
      <c r="B40" s="45" t="s">
        <v>246</v>
      </c>
      <c r="C40" s="177" t="s">
        <v>71</v>
      </c>
      <c r="D40" s="51">
        <f>'hitung siltap'!M39</f>
        <v>863700000</v>
      </c>
      <c r="E40" s="51">
        <f>ROUND('hitung siltap'!P39,0)</f>
        <v>10077696</v>
      </c>
      <c r="F40" s="51">
        <f>ROUND('hitung siltap'!W39,0)</f>
        <v>69616086</v>
      </c>
      <c r="G40" s="51">
        <f>'hitung siltap'!X39</f>
        <v>143950000</v>
      </c>
      <c r="H40" s="51">
        <v>1.578E8</v>
      </c>
      <c r="I40" s="51">
        <f>'hitung kewenangan kegiatan'!P26</f>
        <v>487913013</v>
      </c>
      <c r="J40" s="51">
        <f t="shared" si="5"/>
        <v>645713013</v>
      </c>
      <c r="K40" s="51">
        <f t="shared" si="6"/>
        <v>1733056795</v>
      </c>
      <c r="L40" s="176"/>
      <c r="M40" s="151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5.75" customHeight="1">
      <c r="A41" s="149"/>
      <c r="B41" s="45" t="s">
        <v>72</v>
      </c>
      <c r="C41" s="179" t="s">
        <v>73</v>
      </c>
      <c r="D41" s="51"/>
      <c r="E41" s="51"/>
      <c r="F41" s="51"/>
      <c r="G41" s="51"/>
      <c r="H41" s="51"/>
      <c r="I41" s="51"/>
      <c r="J41" s="51"/>
      <c r="K41" s="51"/>
      <c r="L41" s="176"/>
      <c r="M41" s="151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5.75" customHeight="1">
      <c r="A42" s="149"/>
      <c r="B42" s="45" t="s">
        <v>247</v>
      </c>
      <c r="C42" s="177" t="s">
        <v>74</v>
      </c>
      <c r="D42" s="51">
        <f>'hitung siltap'!M41</f>
        <v>620100000</v>
      </c>
      <c r="E42" s="51">
        <f>ROUND('hitung siltap'!P41,0)</f>
        <v>10077696</v>
      </c>
      <c r="F42" s="51">
        <f>ROUND('hitung siltap'!W41,0)</f>
        <v>54415446</v>
      </c>
      <c r="G42" s="51">
        <f>'hitung siltap'!X41</f>
        <v>103350000</v>
      </c>
      <c r="H42" s="51">
        <v>1.146E8</v>
      </c>
      <c r="I42" s="51">
        <f>'hitung kewenangan kegiatan'!P29</f>
        <v>247925306</v>
      </c>
      <c r="J42" s="51">
        <f t="shared" ref="J42:J46" si="7">H42+I42</f>
        <v>362525306</v>
      </c>
      <c r="K42" s="51">
        <f t="shared" ref="K42:K46" si="8">SUM(D42:G42)+J42</f>
        <v>1150468448</v>
      </c>
      <c r="L42" s="176"/>
      <c r="M42" s="151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5.75" customHeight="1">
      <c r="A43" s="149"/>
      <c r="B43" s="45" t="s">
        <v>248</v>
      </c>
      <c r="C43" s="177" t="s">
        <v>75</v>
      </c>
      <c r="D43" s="51">
        <f>'hitung siltap'!M42</f>
        <v>863700000</v>
      </c>
      <c r="E43" s="51">
        <f>ROUND('hitung siltap'!P42,0)</f>
        <v>10077696</v>
      </c>
      <c r="F43" s="51">
        <f>ROUND('hitung siltap'!W42,0)</f>
        <v>69616086</v>
      </c>
      <c r="G43" s="51">
        <f>'hitung siltap'!X42</f>
        <v>143950000</v>
      </c>
      <c r="H43" s="51">
        <v>1.578E8</v>
      </c>
      <c r="I43" s="51">
        <f>'hitung kewenangan kegiatan'!P30</f>
        <v>477147163</v>
      </c>
      <c r="J43" s="51">
        <f t="shared" si="7"/>
        <v>634947163</v>
      </c>
      <c r="K43" s="51">
        <f t="shared" si="8"/>
        <v>1722290945</v>
      </c>
      <c r="L43" s="176"/>
      <c r="M43" s="151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ht="15.75" customHeight="1">
      <c r="A44" s="149"/>
      <c r="B44" s="45" t="s">
        <v>249</v>
      </c>
      <c r="C44" s="177" t="s">
        <v>76</v>
      </c>
      <c r="D44" s="51">
        <f>'hitung siltap'!M43</f>
        <v>828900000</v>
      </c>
      <c r="E44" s="51">
        <f>ROUND('hitung siltap'!P43,0)</f>
        <v>10077696</v>
      </c>
      <c r="F44" s="51">
        <f>ROUND('hitung siltap'!W43,0)</f>
        <v>67444566</v>
      </c>
      <c r="G44" s="51">
        <f>'hitung siltap'!X43</f>
        <v>138150000</v>
      </c>
      <c r="H44" s="51">
        <v>1.578E8</v>
      </c>
      <c r="I44" s="51">
        <f>'hitung kewenangan kegiatan'!P31</f>
        <v>502141725</v>
      </c>
      <c r="J44" s="51">
        <f t="shared" si="7"/>
        <v>659941725</v>
      </c>
      <c r="K44" s="51">
        <f t="shared" si="8"/>
        <v>1704513987</v>
      </c>
      <c r="L44" s="176"/>
      <c r="M44" s="151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ht="15.75" customHeight="1">
      <c r="A45" s="149"/>
      <c r="B45" s="45" t="s">
        <v>250</v>
      </c>
      <c r="C45" s="177" t="s">
        <v>77</v>
      </c>
      <c r="D45" s="51">
        <f>'hitung siltap'!M44</f>
        <v>724500000</v>
      </c>
      <c r="E45" s="51">
        <f>ROUND('hitung siltap'!P44,0)</f>
        <v>10077696</v>
      </c>
      <c r="F45" s="51">
        <f>ROUND('hitung siltap'!W44,0)</f>
        <v>60930006</v>
      </c>
      <c r="G45" s="51">
        <f>'hitung siltap'!X44</f>
        <v>120750000</v>
      </c>
      <c r="H45" s="51">
        <v>1.578E8</v>
      </c>
      <c r="I45" s="51">
        <f>'hitung kewenangan kegiatan'!P32</f>
        <v>369993542</v>
      </c>
      <c r="J45" s="51">
        <f t="shared" si="7"/>
        <v>527793542</v>
      </c>
      <c r="K45" s="51">
        <f t="shared" si="8"/>
        <v>1444051244</v>
      </c>
      <c r="L45" s="176"/>
      <c r="M45" s="151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ht="15.75" customHeight="1">
      <c r="A46" s="149"/>
      <c r="B46" s="45" t="s">
        <v>251</v>
      </c>
      <c r="C46" s="177" t="s">
        <v>78</v>
      </c>
      <c r="D46" s="51">
        <f>'hitung siltap'!M45</f>
        <v>863700000</v>
      </c>
      <c r="E46" s="51">
        <f>ROUND('hitung siltap'!P45,0)</f>
        <v>10077696</v>
      </c>
      <c r="F46" s="51">
        <f>ROUND('hitung siltap'!W45,0)</f>
        <v>69616086</v>
      </c>
      <c r="G46" s="51">
        <f>'hitung siltap'!X45</f>
        <v>143950000</v>
      </c>
      <c r="H46" s="51">
        <v>2.01E8</v>
      </c>
      <c r="I46" s="51">
        <f>'hitung kewenangan kegiatan'!P33</f>
        <v>498401426</v>
      </c>
      <c r="J46" s="51">
        <f t="shared" si="7"/>
        <v>699401426</v>
      </c>
      <c r="K46" s="51">
        <f t="shared" si="8"/>
        <v>1786745208</v>
      </c>
      <c r="L46" s="176"/>
      <c r="M46" s="151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5.75" customHeight="1">
      <c r="A47" s="149"/>
      <c r="B47" s="45" t="s">
        <v>79</v>
      </c>
      <c r="C47" s="179" t="s">
        <v>80</v>
      </c>
      <c r="D47" s="51"/>
      <c r="E47" s="51"/>
      <c r="F47" s="51"/>
      <c r="G47" s="51"/>
      <c r="H47" s="51"/>
      <c r="I47" s="51"/>
      <c r="J47" s="51"/>
      <c r="K47" s="51"/>
      <c r="L47" s="176"/>
      <c r="M47" s="151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ht="15.75" customHeight="1">
      <c r="A48" s="149"/>
      <c r="B48" s="45" t="s">
        <v>252</v>
      </c>
      <c r="C48" s="177" t="s">
        <v>81</v>
      </c>
      <c r="D48" s="51">
        <f>'hitung siltap'!M47</f>
        <v>794100000</v>
      </c>
      <c r="E48" s="51">
        <f>ROUND('hitung siltap'!P47,0)</f>
        <v>10077696</v>
      </c>
      <c r="F48" s="51">
        <f>ROUND('hitung siltap'!W47,0)</f>
        <v>65273046</v>
      </c>
      <c r="G48" s="51">
        <f>'hitung siltap'!X47</f>
        <v>132350000</v>
      </c>
      <c r="H48" s="51">
        <v>2.01E8</v>
      </c>
      <c r="I48" s="51">
        <f>'hitung kewenangan kegiatan'!P36</f>
        <v>534990555</v>
      </c>
      <c r="J48" s="51">
        <f t="shared" ref="J48:J52" si="9">H48+I48</f>
        <v>735990555</v>
      </c>
      <c r="K48" s="51">
        <f t="shared" ref="K48:K52" si="10">SUM(D48:G48)+J48</f>
        <v>1737791297</v>
      </c>
      <c r="L48" s="176"/>
      <c r="M48" s="151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ht="15.75" customHeight="1">
      <c r="A49" s="149"/>
      <c r="B49" s="45" t="s">
        <v>253</v>
      </c>
      <c r="C49" s="177" t="s">
        <v>82</v>
      </c>
      <c r="D49" s="51">
        <f>'hitung siltap'!M48</f>
        <v>863700000</v>
      </c>
      <c r="E49" s="51">
        <f>ROUND('hitung siltap'!P48,0)</f>
        <v>10077696</v>
      </c>
      <c r="F49" s="51">
        <f>ROUND('hitung siltap'!W48,0)</f>
        <v>69616086</v>
      </c>
      <c r="G49" s="51">
        <f>'hitung siltap'!X48</f>
        <v>143950000</v>
      </c>
      <c r="H49" s="51">
        <v>2.01E8</v>
      </c>
      <c r="I49" s="51">
        <f>'hitung kewenangan kegiatan'!P37</f>
        <v>512142572</v>
      </c>
      <c r="J49" s="51">
        <f t="shared" si="9"/>
        <v>713142572</v>
      </c>
      <c r="K49" s="51">
        <f t="shared" si="10"/>
        <v>1800486354</v>
      </c>
      <c r="L49" s="176"/>
      <c r="M49" s="151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ht="15.75" customHeight="1">
      <c r="A50" s="149"/>
      <c r="B50" s="45" t="s">
        <v>254</v>
      </c>
      <c r="C50" s="177" t="s">
        <v>83</v>
      </c>
      <c r="D50" s="51">
        <f>'hitung siltap'!M49</f>
        <v>724500000</v>
      </c>
      <c r="E50" s="51">
        <f>ROUND('hitung siltap'!P49,0)</f>
        <v>10077696</v>
      </c>
      <c r="F50" s="51">
        <f>ROUND('hitung siltap'!W49,0)</f>
        <v>60930006</v>
      </c>
      <c r="G50" s="51">
        <f>'hitung siltap'!X49</f>
        <v>120750000</v>
      </c>
      <c r="H50" s="51">
        <v>1.578E8</v>
      </c>
      <c r="I50" s="51">
        <f>'hitung kewenangan kegiatan'!P38</f>
        <v>428110234</v>
      </c>
      <c r="J50" s="51">
        <f t="shared" si="9"/>
        <v>585910234</v>
      </c>
      <c r="K50" s="51">
        <f t="shared" si="10"/>
        <v>1502167936</v>
      </c>
      <c r="L50" s="176"/>
      <c r="M50" s="151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ht="15.75" customHeight="1">
      <c r="A51" s="149"/>
      <c r="B51" s="45" t="s">
        <v>255</v>
      </c>
      <c r="C51" s="177" t="s">
        <v>84</v>
      </c>
      <c r="D51" s="51">
        <f>'hitung siltap'!M50</f>
        <v>759300000</v>
      </c>
      <c r="E51" s="51">
        <f>ROUND('hitung siltap'!P50,0)</f>
        <v>10077696</v>
      </c>
      <c r="F51" s="51">
        <f>ROUND('hitung siltap'!W50,0)</f>
        <v>63101526</v>
      </c>
      <c r="G51" s="51">
        <f>'hitung siltap'!X50</f>
        <v>126550000</v>
      </c>
      <c r="H51" s="51">
        <v>2.01E8</v>
      </c>
      <c r="I51" s="51">
        <f>'hitung kewenangan kegiatan'!P39</f>
        <v>552400824</v>
      </c>
      <c r="J51" s="51">
        <f t="shared" si="9"/>
        <v>753400824</v>
      </c>
      <c r="K51" s="51">
        <f t="shared" si="10"/>
        <v>1712430046</v>
      </c>
      <c r="L51" s="176"/>
      <c r="M51" s="151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ht="15.75" customHeight="1">
      <c r="A52" s="149"/>
      <c r="B52" s="45" t="s">
        <v>256</v>
      </c>
      <c r="C52" s="177" t="s">
        <v>85</v>
      </c>
      <c r="D52" s="51">
        <f>'hitung siltap'!M51</f>
        <v>724500000</v>
      </c>
      <c r="E52" s="51">
        <f>ROUND('hitung siltap'!P51,0)</f>
        <v>10077696</v>
      </c>
      <c r="F52" s="51">
        <f>ROUND('hitung siltap'!W51,0)</f>
        <v>60930006</v>
      </c>
      <c r="G52" s="51">
        <f>'hitung siltap'!X51</f>
        <v>120750000</v>
      </c>
      <c r="H52" s="51">
        <v>2.01E8</v>
      </c>
      <c r="I52" s="51">
        <f>'hitung kewenangan kegiatan'!P40</f>
        <v>508698251</v>
      </c>
      <c r="J52" s="51">
        <f t="shared" si="9"/>
        <v>709698251</v>
      </c>
      <c r="K52" s="51">
        <f t="shared" si="10"/>
        <v>1625955953</v>
      </c>
      <c r="L52" s="176"/>
      <c r="M52" s="151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ht="15.75" customHeight="1">
      <c r="A53" s="149"/>
      <c r="B53" s="45" t="s">
        <v>86</v>
      </c>
      <c r="C53" s="179" t="s">
        <v>87</v>
      </c>
      <c r="D53" s="51"/>
      <c r="E53" s="51"/>
      <c r="F53" s="51"/>
      <c r="G53" s="51"/>
      <c r="H53" s="51"/>
      <c r="I53" s="51"/>
      <c r="J53" s="51"/>
      <c r="K53" s="51"/>
      <c r="L53" s="176"/>
      <c r="M53" s="151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ht="15.75" customHeight="1">
      <c r="A54" s="149"/>
      <c r="B54" s="45" t="s">
        <v>257</v>
      </c>
      <c r="C54" s="177" t="s">
        <v>88</v>
      </c>
      <c r="D54" s="51">
        <f>'hitung siltap'!M53</f>
        <v>933300000</v>
      </c>
      <c r="E54" s="51">
        <f>ROUND('hitung siltap'!P53,0)</f>
        <v>10077696</v>
      </c>
      <c r="F54" s="51">
        <f>ROUND('hitung siltap'!W53,0)</f>
        <v>73959126</v>
      </c>
      <c r="G54" s="51">
        <f>'hitung siltap'!X53</f>
        <v>155550000</v>
      </c>
      <c r="H54" s="51">
        <v>2.01E8</v>
      </c>
      <c r="I54" s="51">
        <f>'hitung kewenangan kegiatan'!P43</f>
        <v>845577985</v>
      </c>
      <c r="J54" s="51">
        <f t="shared" ref="J54:J58" si="11">H54+I54</f>
        <v>1046577985</v>
      </c>
      <c r="K54" s="51">
        <f t="shared" ref="K54:K58" si="12">SUM(D54:G54)+J54</f>
        <v>2219464807</v>
      </c>
      <c r="L54" s="176"/>
      <c r="M54" s="151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ht="15.75" customHeight="1">
      <c r="A55" s="149"/>
      <c r="B55" s="45" t="s">
        <v>258</v>
      </c>
      <c r="C55" s="177" t="s">
        <v>89</v>
      </c>
      <c r="D55" s="51">
        <f>'hitung siltap'!M54</f>
        <v>794100000</v>
      </c>
      <c r="E55" s="51">
        <f>ROUND('hitung siltap'!P54,0)</f>
        <v>10077696</v>
      </c>
      <c r="F55" s="51">
        <f>ROUND('hitung siltap'!W54,0)</f>
        <v>65273046</v>
      </c>
      <c r="G55" s="51">
        <f>'hitung siltap'!X54</f>
        <v>132350000</v>
      </c>
      <c r="H55" s="51">
        <v>2.01E8</v>
      </c>
      <c r="I55" s="51">
        <f>'hitung kewenangan kegiatan'!P44</f>
        <v>564253089</v>
      </c>
      <c r="J55" s="51">
        <f t="shared" si="11"/>
        <v>765253089</v>
      </c>
      <c r="K55" s="51">
        <f t="shared" si="12"/>
        <v>1767053831</v>
      </c>
      <c r="L55" s="176"/>
      <c r="M55" s="151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ht="15.75" customHeight="1">
      <c r="A56" s="149"/>
      <c r="B56" s="45" t="s">
        <v>259</v>
      </c>
      <c r="C56" s="177" t="s">
        <v>90</v>
      </c>
      <c r="D56" s="51">
        <f>'hitung siltap'!M55</f>
        <v>724500000</v>
      </c>
      <c r="E56" s="51">
        <f>ROUND('hitung siltap'!P55,0)</f>
        <v>10077696</v>
      </c>
      <c r="F56" s="51">
        <f>ROUND('hitung siltap'!W55,0)</f>
        <v>60930006</v>
      </c>
      <c r="G56" s="51">
        <f>'hitung siltap'!X55</f>
        <v>120750000</v>
      </c>
      <c r="H56" s="51">
        <v>2.01E8</v>
      </c>
      <c r="I56" s="51">
        <f>'hitung kewenangan kegiatan'!P45</f>
        <v>496182231</v>
      </c>
      <c r="J56" s="51">
        <f t="shared" si="11"/>
        <v>697182231</v>
      </c>
      <c r="K56" s="51">
        <f t="shared" si="12"/>
        <v>1613439933</v>
      </c>
      <c r="L56" s="176"/>
      <c r="M56" s="151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t="15.75" customHeight="1">
      <c r="A57" s="149"/>
      <c r="B57" s="45" t="s">
        <v>260</v>
      </c>
      <c r="C57" s="177" t="s">
        <v>91</v>
      </c>
      <c r="D57" s="51">
        <f>'hitung siltap'!M56</f>
        <v>828900000</v>
      </c>
      <c r="E57" s="51">
        <f>ROUND('hitung siltap'!P56,0)</f>
        <v>10077696</v>
      </c>
      <c r="F57" s="51">
        <f>ROUND('hitung siltap'!W56,0)</f>
        <v>67444566</v>
      </c>
      <c r="G57" s="51">
        <f>'hitung siltap'!X56</f>
        <v>138150000</v>
      </c>
      <c r="H57" s="51">
        <v>2.01E8</v>
      </c>
      <c r="I57" s="51">
        <f>'hitung kewenangan kegiatan'!P46</f>
        <v>508344174</v>
      </c>
      <c r="J57" s="51">
        <f t="shared" si="11"/>
        <v>709344174</v>
      </c>
      <c r="K57" s="51">
        <f t="shared" si="12"/>
        <v>1753916436</v>
      </c>
      <c r="L57" s="176"/>
      <c r="M57" s="151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ht="15.75" customHeight="1">
      <c r="A58" s="149"/>
      <c r="B58" s="45" t="s">
        <v>261</v>
      </c>
      <c r="C58" s="177" t="s">
        <v>92</v>
      </c>
      <c r="D58" s="51">
        <f>'hitung siltap'!M57</f>
        <v>828900000</v>
      </c>
      <c r="E58" s="51">
        <f>ROUND('hitung siltap'!P57,0)</f>
        <v>10077696</v>
      </c>
      <c r="F58" s="51">
        <f>ROUND('hitung siltap'!W57,0)</f>
        <v>67444566</v>
      </c>
      <c r="G58" s="51">
        <f>'hitung siltap'!X57</f>
        <v>138150000</v>
      </c>
      <c r="H58" s="51">
        <v>2.01E8</v>
      </c>
      <c r="I58" s="51">
        <f>'hitung kewenangan kegiatan'!P47</f>
        <v>598354502</v>
      </c>
      <c r="J58" s="51">
        <f t="shared" si="11"/>
        <v>799354502</v>
      </c>
      <c r="K58" s="51">
        <f t="shared" si="12"/>
        <v>1843926764</v>
      </c>
      <c r="L58" s="176"/>
      <c r="M58" s="151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ht="15.75" customHeight="1">
      <c r="A59" s="149"/>
      <c r="B59" s="45" t="s">
        <v>93</v>
      </c>
      <c r="C59" s="179" t="s">
        <v>94</v>
      </c>
      <c r="D59" s="51"/>
      <c r="E59" s="51"/>
      <c r="F59" s="51"/>
      <c r="G59" s="51"/>
      <c r="H59" s="51"/>
      <c r="I59" s="51"/>
      <c r="J59" s="51"/>
      <c r="K59" s="51"/>
      <c r="L59" s="176"/>
      <c r="M59" s="155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ht="15.75" customHeight="1">
      <c r="A60" s="149"/>
      <c r="B60" s="45" t="s">
        <v>262</v>
      </c>
      <c r="C60" s="177" t="s">
        <v>95</v>
      </c>
      <c r="D60" s="51">
        <f>'hitung siltap'!M59</f>
        <v>1002900000</v>
      </c>
      <c r="E60" s="51">
        <f>ROUND('hitung siltap'!P59,0)</f>
        <v>10077696</v>
      </c>
      <c r="F60" s="51">
        <f>ROUND('hitung siltap'!W59,0)</f>
        <v>78302166</v>
      </c>
      <c r="G60" s="51">
        <f>'hitung siltap'!X59</f>
        <v>167150000</v>
      </c>
      <c r="H60" s="51">
        <v>2.01E8</v>
      </c>
      <c r="I60" s="51">
        <f>'hitung kewenangan kegiatan'!P50</f>
        <v>880035298</v>
      </c>
      <c r="J60" s="51">
        <f t="shared" ref="J60:J62" si="13">H60+I60</f>
        <v>1081035298</v>
      </c>
      <c r="K60" s="51">
        <f t="shared" ref="K60:K62" si="14">SUM(D60:G60)+J60</f>
        <v>2339465160</v>
      </c>
      <c r="L60" s="176"/>
      <c r="M60" s="151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ht="15.75" customHeight="1">
      <c r="A61" s="149"/>
      <c r="B61" s="45" t="s">
        <v>263</v>
      </c>
      <c r="C61" s="177" t="s">
        <v>96</v>
      </c>
      <c r="D61" s="51">
        <f>'hitung siltap'!M60</f>
        <v>1002900000</v>
      </c>
      <c r="E61" s="51">
        <f>ROUND('hitung siltap'!P60,0)</f>
        <v>10077696</v>
      </c>
      <c r="F61" s="51">
        <f>ROUND('hitung siltap'!W60,0)</f>
        <v>78302166</v>
      </c>
      <c r="G61" s="51">
        <f>'hitung siltap'!X60</f>
        <v>167150000</v>
      </c>
      <c r="H61" s="51">
        <v>2.01E8</v>
      </c>
      <c r="I61" s="51">
        <f>'hitung kewenangan kegiatan'!P51</f>
        <v>941959198</v>
      </c>
      <c r="J61" s="51">
        <f t="shared" si="13"/>
        <v>1142959198</v>
      </c>
      <c r="K61" s="51">
        <f t="shared" si="14"/>
        <v>2401389060</v>
      </c>
      <c r="L61" s="176"/>
      <c r="M61" s="151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5.75" customHeight="1">
      <c r="A62" s="180"/>
      <c r="B62" s="181" t="s">
        <v>264</v>
      </c>
      <c r="C62" s="182" t="s">
        <v>97</v>
      </c>
      <c r="D62" s="51">
        <f>'hitung siltap'!M61</f>
        <v>933300000</v>
      </c>
      <c r="E62" s="51">
        <f>ROUND('hitung siltap'!P61,0)</f>
        <v>10077696</v>
      </c>
      <c r="F62" s="51">
        <f>ROUND('hitung siltap'!W61,0)</f>
        <v>73959126</v>
      </c>
      <c r="G62" s="51">
        <f>'hitung siltap'!X61</f>
        <v>155550000</v>
      </c>
      <c r="H62" s="51">
        <v>2.01E8</v>
      </c>
      <c r="I62" s="51">
        <f>'hitung kewenangan kegiatan'!P52</f>
        <v>851149831</v>
      </c>
      <c r="J62" s="51">
        <f t="shared" si="13"/>
        <v>1052149831</v>
      </c>
      <c r="K62" s="51">
        <f t="shared" si="14"/>
        <v>2225036653</v>
      </c>
      <c r="L62" s="183"/>
      <c r="M62" s="184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</row>
    <row r="63" ht="15.75" customHeight="1">
      <c r="A63" s="149"/>
      <c r="B63" s="45" t="s">
        <v>98</v>
      </c>
      <c r="C63" s="179" t="s">
        <v>99</v>
      </c>
      <c r="D63" s="51"/>
      <c r="E63" s="51"/>
      <c r="F63" s="51"/>
      <c r="G63" s="51"/>
      <c r="H63" s="51"/>
      <c r="I63" s="51"/>
      <c r="J63" s="51"/>
      <c r="K63" s="51"/>
      <c r="L63" s="176"/>
      <c r="M63" s="151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ht="15.75" customHeight="1">
      <c r="A64" s="149"/>
      <c r="B64" s="45" t="s">
        <v>265</v>
      </c>
      <c r="C64" s="177" t="s">
        <v>100</v>
      </c>
      <c r="D64" s="51">
        <f>'hitung siltap'!M63</f>
        <v>933300000</v>
      </c>
      <c r="E64" s="51">
        <f>ROUND('hitung siltap'!P63,0)</f>
        <v>10077696</v>
      </c>
      <c r="F64" s="51">
        <f>ROUND('hitung siltap'!W63,0)</f>
        <v>73959126</v>
      </c>
      <c r="G64" s="51">
        <f>'hitung siltap'!X63</f>
        <v>155550000</v>
      </c>
      <c r="H64" s="51">
        <v>2.01E8</v>
      </c>
      <c r="I64" s="51">
        <f>'hitung kewenangan kegiatan'!P55</f>
        <v>610731637</v>
      </c>
      <c r="J64" s="51">
        <f t="shared" ref="J64:J67" si="15">H64+I64</f>
        <v>811731637</v>
      </c>
      <c r="K64" s="51">
        <f t="shared" ref="K64:K67" si="16">SUM(D64:G64)+J64</f>
        <v>1984618459</v>
      </c>
      <c r="L64" s="176"/>
      <c r="M64" s="155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ht="15.75" customHeight="1">
      <c r="A65" s="149"/>
      <c r="B65" s="45" t="s">
        <v>266</v>
      </c>
      <c r="C65" s="177" t="s">
        <v>101</v>
      </c>
      <c r="D65" s="51">
        <f>'hitung siltap'!M64</f>
        <v>794100000</v>
      </c>
      <c r="E65" s="51">
        <f>ROUND('hitung siltap'!P64,0)</f>
        <v>10077696</v>
      </c>
      <c r="F65" s="51">
        <f>ROUND('hitung siltap'!W64,0)</f>
        <v>65273046</v>
      </c>
      <c r="G65" s="51">
        <f>'hitung siltap'!X64</f>
        <v>132350000</v>
      </c>
      <c r="H65" s="51">
        <v>2.01E8</v>
      </c>
      <c r="I65" s="51">
        <f>'hitung kewenangan kegiatan'!P56</f>
        <v>502905747</v>
      </c>
      <c r="J65" s="51">
        <f t="shared" si="15"/>
        <v>703905747</v>
      </c>
      <c r="K65" s="51">
        <f t="shared" si="16"/>
        <v>1705706489</v>
      </c>
      <c r="L65" s="176"/>
      <c r="M65" s="151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5.75" customHeight="1">
      <c r="A66" s="149"/>
      <c r="B66" s="45" t="s">
        <v>267</v>
      </c>
      <c r="C66" s="177" t="s">
        <v>102</v>
      </c>
      <c r="D66" s="51">
        <f>'hitung siltap'!M65</f>
        <v>863700000</v>
      </c>
      <c r="E66" s="51">
        <f>ROUND('hitung siltap'!P65,0)</f>
        <v>10077696</v>
      </c>
      <c r="F66" s="51">
        <f>ROUND('hitung siltap'!W65,0)</f>
        <v>69616086</v>
      </c>
      <c r="G66" s="51">
        <f>'hitung siltap'!X65</f>
        <v>143950000</v>
      </c>
      <c r="H66" s="51">
        <v>2.01E8</v>
      </c>
      <c r="I66" s="51">
        <f>'hitung kewenangan kegiatan'!P57</f>
        <v>555623959</v>
      </c>
      <c r="J66" s="51">
        <f t="shared" si="15"/>
        <v>756623959</v>
      </c>
      <c r="K66" s="51">
        <f t="shared" si="16"/>
        <v>1843967741</v>
      </c>
      <c r="L66" s="176"/>
      <c r="M66" s="151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ht="15.75" customHeight="1">
      <c r="A67" s="149"/>
      <c r="B67" s="45" t="s">
        <v>268</v>
      </c>
      <c r="C67" s="177" t="s">
        <v>103</v>
      </c>
      <c r="D67" s="51">
        <f>'hitung siltap'!M66</f>
        <v>654900000</v>
      </c>
      <c r="E67" s="51">
        <f>ROUND('hitung siltap'!P66,0)</f>
        <v>10077696</v>
      </c>
      <c r="F67" s="51">
        <f>ROUND('hitung siltap'!W66,0)</f>
        <v>56586966</v>
      </c>
      <c r="G67" s="51">
        <f>'hitung siltap'!X66</f>
        <v>109150000</v>
      </c>
      <c r="H67" s="51">
        <v>2.01E8</v>
      </c>
      <c r="I67" s="51">
        <f>'hitung kewenangan kegiatan'!P58</f>
        <v>439242064</v>
      </c>
      <c r="J67" s="51">
        <f t="shared" si="15"/>
        <v>640242064</v>
      </c>
      <c r="K67" s="51">
        <f t="shared" si="16"/>
        <v>1470956726</v>
      </c>
      <c r="L67" s="176"/>
      <c r="M67" s="151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ht="15.75" customHeight="1">
      <c r="A68" s="149"/>
      <c r="B68" s="45" t="s">
        <v>104</v>
      </c>
      <c r="C68" s="177" t="s">
        <v>105</v>
      </c>
      <c r="D68" s="51"/>
      <c r="E68" s="51"/>
      <c r="F68" s="51"/>
      <c r="G68" s="51"/>
      <c r="H68" s="51"/>
      <c r="I68" s="51"/>
      <c r="J68" s="51"/>
      <c r="K68" s="51"/>
      <c r="L68" s="176"/>
      <c r="M68" s="151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ht="15.75" customHeight="1">
      <c r="A69" s="149"/>
      <c r="B69" s="45" t="s">
        <v>269</v>
      </c>
      <c r="C69" s="177" t="s">
        <v>106</v>
      </c>
      <c r="D69" s="51">
        <f>'hitung siltap'!M68</f>
        <v>933300000</v>
      </c>
      <c r="E69" s="51">
        <f>ROUND('hitung siltap'!P68,0)</f>
        <v>10077696</v>
      </c>
      <c r="F69" s="51">
        <f>ROUND('hitung siltap'!W68,0)</f>
        <v>73959126</v>
      </c>
      <c r="G69" s="51">
        <f>'hitung siltap'!X68</f>
        <v>155550000</v>
      </c>
      <c r="H69" s="51">
        <v>2.01E8</v>
      </c>
      <c r="I69" s="51">
        <f>'hitung kewenangan kegiatan'!P61</f>
        <v>672077025</v>
      </c>
      <c r="J69" s="51">
        <f t="shared" ref="J69:J74" si="17">H69+I69</f>
        <v>873077025</v>
      </c>
      <c r="K69" s="51">
        <f t="shared" ref="K69:K74" si="18">SUM(D69:G69)+J69</f>
        <v>2045963847</v>
      </c>
      <c r="L69" s="176"/>
      <c r="M69" s="155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ht="15.75" customHeight="1">
      <c r="A70" s="149"/>
      <c r="B70" s="45" t="s">
        <v>270</v>
      </c>
      <c r="C70" s="177" t="s">
        <v>107</v>
      </c>
      <c r="D70" s="51">
        <f>'hitung siltap'!M69</f>
        <v>515700000</v>
      </c>
      <c r="E70" s="51">
        <f>ROUND('hitung siltap'!P69,0)</f>
        <v>10077696</v>
      </c>
      <c r="F70" s="51">
        <f>ROUND('hitung siltap'!W69,0)</f>
        <v>47900886</v>
      </c>
      <c r="G70" s="51">
        <f>'hitung siltap'!X69</f>
        <v>85950000</v>
      </c>
      <c r="H70" s="51">
        <v>1.146E8</v>
      </c>
      <c r="I70" s="51">
        <f>'hitung kewenangan kegiatan'!P62</f>
        <v>305802188</v>
      </c>
      <c r="J70" s="51">
        <f t="shared" si="17"/>
        <v>420402188</v>
      </c>
      <c r="K70" s="51">
        <f t="shared" si="18"/>
        <v>1080030770</v>
      </c>
      <c r="L70" s="176"/>
      <c r="M70" s="151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5.75" customHeight="1">
      <c r="A71" s="149"/>
      <c r="B71" s="45" t="s">
        <v>271</v>
      </c>
      <c r="C71" s="177" t="s">
        <v>108</v>
      </c>
      <c r="D71" s="51">
        <f>'hitung siltap'!M70</f>
        <v>550500000</v>
      </c>
      <c r="E71" s="51">
        <f>ROUND('hitung siltap'!P70,0)</f>
        <v>10077696</v>
      </c>
      <c r="F71" s="51">
        <f>ROUND('hitung siltap'!W70,0)</f>
        <v>50072406</v>
      </c>
      <c r="G71" s="51">
        <f>'hitung siltap'!X70</f>
        <v>91750000</v>
      </c>
      <c r="H71" s="51">
        <v>1.578E8</v>
      </c>
      <c r="I71" s="51">
        <f>'hitung kewenangan kegiatan'!P63</f>
        <v>342421575</v>
      </c>
      <c r="J71" s="51">
        <f t="shared" si="17"/>
        <v>500221575</v>
      </c>
      <c r="K71" s="51">
        <f t="shared" si="18"/>
        <v>1202621677</v>
      </c>
      <c r="L71" s="176"/>
      <c r="M71" s="151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5.75" customHeight="1">
      <c r="A72" s="149"/>
      <c r="B72" s="45" t="s">
        <v>272</v>
      </c>
      <c r="C72" s="177" t="s">
        <v>109</v>
      </c>
      <c r="D72" s="51">
        <f>'hitung siltap'!M71</f>
        <v>585300000</v>
      </c>
      <c r="E72" s="51">
        <f>ROUND('hitung siltap'!P71,0)</f>
        <v>10077696</v>
      </c>
      <c r="F72" s="51">
        <f>ROUND('hitung siltap'!W71,0)</f>
        <v>52243926</v>
      </c>
      <c r="G72" s="51">
        <f>'hitung siltap'!X71</f>
        <v>97550000</v>
      </c>
      <c r="H72" s="51">
        <v>1.578E8</v>
      </c>
      <c r="I72" s="51">
        <f>'hitung kewenangan kegiatan'!P64</f>
        <v>408398459</v>
      </c>
      <c r="J72" s="51">
        <f t="shared" si="17"/>
        <v>566198459</v>
      </c>
      <c r="K72" s="51">
        <f t="shared" si="18"/>
        <v>1311370081</v>
      </c>
      <c r="L72" s="176"/>
      <c r="M72" s="151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5.75" customHeight="1">
      <c r="A73" s="149"/>
      <c r="B73" s="45" t="s">
        <v>273</v>
      </c>
      <c r="C73" s="177" t="s">
        <v>110</v>
      </c>
      <c r="D73" s="51">
        <f>'hitung siltap'!M72</f>
        <v>863700000</v>
      </c>
      <c r="E73" s="51">
        <f>ROUND('hitung siltap'!P72,0)</f>
        <v>10077696</v>
      </c>
      <c r="F73" s="51">
        <f>ROUND('hitung siltap'!W72,0)</f>
        <v>69616086</v>
      </c>
      <c r="G73" s="51">
        <f>'hitung siltap'!X72</f>
        <v>143950000</v>
      </c>
      <c r="H73" s="51">
        <v>2.01E8</v>
      </c>
      <c r="I73" s="51">
        <f>'hitung kewenangan kegiatan'!P65</f>
        <v>597696978</v>
      </c>
      <c r="J73" s="51">
        <f t="shared" si="17"/>
        <v>798696978</v>
      </c>
      <c r="K73" s="51">
        <f t="shared" si="18"/>
        <v>1886040760</v>
      </c>
      <c r="L73" s="176"/>
      <c r="M73" s="155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5.75" customHeight="1">
      <c r="A74" s="149"/>
      <c r="B74" s="45" t="s">
        <v>274</v>
      </c>
      <c r="C74" s="177" t="s">
        <v>111</v>
      </c>
      <c r="D74" s="51">
        <f>'hitung siltap'!M73</f>
        <v>759300000</v>
      </c>
      <c r="E74" s="51">
        <f>ROUND('hitung siltap'!P73,0)</f>
        <v>10077696</v>
      </c>
      <c r="F74" s="51">
        <f>ROUND('hitung siltap'!W73,0)</f>
        <v>63101526</v>
      </c>
      <c r="G74" s="51">
        <f>'hitung siltap'!X73</f>
        <v>126550000</v>
      </c>
      <c r="H74" s="51">
        <v>2.01E8</v>
      </c>
      <c r="I74" s="51">
        <f>'hitung kewenangan kegiatan'!P66</f>
        <v>450865796</v>
      </c>
      <c r="J74" s="51">
        <f t="shared" si="17"/>
        <v>651865796</v>
      </c>
      <c r="K74" s="51">
        <f t="shared" si="18"/>
        <v>1610895018</v>
      </c>
      <c r="L74" s="176"/>
      <c r="M74" s="151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5.75" customHeight="1">
      <c r="A75" s="149"/>
      <c r="B75" s="45" t="s">
        <v>112</v>
      </c>
      <c r="C75" s="179" t="s">
        <v>113</v>
      </c>
      <c r="D75" s="51"/>
      <c r="E75" s="51"/>
      <c r="F75" s="51"/>
      <c r="G75" s="51"/>
      <c r="H75" s="51"/>
      <c r="I75" s="51"/>
      <c r="J75" s="51"/>
      <c r="K75" s="51"/>
      <c r="L75" s="176"/>
      <c r="M75" s="151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5.75" customHeight="1">
      <c r="A76" s="149"/>
      <c r="B76" s="45" t="s">
        <v>275</v>
      </c>
      <c r="C76" s="178" t="s">
        <v>114</v>
      </c>
      <c r="D76" s="51">
        <f>'hitung siltap'!M75</f>
        <v>1037700000</v>
      </c>
      <c r="E76" s="51">
        <f>ROUND('hitung siltap'!P75,0)</f>
        <v>10077696</v>
      </c>
      <c r="F76" s="51">
        <f>ROUND('hitung siltap'!W75,0)</f>
        <v>80473686</v>
      </c>
      <c r="G76" s="51">
        <f>'hitung siltap'!X75</f>
        <v>172950000</v>
      </c>
      <c r="H76" s="51">
        <v>2.01E8</v>
      </c>
      <c r="I76" s="51">
        <f>'hitung kewenangan kegiatan'!P69</f>
        <v>945432385</v>
      </c>
      <c r="J76" s="51">
        <f t="shared" ref="J76:J79" si="19">H76+I76</f>
        <v>1146432385</v>
      </c>
      <c r="K76" s="51">
        <f t="shared" ref="K76:K79" si="20">SUM(D76:G76)+J76</f>
        <v>2447633767</v>
      </c>
      <c r="L76" s="176"/>
      <c r="M76" s="151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5.75" customHeight="1">
      <c r="A77" s="149"/>
      <c r="B77" s="45" t="s">
        <v>276</v>
      </c>
      <c r="C77" s="178" t="s">
        <v>115</v>
      </c>
      <c r="D77" s="51">
        <f>'hitung siltap'!M76</f>
        <v>898500000</v>
      </c>
      <c r="E77" s="51">
        <f>ROUND('hitung siltap'!P76,0)</f>
        <v>10077696</v>
      </c>
      <c r="F77" s="51">
        <f>ROUND('hitung siltap'!W76,0)</f>
        <v>71787606</v>
      </c>
      <c r="G77" s="51">
        <f>'hitung siltap'!X76</f>
        <v>149750000</v>
      </c>
      <c r="H77" s="51">
        <v>2.01E8</v>
      </c>
      <c r="I77" s="51">
        <f>'hitung kewenangan kegiatan'!P70</f>
        <v>625865574</v>
      </c>
      <c r="J77" s="51">
        <f t="shared" si="19"/>
        <v>826865574</v>
      </c>
      <c r="K77" s="51">
        <f t="shared" si="20"/>
        <v>1956980876</v>
      </c>
      <c r="L77" s="176"/>
      <c r="M77" s="151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ht="15.75" customHeight="1">
      <c r="A78" s="149"/>
      <c r="B78" s="45" t="s">
        <v>277</v>
      </c>
      <c r="C78" s="178" t="s">
        <v>116</v>
      </c>
      <c r="D78" s="51">
        <f>'hitung siltap'!M77</f>
        <v>1072500000</v>
      </c>
      <c r="E78" s="51">
        <f>ROUND('hitung siltap'!P77,0)</f>
        <v>10077696</v>
      </c>
      <c r="F78" s="51">
        <f>ROUND('hitung siltap'!W77,0)</f>
        <v>82645206</v>
      </c>
      <c r="G78" s="51">
        <f>'hitung siltap'!X77</f>
        <v>178750000</v>
      </c>
      <c r="H78" s="51">
        <v>2.01E8</v>
      </c>
      <c r="I78" s="51">
        <f>'hitung kewenangan kegiatan'!P71</f>
        <v>710814320</v>
      </c>
      <c r="J78" s="51">
        <f t="shared" si="19"/>
        <v>911814320</v>
      </c>
      <c r="K78" s="51">
        <f t="shared" si="20"/>
        <v>2255787222</v>
      </c>
      <c r="L78" s="176"/>
      <c r="M78" s="151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ht="15.75" customHeight="1">
      <c r="A79" s="149"/>
      <c r="B79" s="45" t="s">
        <v>278</v>
      </c>
      <c r="C79" s="177" t="s">
        <v>117</v>
      </c>
      <c r="D79" s="51">
        <f>'hitung siltap'!M78</f>
        <v>1002900000</v>
      </c>
      <c r="E79" s="51">
        <f>ROUND('hitung siltap'!P78,0)</f>
        <v>10077696</v>
      </c>
      <c r="F79" s="51">
        <f>ROUND('hitung siltap'!W78,0)</f>
        <v>78302166</v>
      </c>
      <c r="G79" s="51">
        <f>'hitung siltap'!X78</f>
        <v>167150000</v>
      </c>
      <c r="H79" s="51">
        <v>2.01E8</v>
      </c>
      <c r="I79" s="51">
        <f>'hitung kewenangan kegiatan'!P72</f>
        <v>658577241</v>
      </c>
      <c r="J79" s="51">
        <f t="shared" si="19"/>
        <v>859577241</v>
      </c>
      <c r="K79" s="51">
        <f t="shared" si="20"/>
        <v>2118007103</v>
      </c>
      <c r="L79" s="176"/>
      <c r="M79" s="151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ht="15.75" customHeight="1">
      <c r="A80" s="149"/>
      <c r="B80" s="45" t="s">
        <v>118</v>
      </c>
      <c r="C80" s="179" t="s">
        <v>119</v>
      </c>
      <c r="D80" s="51"/>
      <c r="E80" s="51"/>
      <c r="F80" s="51"/>
      <c r="G80" s="51"/>
      <c r="H80" s="51"/>
      <c r="I80" s="51"/>
      <c r="J80" s="51"/>
      <c r="K80" s="51"/>
      <c r="L80" s="176"/>
      <c r="M80" s="151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ht="15.75" customHeight="1">
      <c r="A81" s="149"/>
      <c r="B81" s="45" t="s">
        <v>279</v>
      </c>
      <c r="C81" s="177" t="s">
        <v>120</v>
      </c>
      <c r="D81" s="51">
        <f>'hitung siltap'!M80</f>
        <v>689700000</v>
      </c>
      <c r="E81" s="51">
        <f>ROUND('hitung siltap'!P80,0)</f>
        <v>10077696</v>
      </c>
      <c r="F81" s="51">
        <f>ROUND('hitung siltap'!W80,0)</f>
        <v>58758486</v>
      </c>
      <c r="G81" s="51">
        <f>'hitung siltap'!X80</f>
        <v>114950000</v>
      </c>
      <c r="H81" s="51">
        <v>1.578E8</v>
      </c>
      <c r="I81" s="51">
        <f>'hitung kewenangan kegiatan'!P75</f>
        <v>403337074</v>
      </c>
      <c r="J81" s="51">
        <f t="shared" ref="J81:J85" si="21">H81+I81</f>
        <v>561137074</v>
      </c>
      <c r="K81" s="51">
        <f t="shared" ref="K81:K85" si="22">SUM(D81:G81)+J81</f>
        <v>1434623256</v>
      </c>
      <c r="L81" s="176"/>
      <c r="M81" s="151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ht="15.75" customHeight="1">
      <c r="A82" s="149"/>
      <c r="B82" s="45" t="s">
        <v>280</v>
      </c>
      <c r="C82" s="177" t="s">
        <v>121</v>
      </c>
      <c r="D82" s="51">
        <f>'hitung siltap'!M81</f>
        <v>724500000</v>
      </c>
      <c r="E82" s="51">
        <f>ROUND('hitung siltap'!P81,0)</f>
        <v>10077696</v>
      </c>
      <c r="F82" s="51">
        <f>ROUND('hitung siltap'!W81,0)</f>
        <v>60930006</v>
      </c>
      <c r="G82" s="51">
        <f>'hitung siltap'!X81</f>
        <v>120750000</v>
      </c>
      <c r="H82" s="51">
        <v>1.578E8</v>
      </c>
      <c r="I82" s="51">
        <f>'hitung kewenangan kegiatan'!P76</f>
        <v>393979854</v>
      </c>
      <c r="J82" s="51">
        <f t="shared" si="21"/>
        <v>551779854</v>
      </c>
      <c r="K82" s="51">
        <f t="shared" si="22"/>
        <v>1468037556</v>
      </c>
      <c r="L82" s="176"/>
      <c r="M82" s="151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ht="15.75" customHeight="1">
      <c r="A83" s="149"/>
      <c r="B83" s="45" t="s">
        <v>281</v>
      </c>
      <c r="C83" s="177" t="s">
        <v>122</v>
      </c>
      <c r="D83" s="51">
        <f>'hitung siltap'!M82</f>
        <v>968100000</v>
      </c>
      <c r="E83" s="51">
        <f>ROUND('hitung siltap'!P82,0)</f>
        <v>10077696</v>
      </c>
      <c r="F83" s="51">
        <f>ROUND('hitung siltap'!W82,0)</f>
        <v>76130646</v>
      </c>
      <c r="G83" s="51">
        <f>'hitung siltap'!X82</f>
        <v>161350000</v>
      </c>
      <c r="H83" s="51">
        <v>1.578E8</v>
      </c>
      <c r="I83" s="51">
        <f>'hitung kewenangan kegiatan'!P77</f>
        <v>481068732</v>
      </c>
      <c r="J83" s="51">
        <f t="shared" si="21"/>
        <v>638868732</v>
      </c>
      <c r="K83" s="51">
        <f t="shared" si="22"/>
        <v>1854527074</v>
      </c>
      <c r="L83" s="176"/>
      <c r="M83" s="151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ht="15.75" customHeight="1">
      <c r="A84" s="149"/>
      <c r="B84" s="45" t="s">
        <v>282</v>
      </c>
      <c r="C84" s="178" t="s">
        <v>123</v>
      </c>
      <c r="D84" s="51">
        <f>'hitung siltap'!M83</f>
        <v>1176900000</v>
      </c>
      <c r="E84" s="51">
        <f>ROUND('hitung siltap'!P83,0)</f>
        <v>10077696</v>
      </c>
      <c r="F84" s="51">
        <f>ROUND('hitung siltap'!W83,0)</f>
        <v>89159766</v>
      </c>
      <c r="G84" s="51">
        <f>'hitung siltap'!X83</f>
        <v>196150000</v>
      </c>
      <c r="H84" s="51">
        <v>2.01E8</v>
      </c>
      <c r="I84" s="51">
        <f>'hitung kewenangan kegiatan'!P78</f>
        <v>880115765</v>
      </c>
      <c r="J84" s="51">
        <f t="shared" si="21"/>
        <v>1081115765</v>
      </c>
      <c r="K84" s="51">
        <f t="shared" si="22"/>
        <v>2553403227</v>
      </c>
      <c r="L84" s="176"/>
      <c r="M84" s="151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ht="15.75" customHeight="1">
      <c r="A85" s="149"/>
      <c r="B85" s="45" t="s">
        <v>283</v>
      </c>
      <c r="C85" s="177" t="s">
        <v>124</v>
      </c>
      <c r="D85" s="51">
        <f>'hitung siltap'!M84</f>
        <v>828900000</v>
      </c>
      <c r="E85" s="51">
        <f>ROUND('hitung siltap'!P84,0)</f>
        <v>10077696</v>
      </c>
      <c r="F85" s="51">
        <f>ROUND('hitung siltap'!W84,0)</f>
        <v>67444566</v>
      </c>
      <c r="G85" s="51">
        <f>'hitung siltap'!X84</f>
        <v>138150000</v>
      </c>
      <c r="H85" s="51">
        <v>2.01E8</v>
      </c>
      <c r="I85" s="51">
        <f>'hitung kewenangan kegiatan'!P79</f>
        <v>427363703</v>
      </c>
      <c r="J85" s="51">
        <f t="shared" si="21"/>
        <v>628363703</v>
      </c>
      <c r="K85" s="51">
        <f t="shared" si="22"/>
        <v>1672935965</v>
      </c>
      <c r="L85" s="176"/>
      <c r="M85" s="151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ht="15.75" customHeight="1">
      <c r="A86" s="149"/>
      <c r="B86" s="45" t="s">
        <v>125</v>
      </c>
      <c r="C86" s="179" t="s">
        <v>126</v>
      </c>
      <c r="D86" s="51"/>
      <c r="E86" s="51"/>
      <c r="F86" s="51"/>
      <c r="G86" s="51"/>
      <c r="H86" s="51"/>
      <c r="I86" s="51"/>
      <c r="J86" s="51"/>
      <c r="K86" s="51"/>
      <c r="L86" s="176"/>
      <c r="M86" s="151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ht="15.75" customHeight="1">
      <c r="A87" s="149"/>
      <c r="B87" s="45" t="s">
        <v>284</v>
      </c>
      <c r="C87" s="177" t="s">
        <v>127</v>
      </c>
      <c r="D87" s="51">
        <f>'hitung siltap'!M86</f>
        <v>863700000</v>
      </c>
      <c r="E87" s="51">
        <f>ROUND('hitung siltap'!P86,0)</f>
        <v>10077696</v>
      </c>
      <c r="F87" s="51">
        <f>ROUND('hitung siltap'!W86,0)</f>
        <v>69616086</v>
      </c>
      <c r="G87" s="51">
        <f>'hitung siltap'!X86</f>
        <v>143950000</v>
      </c>
      <c r="H87" s="51">
        <v>2.01E8</v>
      </c>
      <c r="I87" s="51">
        <f>'hitung kewenangan kegiatan'!P82</f>
        <v>566562815</v>
      </c>
      <c r="J87" s="51">
        <f t="shared" ref="J87:J92" si="23">H87+I87</f>
        <v>767562815</v>
      </c>
      <c r="K87" s="51">
        <f t="shared" ref="K87:K92" si="24">SUM(D87:G87)+J87</f>
        <v>1854906597</v>
      </c>
      <c r="L87" s="176"/>
      <c r="M87" s="151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5.75" customHeight="1">
      <c r="A88" s="149"/>
      <c r="B88" s="45" t="s">
        <v>285</v>
      </c>
      <c r="C88" s="177" t="s">
        <v>128</v>
      </c>
      <c r="D88" s="51">
        <f>'hitung siltap'!M87</f>
        <v>515700000</v>
      </c>
      <c r="E88" s="51">
        <f>ROUND('hitung siltap'!P87,0)</f>
        <v>10077696</v>
      </c>
      <c r="F88" s="51">
        <f>ROUND('hitung siltap'!W87,0)</f>
        <v>47900886</v>
      </c>
      <c r="G88" s="51">
        <f>'hitung siltap'!X87</f>
        <v>85950000</v>
      </c>
      <c r="H88" s="51">
        <v>2.01E8</v>
      </c>
      <c r="I88" s="51">
        <f>'hitung kewenangan kegiatan'!P83</f>
        <v>274433182</v>
      </c>
      <c r="J88" s="51">
        <f t="shared" si="23"/>
        <v>475433182</v>
      </c>
      <c r="K88" s="51">
        <f t="shared" si="24"/>
        <v>1135061764</v>
      </c>
      <c r="L88" s="176"/>
      <c r="M88" s="151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ht="15.75" customHeight="1">
      <c r="A89" s="149"/>
      <c r="B89" s="45" t="s">
        <v>286</v>
      </c>
      <c r="C89" s="177" t="s">
        <v>129</v>
      </c>
      <c r="D89" s="51">
        <f>'hitung siltap'!M88</f>
        <v>898500000</v>
      </c>
      <c r="E89" s="51">
        <f>ROUND('hitung siltap'!P88,0)</f>
        <v>10077696</v>
      </c>
      <c r="F89" s="51">
        <f>ROUND('hitung siltap'!W88,0)</f>
        <v>71787606</v>
      </c>
      <c r="G89" s="51">
        <f>'hitung siltap'!X88</f>
        <v>149750000</v>
      </c>
      <c r="H89" s="51">
        <v>2.01E8</v>
      </c>
      <c r="I89" s="51">
        <f>'hitung kewenangan kegiatan'!P84</f>
        <v>573626447</v>
      </c>
      <c r="J89" s="51">
        <f t="shared" si="23"/>
        <v>774626447</v>
      </c>
      <c r="K89" s="51">
        <f t="shared" si="24"/>
        <v>1904741749</v>
      </c>
      <c r="L89" s="176"/>
      <c r="M89" s="151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ht="15.75" customHeight="1">
      <c r="A90" s="149"/>
      <c r="B90" s="45" t="s">
        <v>287</v>
      </c>
      <c r="C90" s="177" t="s">
        <v>130</v>
      </c>
      <c r="D90" s="51">
        <f>'hitung siltap'!M89</f>
        <v>794100000</v>
      </c>
      <c r="E90" s="51">
        <f>ROUND('hitung siltap'!P89,0)</f>
        <v>10077696</v>
      </c>
      <c r="F90" s="51">
        <f>ROUND('hitung siltap'!W89,0)</f>
        <v>65273046</v>
      </c>
      <c r="G90" s="51">
        <f>'hitung siltap'!X89</f>
        <v>132350000</v>
      </c>
      <c r="H90" s="51">
        <v>2.01E8</v>
      </c>
      <c r="I90" s="51">
        <f>'hitung kewenangan kegiatan'!P85</f>
        <v>570793262</v>
      </c>
      <c r="J90" s="51">
        <f t="shared" si="23"/>
        <v>771793262</v>
      </c>
      <c r="K90" s="51">
        <f t="shared" si="24"/>
        <v>1773594004</v>
      </c>
      <c r="L90" s="176"/>
      <c r="M90" s="151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ht="15.75" customHeight="1">
      <c r="A91" s="149"/>
      <c r="B91" s="45" t="s">
        <v>288</v>
      </c>
      <c r="C91" s="177" t="s">
        <v>131</v>
      </c>
      <c r="D91" s="51">
        <f>'hitung siltap'!M90</f>
        <v>933300000</v>
      </c>
      <c r="E91" s="51">
        <f>ROUND('hitung siltap'!P90,0)</f>
        <v>10077696</v>
      </c>
      <c r="F91" s="51">
        <f>ROUND('hitung siltap'!W90,0)</f>
        <v>73959126</v>
      </c>
      <c r="G91" s="51">
        <f>'hitung siltap'!X90</f>
        <v>155550000</v>
      </c>
      <c r="H91" s="51">
        <v>2.01E8</v>
      </c>
      <c r="I91" s="51">
        <f>'hitung kewenangan kegiatan'!P86</f>
        <v>691722171</v>
      </c>
      <c r="J91" s="51">
        <f t="shared" si="23"/>
        <v>892722171</v>
      </c>
      <c r="K91" s="51">
        <f t="shared" si="24"/>
        <v>2065608993</v>
      </c>
      <c r="L91" s="176"/>
      <c r="M91" s="151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ht="15.75" customHeight="1">
      <c r="A92" s="149"/>
      <c r="B92" s="45" t="s">
        <v>289</v>
      </c>
      <c r="C92" s="177" t="s">
        <v>132</v>
      </c>
      <c r="D92" s="51">
        <f>'hitung siltap'!M91</f>
        <v>863700000</v>
      </c>
      <c r="E92" s="51">
        <f>ROUND('hitung siltap'!P91,0)</f>
        <v>10077696</v>
      </c>
      <c r="F92" s="51">
        <f>ROUND('hitung siltap'!W91,0)</f>
        <v>69616086</v>
      </c>
      <c r="G92" s="51">
        <f>'hitung siltap'!X91</f>
        <v>143950000</v>
      </c>
      <c r="H92" s="51">
        <v>2.01E8</v>
      </c>
      <c r="I92" s="51">
        <f>'hitung kewenangan kegiatan'!P87</f>
        <v>508544559</v>
      </c>
      <c r="J92" s="51">
        <f t="shared" si="23"/>
        <v>709544559</v>
      </c>
      <c r="K92" s="51">
        <f t="shared" si="24"/>
        <v>1796888341</v>
      </c>
      <c r="L92" s="176"/>
      <c r="M92" s="151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ht="15.75" customHeight="1">
      <c r="A93" s="149"/>
      <c r="B93" s="45" t="s">
        <v>133</v>
      </c>
      <c r="C93" s="179" t="s">
        <v>134</v>
      </c>
      <c r="D93" s="51"/>
      <c r="E93" s="51"/>
      <c r="F93" s="51"/>
      <c r="G93" s="51"/>
      <c r="H93" s="51"/>
      <c r="I93" s="51"/>
      <c r="J93" s="51"/>
      <c r="K93" s="51"/>
      <c r="L93" s="176"/>
      <c r="M93" s="151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ht="15.75" customHeight="1">
      <c r="A94" s="149"/>
      <c r="B94" s="45" t="s">
        <v>290</v>
      </c>
      <c r="C94" s="177" t="s">
        <v>135</v>
      </c>
      <c r="D94" s="51">
        <f>'hitung siltap'!M93</f>
        <v>1002900000</v>
      </c>
      <c r="E94" s="51">
        <f>ROUND('hitung siltap'!P93,0)</f>
        <v>10077696</v>
      </c>
      <c r="F94" s="51">
        <f>ROUND('hitung siltap'!W93,0)</f>
        <v>78302166</v>
      </c>
      <c r="G94" s="51">
        <f>'hitung siltap'!X93</f>
        <v>167150000</v>
      </c>
      <c r="H94" s="51">
        <v>2.01E8</v>
      </c>
      <c r="I94" s="51">
        <f>'hitung kewenangan kegiatan'!P90</f>
        <v>645894998</v>
      </c>
      <c r="J94" s="51">
        <f t="shared" ref="J94:J98" si="25">H94+I94</f>
        <v>846894998</v>
      </c>
      <c r="K94" s="51">
        <f t="shared" ref="K94:K98" si="26">SUM(D94:G94)+J94</f>
        <v>2105324860</v>
      </c>
      <c r="L94" s="176"/>
      <c r="M94" s="151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ht="15.75" customHeight="1">
      <c r="A95" s="149"/>
      <c r="B95" s="45" t="s">
        <v>291</v>
      </c>
      <c r="C95" s="177" t="s">
        <v>136</v>
      </c>
      <c r="D95" s="51">
        <f>'hitung siltap'!M94</f>
        <v>724500000</v>
      </c>
      <c r="E95" s="51">
        <f>ROUND('hitung siltap'!P94,0)</f>
        <v>10077696</v>
      </c>
      <c r="F95" s="51">
        <f>ROUND('hitung siltap'!W94,0)</f>
        <v>60930006</v>
      </c>
      <c r="G95" s="51">
        <f>'hitung siltap'!X94</f>
        <v>120750000</v>
      </c>
      <c r="H95" s="51">
        <v>2.01E8</v>
      </c>
      <c r="I95" s="51">
        <f>'hitung kewenangan kegiatan'!P91</f>
        <v>560966462</v>
      </c>
      <c r="J95" s="51">
        <f t="shared" si="25"/>
        <v>761966462</v>
      </c>
      <c r="K95" s="51">
        <f t="shared" si="26"/>
        <v>1678224164</v>
      </c>
      <c r="L95" s="176"/>
      <c r="M95" s="151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ht="15.75" customHeight="1">
      <c r="A96" s="149"/>
      <c r="B96" s="45" t="s">
        <v>292</v>
      </c>
      <c r="C96" s="177" t="s">
        <v>137</v>
      </c>
      <c r="D96" s="51">
        <f>'hitung siltap'!M95</f>
        <v>828900000</v>
      </c>
      <c r="E96" s="51">
        <f>ROUND('hitung siltap'!P95,0)</f>
        <v>10077696</v>
      </c>
      <c r="F96" s="51">
        <f>ROUND('hitung siltap'!W95,0)</f>
        <v>67444566</v>
      </c>
      <c r="G96" s="51">
        <f>'hitung siltap'!X95</f>
        <v>138150000</v>
      </c>
      <c r="H96" s="51">
        <v>2.01E8</v>
      </c>
      <c r="I96" s="51">
        <f>'hitung kewenangan kegiatan'!P92</f>
        <v>504250875</v>
      </c>
      <c r="J96" s="51">
        <f t="shared" si="25"/>
        <v>705250875</v>
      </c>
      <c r="K96" s="51">
        <f t="shared" si="26"/>
        <v>1749823137</v>
      </c>
      <c r="L96" s="176"/>
      <c r="M96" s="151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ht="15.75" customHeight="1">
      <c r="A97" s="149"/>
      <c r="B97" s="45" t="s">
        <v>293</v>
      </c>
      <c r="C97" s="178" t="s">
        <v>138</v>
      </c>
      <c r="D97" s="51">
        <f>'hitung siltap'!M96</f>
        <v>1072500000</v>
      </c>
      <c r="E97" s="51">
        <f>ROUND('hitung siltap'!P96,0)</f>
        <v>10077696</v>
      </c>
      <c r="F97" s="51">
        <f>ROUND('hitung siltap'!W96,0)</f>
        <v>82645206</v>
      </c>
      <c r="G97" s="51">
        <f>'hitung siltap'!X96</f>
        <v>178750000</v>
      </c>
      <c r="H97" s="51">
        <v>2.01E8</v>
      </c>
      <c r="I97" s="51">
        <f>'hitung kewenangan kegiatan'!P93</f>
        <v>618351064</v>
      </c>
      <c r="J97" s="51">
        <f t="shared" si="25"/>
        <v>819351064</v>
      </c>
      <c r="K97" s="51">
        <f t="shared" si="26"/>
        <v>2163323966</v>
      </c>
      <c r="L97" s="176"/>
      <c r="M97" s="151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ht="15.75" customHeight="1">
      <c r="A98" s="149"/>
      <c r="B98" s="45" t="s">
        <v>294</v>
      </c>
      <c r="C98" s="177" t="s">
        <v>139</v>
      </c>
      <c r="D98" s="51">
        <f>'hitung siltap'!M97</f>
        <v>794100000</v>
      </c>
      <c r="E98" s="51">
        <f>ROUND('hitung siltap'!P97,0)</f>
        <v>10077696</v>
      </c>
      <c r="F98" s="51">
        <f>ROUND('hitung siltap'!W97,0)</f>
        <v>65273046</v>
      </c>
      <c r="G98" s="51">
        <f>'hitung siltap'!X97</f>
        <v>132350000</v>
      </c>
      <c r="H98" s="51">
        <v>2.01E8</v>
      </c>
      <c r="I98" s="51">
        <f>'hitung kewenangan kegiatan'!P94</f>
        <v>481415798</v>
      </c>
      <c r="J98" s="51">
        <f t="shared" si="25"/>
        <v>682415798</v>
      </c>
      <c r="K98" s="51">
        <f t="shared" si="26"/>
        <v>1684216540</v>
      </c>
      <c r="L98" s="176"/>
      <c r="M98" s="151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ht="15.75" customHeight="1">
      <c r="A99" s="149"/>
      <c r="B99" s="45" t="s">
        <v>140</v>
      </c>
      <c r="C99" s="177" t="s">
        <v>141</v>
      </c>
      <c r="D99" s="51"/>
      <c r="E99" s="51"/>
      <c r="F99" s="51"/>
      <c r="G99" s="51"/>
      <c r="H99" s="51"/>
      <c r="I99" s="51"/>
      <c r="J99" s="51"/>
      <c r="K99" s="51"/>
      <c r="L99" s="176"/>
      <c r="M99" s="151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ht="15.75" customHeight="1">
      <c r="A100" s="149"/>
      <c r="B100" s="45" t="s">
        <v>295</v>
      </c>
      <c r="C100" s="177" t="s">
        <v>142</v>
      </c>
      <c r="D100" s="51">
        <f>'hitung siltap'!M99</f>
        <v>794100000</v>
      </c>
      <c r="E100" s="51">
        <f>ROUND('hitung siltap'!P99,0)</f>
        <v>10077696</v>
      </c>
      <c r="F100" s="51">
        <f>ROUND('hitung siltap'!W99,0)</f>
        <v>65273046</v>
      </c>
      <c r="G100" s="51">
        <f>'hitung siltap'!X99</f>
        <v>132350000</v>
      </c>
      <c r="H100" s="51">
        <v>1.578E8</v>
      </c>
      <c r="I100" s="51">
        <f>'hitung kewenangan kegiatan'!P97</f>
        <v>438520519</v>
      </c>
      <c r="J100" s="51">
        <f t="shared" ref="J100:J107" si="27">H100+I100</f>
        <v>596320519</v>
      </c>
      <c r="K100" s="51">
        <f t="shared" ref="K100:K107" si="28">SUM(D100:G100)+J100</f>
        <v>1598121261</v>
      </c>
      <c r="L100" s="176"/>
      <c r="M100" s="151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ht="15.75" customHeight="1">
      <c r="A101" s="149"/>
      <c r="B101" s="45" t="s">
        <v>296</v>
      </c>
      <c r="C101" s="177" t="s">
        <v>143</v>
      </c>
      <c r="D101" s="51">
        <f>'hitung siltap'!M100</f>
        <v>689700000</v>
      </c>
      <c r="E101" s="51">
        <f>ROUND('hitung siltap'!P100,0)</f>
        <v>10077696</v>
      </c>
      <c r="F101" s="51">
        <f>ROUND('hitung siltap'!W100,0)</f>
        <v>58758486</v>
      </c>
      <c r="G101" s="51">
        <f>'hitung siltap'!X100</f>
        <v>114950000</v>
      </c>
      <c r="H101" s="51">
        <v>1.578E8</v>
      </c>
      <c r="I101" s="51">
        <f>'hitung kewenangan kegiatan'!P98</f>
        <v>333653666</v>
      </c>
      <c r="J101" s="51">
        <f t="shared" si="27"/>
        <v>491453666</v>
      </c>
      <c r="K101" s="51">
        <f t="shared" si="28"/>
        <v>1364939848</v>
      </c>
      <c r="L101" s="176"/>
      <c r="M101" s="151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ht="15.75" customHeight="1">
      <c r="A102" s="149"/>
      <c r="B102" s="45" t="s">
        <v>297</v>
      </c>
      <c r="C102" s="177" t="s">
        <v>144</v>
      </c>
      <c r="D102" s="51">
        <f>'hitung siltap'!M101</f>
        <v>654900000</v>
      </c>
      <c r="E102" s="51">
        <f>ROUND('hitung siltap'!P101,0)</f>
        <v>10077696</v>
      </c>
      <c r="F102" s="51">
        <f>ROUND('hitung siltap'!W101,0)</f>
        <v>56586966</v>
      </c>
      <c r="G102" s="51">
        <f>'hitung siltap'!X101</f>
        <v>109150000</v>
      </c>
      <c r="H102" s="51">
        <v>1.578E8</v>
      </c>
      <c r="I102" s="51">
        <f>'hitung kewenangan kegiatan'!P99</f>
        <v>306035642</v>
      </c>
      <c r="J102" s="51">
        <f t="shared" si="27"/>
        <v>463835642</v>
      </c>
      <c r="K102" s="51">
        <f t="shared" si="28"/>
        <v>1294550304</v>
      </c>
      <c r="L102" s="176"/>
      <c r="M102" s="151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ht="15.75" customHeight="1">
      <c r="A103" s="149"/>
      <c r="B103" s="45" t="s">
        <v>298</v>
      </c>
      <c r="C103" s="177" t="s">
        <v>145</v>
      </c>
      <c r="D103" s="51">
        <f>'hitung siltap'!M102</f>
        <v>620100000</v>
      </c>
      <c r="E103" s="51">
        <f>ROUND('hitung siltap'!P102,0)</f>
        <v>10077696</v>
      </c>
      <c r="F103" s="51">
        <f>ROUND('hitung siltap'!W102,0)</f>
        <v>54415446</v>
      </c>
      <c r="G103" s="51">
        <f>'hitung siltap'!X102</f>
        <v>103350000</v>
      </c>
      <c r="H103" s="51">
        <v>1.578E8</v>
      </c>
      <c r="I103" s="51">
        <f>'hitung kewenangan kegiatan'!P100</f>
        <v>342612030</v>
      </c>
      <c r="J103" s="51">
        <f t="shared" si="27"/>
        <v>500412030</v>
      </c>
      <c r="K103" s="51">
        <f t="shared" si="28"/>
        <v>1288355172</v>
      </c>
      <c r="L103" s="176"/>
      <c r="M103" s="151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ht="15.75" customHeight="1">
      <c r="A104" s="149"/>
      <c r="B104" s="45" t="s">
        <v>299</v>
      </c>
      <c r="C104" s="177" t="s">
        <v>146</v>
      </c>
      <c r="D104" s="51">
        <f>'hitung siltap'!M103</f>
        <v>759300000</v>
      </c>
      <c r="E104" s="51">
        <f>ROUND('hitung siltap'!P103,0)</f>
        <v>10077696</v>
      </c>
      <c r="F104" s="51">
        <f>ROUND('hitung siltap'!W103,0)</f>
        <v>63101526</v>
      </c>
      <c r="G104" s="51">
        <f>'hitung siltap'!X103</f>
        <v>126550000</v>
      </c>
      <c r="H104" s="51">
        <v>1.578E8</v>
      </c>
      <c r="I104" s="51">
        <f>'hitung kewenangan kegiatan'!P101</f>
        <v>360228513</v>
      </c>
      <c r="J104" s="51">
        <f t="shared" si="27"/>
        <v>518028513</v>
      </c>
      <c r="K104" s="51">
        <f t="shared" si="28"/>
        <v>1477057735</v>
      </c>
      <c r="L104" s="176"/>
      <c r="M104" s="151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ht="15.75" customHeight="1">
      <c r="A105" s="149"/>
      <c r="B105" s="45" t="s">
        <v>300</v>
      </c>
      <c r="C105" s="177" t="s">
        <v>147</v>
      </c>
      <c r="D105" s="51">
        <f>'hitung siltap'!M104</f>
        <v>794100000</v>
      </c>
      <c r="E105" s="51">
        <f>ROUND('hitung siltap'!P104,0)</f>
        <v>10077696</v>
      </c>
      <c r="F105" s="51">
        <f>ROUND('hitung siltap'!W104,0)</f>
        <v>65273046</v>
      </c>
      <c r="G105" s="51">
        <f>'hitung siltap'!X104</f>
        <v>132350000</v>
      </c>
      <c r="H105" s="51">
        <v>2.01E8</v>
      </c>
      <c r="I105" s="51">
        <f>'hitung kewenangan kegiatan'!P102</f>
        <v>476423830</v>
      </c>
      <c r="J105" s="51">
        <f t="shared" si="27"/>
        <v>677423830</v>
      </c>
      <c r="K105" s="51">
        <f t="shared" si="28"/>
        <v>1679224572</v>
      </c>
      <c r="L105" s="176"/>
      <c r="M105" s="151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ht="15.75" customHeight="1">
      <c r="A106" s="149"/>
      <c r="B106" s="45" t="s">
        <v>301</v>
      </c>
      <c r="C106" s="177" t="s">
        <v>148</v>
      </c>
      <c r="D106" s="51">
        <f>'hitung siltap'!M105</f>
        <v>654900000</v>
      </c>
      <c r="E106" s="51">
        <f>ROUND('hitung siltap'!P105,0)</f>
        <v>10077696</v>
      </c>
      <c r="F106" s="51">
        <f>ROUND('hitung siltap'!W105,0)</f>
        <v>56586966</v>
      </c>
      <c r="G106" s="51">
        <f>'hitung siltap'!X105</f>
        <v>109150000</v>
      </c>
      <c r="H106" s="51">
        <v>1.578E8</v>
      </c>
      <c r="I106" s="51">
        <f>'hitung kewenangan kegiatan'!P103</f>
        <v>351877108</v>
      </c>
      <c r="J106" s="51">
        <f t="shared" si="27"/>
        <v>509677108</v>
      </c>
      <c r="K106" s="51">
        <f t="shared" si="28"/>
        <v>1340391770</v>
      </c>
      <c r="L106" s="176"/>
      <c r="M106" s="151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ht="15.75" customHeight="1">
      <c r="A107" s="149"/>
      <c r="B107" s="45" t="s">
        <v>302</v>
      </c>
      <c r="C107" s="177" t="s">
        <v>149</v>
      </c>
      <c r="D107" s="51">
        <f>'hitung siltap'!M106</f>
        <v>898500000</v>
      </c>
      <c r="E107" s="51">
        <f>ROUND('hitung siltap'!P106,0)</f>
        <v>10077696</v>
      </c>
      <c r="F107" s="51">
        <f>ROUND('hitung siltap'!W106,0)</f>
        <v>71787606</v>
      </c>
      <c r="G107" s="51">
        <f>'hitung siltap'!X106</f>
        <v>149750000</v>
      </c>
      <c r="H107" s="51">
        <v>1.578E8</v>
      </c>
      <c r="I107" s="51">
        <f>'hitung kewenangan kegiatan'!P104</f>
        <v>474677291</v>
      </c>
      <c r="J107" s="51">
        <f t="shared" si="27"/>
        <v>632477291</v>
      </c>
      <c r="K107" s="51">
        <f t="shared" si="28"/>
        <v>1762592593</v>
      </c>
      <c r="L107" s="176"/>
      <c r="M107" s="151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ht="15.75" customHeight="1">
      <c r="A108" s="149"/>
      <c r="B108" s="45" t="s">
        <v>150</v>
      </c>
      <c r="C108" s="177" t="s">
        <v>151</v>
      </c>
      <c r="D108" s="51"/>
      <c r="E108" s="51"/>
      <c r="F108" s="51"/>
      <c r="G108" s="51"/>
      <c r="H108" s="51"/>
      <c r="I108" s="51"/>
      <c r="J108" s="51"/>
      <c r="K108" s="51"/>
      <c r="L108" s="176"/>
      <c r="M108" s="151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ht="15.75" customHeight="1">
      <c r="A109" s="149"/>
      <c r="B109" s="45" t="s">
        <v>303</v>
      </c>
      <c r="C109" s="177" t="s">
        <v>152</v>
      </c>
      <c r="D109" s="51">
        <f>'hitung siltap'!M108</f>
        <v>724500000</v>
      </c>
      <c r="E109" s="51">
        <f>ROUND('hitung siltap'!P108,0)</f>
        <v>10077696</v>
      </c>
      <c r="F109" s="51">
        <f>ROUND('hitung siltap'!W108,0)</f>
        <v>60930006</v>
      </c>
      <c r="G109" s="51">
        <f>'hitung siltap'!X108</f>
        <v>120750000</v>
      </c>
      <c r="H109" s="51">
        <v>2.01E8</v>
      </c>
      <c r="I109" s="51">
        <f>'hitung kewenangan kegiatan'!P107</f>
        <v>503107325</v>
      </c>
      <c r="J109" s="51">
        <f t="shared" ref="J109:J112" si="29">H109+I109</f>
        <v>704107325</v>
      </c>
      <c r="K109" s="51">
        <f t="shared" ref="K109:K112" si="30">SUM(D109:G109)+J109</f>
        <v>1620365027</v>
      </c>
      <c r="L109" s="176"/>
      <c r="M109" s="151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ht="15.75" customHeight="1">
      <c r="A110" s="149"/>
      <c r="B110" s="45" t="s">
        <v>304</v>
      </c>
      <c r="C110" s="177" t="s">
        <v>153</v>
      </c>
      <c r="D110" s="51">
        <f>'hitung siltap'!M109</f>
        <v>863700000</v>
      </c>
      <c r="E110" s="51">
        <f>ROUND('hitung siltap'!P109,0)</f>
        <v>10077696</v>
      </c>
      <c r="F110" s="51">
        <f>ROUND('hitung siltap'!W109,0)</f>
        <v>69616086</v>
      </c>
      <c r="G110" s="51">
        <f>'hitung siltap'!X109</f>
        <v>143950000</v>
      </c>
      <c r="H110" s="51">
        <v>2.01E8</v>
      </c>
      <c r="I110" s="51">
        <f>'hitung kewenangan kegiatan'!P108</f>
        <v>491136728</v>
      </c>
      <c r="J110" s="51">
        <f t="shared" si="29"/>
        <v>692136728</v>
      </c>
      <c r="K110" s="51">
        <f t="shared" si="30"/>
        <v>1779480510</v>
      </c>
      <c r="L110" s="176"/>
      <c r="M110" s="151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ht="15.75" customHeight="1">
      <c r="A111" s="149"/>
      <c r="B111" s="45" t="s">
        <v>305</v>
      </c>
      <c r="C111" s="177" t="s">
        <v>154</v>
      </c>
      <c r="D111" s="51">
        <f>'hitung siltap'!M110</f>
        <v>759300000</v>
      </c>
      <c r="E111" s="51">
        <f>ROUND('hitung siltap'!P110,0)</f>
        <v>10077696</v>
      </c>
      <c r="F111" s="51">
        <f>ROUND('hitung siltap'!W110,0)</f>
        <v>63101526</v>
      </c>
      <c r="G111" s="51">
        <f>'hitung siltap'!X110</f>
        <v>126550000</v>
      </c>
      <c r="H111" s="51">
        <v>1.578E8</v>
      </c>
      <c r="I111" s="51">
        <f>'hitung kewenangan kegiatan'!P109</f>
        <v>535715550</v>
      </c>
      <c r="J111" s="51">
        <f t="shared" si="29"/>
        <v>693515550</v>
      </c>
      <c r="K111" s="51">
        <f t="shared" si="30"/>
        <v>1652544772</v>
      </c>
      <c r="L111" s="176"/>
      <c r="M111" s="151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ht="15.75" customHeight="1">
      <c r="A112" s="149"/>
      <c r="B112" s="45" t="s">
        <v>306</v>
      </c>
      <c r="C112" s="177" t="s">
        <v>155</v>
      </c>
      <c r="D112" s="51">
        <f>'hitung siltap'!M111</f>
        <v>759300000</v>
      </c>
      <c r="E112" s="51">
        <f>ROUND('hitung siltap'!P111,0)</f>
        <v>10077696</v>
      </c>
      <c r="F112" s="51">
        <f>ROUND('hitung siltap'!W111,0)</f>
        <v>63101526</v>
      </c>
      <c r="G112" s="51">
        <f>'hitung siltap'!X111</f>
        <v>126550000</v>
      </c>
      <c r="H112" s="51">
        <v>2.01E8</v>
      </c>
      <c r="I112" s="51">
        <f>'hitung kewenangan kegiatan'!P110</f>
        <v>681459833</v>
      </c>
      <c r="J112" s="51">
        <f t="shared" si="29"/>
        <v>882459833</v>
      </c>
      <c r="K112" s="51">
        <f t="shared" si="30"/>
        <v>1841489055</v>
      </c>
      <c r="L112" s="176"/>
      <c r="M112" s="151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ht="15.75" customHeight="1">
      <c r="A113" s="149"/>
      <c r="B113" s="45" t="s">
        <v>156</v>
      </c>
      <c r="C113" s="177" t="s">
        <v>157</v>
      </c>
      <c r="D113" s="51"/>
      <c r="E113" s="51"/>
      <c r="F113" s="51"/>
      <c r="G113" s="51"/>
      <c r="H113" s="51"/>
      <c r="I113" s="51"/>
      <c r="J113" s="51"/>
      <c r="K113" s="51"/>
      <c r="L113" s="176"/>
      <c r="M113" s="151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ht="15.75" customHeight="1">
      <c r="A114" s="149"/>
      <c r="B114" s="45" t="s">
        <v>307</v>
      </c>
      <c r="C114" s="177" t="s">
        <v>158</v>
      </c>
      <c r="D114" s="51">
        <f>'hitung siltap'!M113</f>
        <v>863700000</v>
      </c>
      <c r="E114" s="51">
        <f>ROUND('hitung siltap'!P113,0)</f>
        <v>10077696</v>
      </c>
      <c r="F114" s="51">
        <f>ROUND('hitung siltap'!W113,0)</f>
        <v>69616086</v>
      </c>
      <c r="G114" s="51">
        <f>'hitung siltap'!X113</f>
        <v>143950000</v>
      </c>
      <c r="H114" s="51">
        <v>2.01E8</v>
      </c>
      <c r="I114" s="51">
        <f>'hitung kewenangan kegiatan'!P113</f>
        <v>587644429</v>
      </c>
      <c r="J114" s="51">
        <f t="shared" ref="J114:J118" si="31">H114+I114</f>
        <v>788644429</v>
      </c>
      <c r="K114" s="51">
        <f t="shared" ref="K114:K118" si="32">SUM(D114:G114)+J114</f>
        <v>1875988211</v>
      </c>
      <c r="L114" s="176"/>
      <c r="M114" s="151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ht="15.75" customHeight="1">
      <c r="A115" s="149"/>
      <c r="B115" s="45" t="s">
        <v>308</v>
      </c>
      <c r="C115" s="177" t="s">
        <v>159</v>
      </c>
      <c r="D115" s="51">
        <f>'hitung siltap'!M114</f>
        <v>724500000</v>
      </c>
      <c r="E115" s="51">
        <f>ROUND('hitung siltap'!P114,0)</f>
        <v>10077696</v>
      </c>
      <c r="F115" s="51">
        <f>ROUND('hitung siltap'!W114,0)</f>
        <v>60930006</v>
      </c>
      <c r="G115" s="51">
        <f>'hitung siltap'!X114</f>
        <v>120750000</v>
      </c>
      <c r="H115" s="51">
        <v>1.578E8</v>
      </c>
      <c r="I115" s="51">
        <f>'hitung kewenangan kegiatan'!P114</f>
        <v>411336329</v>
      </c>
      <c r="J115" s="51">
        <f t="shared" si="31"/>
        <v>569136329</v>
      </c>
      <c r="K115" s="51">
        <f t="shared" si="32"/>
        <v>1485394031</v>
      </c>
      <c r="L115" s="176"/>
      <c r="M115" s="151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ht="15.75" customHeight="1">
      <c r="A116" s="149"/>
      <c r="B116" s="45" t="s">
        <v>309</v>
      </c>
      <c r="C116" s="177" t="s">
        <v>160</v>
      </c>
      <c r="D116" s="51">
        <f>'hitung siltap'!M115</f>
        <v>689700000</v>
      </c>
      <c r="E116" s="51">
        <f>ROUND('hitung siltap'!P115,0)</f>
        <v>10077696</v>
      </c>
      <c r="F116" s="51">
        <f>ROUND('hitung siltap'!W115,0)</f>
        <v>58758486</v>
      </c>
      <c r="G116" s="51">
        <f>'hitung siltap'!X115</f>
        <v>114950000</v>
      </c>
      <c r="H116" s="51">
        <v>1.578E8</v>
      </c>
      <c r="I116" s="51">
        <f>'hitung kewenangan kegiatan'!P115</f>
        <v>349208003</v>
      </c>
      <c r="J116" s="51">
        <f t="shared" si="31"/>
        <v>507008003</v>
      </c>
      <c r="K116" s="51">
        <f t="shared" si="32"/>
        <v>1380494185</v>
      </c>
      <c r="L116" s="176"/>
      <c r="M116" s="151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ht="15.75" customHeight="1">
      <c r="A117" s="149"/>
      <c r="B117" s="45" t="s">
        <v>310</v>
      </c>
      <c r="C117" s="177" t="s">
        <v>161</v>
      </c>
      <c r="D117" s="51">
        <f>'hitung siltap'!M116</f>
        <v>654900000</v>
      </c>
      <c r="E117" s="51">
        <f>ROUND('hitung siltap'!P116,0)</f>
        <v>10077696</v>
      </c>
      <c r="F117" s="51">
        <f>ROUND('hitung siltap'!W116,0)</f>
        <v>56586966</v>
      </c>
      <c r="G117" s="51">
        <f>'hitung siltap'!X116</f>
        <v>109150000</v>
      </c>
      <c r="H117" s="51">
        <v>1.578E8</v>
      </c>
      <c r="I117" s="51">
        <f>'hitung kewenangan kegiatan'!P116</f>
        <v>258481962</v>
      </c>
      <c r="J117" s="51">
        <f t="shared" si="31"/>
        <v>416281962</v>
      </c>
      <c r="K117" s="51">
        <f t="shared" si="32"/>
        <v>1246996624</v>
      </c>
      <c r="L117" s="176"/>
      <c r="M117" s="151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ht="15.75" customHeight="1">
      <c r="A118" s="149"/>
      <c r="B118" s="45" t="s">
        <v>311</v>
      </c>
      <c r="C118" s="177" t="s">
        <v>162</v>
      </c>
      <c r="D118" s="51">
        <f>'hitung siltap'!M117</f>
        <v>724500000</v>
      </c>
      <c r="E118" s="51">
        <f>ROUND('hitung siltap'!P117,0)</f>
        <v>10077696</v>
      </c>
      <c r="F118" s="51">
        <f>ROUND('hitung siltap'!W117,0)</f>
        <v>60930006</v>
      </c>
      <c r="G118" s="51">
        <f>'hitung siltap'!X117</f>
        <v>120750000</v>
      </c>
      <c r="H118" s="51">
        <v>2.01E8</v>
      </c>
      <c r="I118" s="51">
        <f>'hitung kewenangan kegiatan'!P117</f>
        <v>514818541</v>
      </c>
      <c r="J118" s="51">
        <f t="shared" si="31"/>
        <v>715818541</v>
      </c>
      <c r="K118" s="51">
        <f t="shared" si="32"/>
        <v>1632076243</v>
      </c>
      <c r="L118" s="176"/>
      <c r="M118" s="151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ht="15.75" customHeight="1">
      <c r="A119" s="149"/>
      <c r="B119" s="45" t="s">
        <v>163</v>
      </c>
      <c r="C119" s="177" t="s">
        <v>164</v>
      </c>
      <c r="D119" s="51"/>
      <c r="E119" s="51"/>
      <c r="F119" s="51"/>
      <c r="G119" s="51"/>
      <c r="H119" s="51"/>
      <c r="I119" s="51"/>
      <c r="J119" s="51"/>
      <c r="K119" s="51"/>
      <c r="L119" s="176"/>
      <c r="M119" s="151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ht="15.75" customHeight="1">
      <c r="A120" s="149"/>
      <c r="B120" s="45" t="s">
        <v>312</v>
      </c>
      <c r="C120" s="178" t="s">
        <v>165</v>
      </c>
      <c r="D120" s="51">
        <f>'hitung siltap'!M119</f>
        <v>1072500000</v>
      </c>
      <c r="E120" s="51">
        <f>ROUND('hitung siltap'!P119,0)</f>
        <v>10077696</v>
      </c>
      <c r="F120" s="51">
        <f>ROUND('hitung siltap'!W119,0)</f>
        <v>82645206</v>
      </c>
      <c r="G120" s="51">
        <f>'hitung siltap'!X119</f>
        <v>178750000</v>
      </c>
      <c r="H120" s="51">
        <v>1.578E8</v>
      </c>
      <c r="I120" s="51">
        <f>'hitung kewenangan kegiatan'!P120</f>
        <v>564102831</v>
      </c>
      <c r="J120" s="51">
        <f t="shared" ref="J120:J124" si="33">H120+I120</f>
        <v>721902831</v>
      </c>
      <c r="K120" s="51">
        <f t="shared" ref="K120:K124" si="34">SUM(D120:G120)+J120</f>
        <v>2065875733</v>
      </c>
      <c r="L120" s="176"/>
      <c r="M120" s="151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ht="15.75" customHeight="1">
      <c r="A121" s="149"/>
      <c r="B121" s="45" t="s">
        <v>313</v>
      </c>
      <c r="C121" s="178" t="s">
        <v>166</v>
      </c>
      <c r="D121" s="51">
        <f>'hitung siltap'!M120</f>
        <v>1142100000</v>
      </c>
      <c r="E121" s="51">
        <f>ROUND('hitung siltap'!P120,0)</f>
        <v>10077696</v>
      </c>
      <c r="F121" s="51">
        <f>ROUND('hitung siltap'!W120,0)</f>
        <v>86988246</v>
      </c>
      <c r="G121" s="51">
        <f>'hitung siltap'!X120</f>
        <v>190350000</v>
      </c>
      <c r="H121" s="51">
        <v>2.01E8</v>
      </c>
      <c r="I121" s="51">
        <f>'hitung kewenangan kegiatan'!P121</f>
        <v>715888648</v>
      </c>
      <c r="J121" s="51">
        <f t="shared" si="33"/>
        <v>916888648</v>
      </c>
      <c r="K121" s="51">
        <f t="shared" si="34"/>
        <v>2346404590</v>
      </c>
      <c r="L121" s="176"/>
      <c r="M121" s="151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ht="15.75" customHeight="1">
      <c r="A122" s="149"/>
      <c r="B122" s="45" t="s">
        <v>314</v>
      </c>
      <c r="C122" s="177" t="s">
        <v>167</v>
      </c>
      <c r="D122" s="51">
        <f>'hitung siltap'!M121</f>
        <v>654900000</v>
      </c>
      <c r="E122" s="51">
        <f>ROUND('hitung siltap'!P121,0)</f>
        <v>10077696</v>
      </c>
      <c r="F122" s="51">
        <f>ROUND('hitung siltap'!W121,0)</f>
        <v>56586966</v>
      </c>
      <c r="G122" s="51">
        <f>'hitung siltap'!X121</f>
        <v>109150000</v>
      </c>
      <c r="H122" s="51">
        <v>1.146E8</v>
      </c>
      <c r="I122" s="51">
        <f>'hitung kewenangan kegiatan'!P122</f>
        <v>375129622</v>
      </c>
      <c r="J122" s="51">
        <f t="shared" si="33"/>
        <v>489729622</v>
      </c>
      <c r="K122" s="51">
        <f t="shared" si="34"/>
        <v>1320444284</v>
      </c>
      <c r="L122" s="176"/>
      <c r="M122" s="151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ht="15.75" customHeight="1">
      <c r="A123" s="149"/>
      <c r="B123" s="45" t="s">
        <v>315</v>
      </c>
      <c r="C123" s="177" t="s">
        <v>168</v>
      </c>
      <c r="D123" s="51">
        <f>'hitung siltap'!M122</f>
        <v>585300000</v>
      </c>
      <c r="E123" s="51">
        <f>ROUND('hitung siltap'!P122,0)</f>
        <v>10077696</v>
      </c>
      <c r="F123" s="51">
        <f>ROUND('hitung siltap'!W122,0)</f>
        <v>52243926</v>
      </c>
      <c r="G123" s="51">
        <f>'hitung siltap'!X122</f>
        <v>97550000</v>
      </c>
      <c r="H123" s="51">
        <v>1.146E8</v>
      </c>
      <c r="I123" s="51">
        <f>'hitung kewenangan kegiatan'!P123</f>
        <v>346417153</v>
      </c>
      <c r="J123" s="51">
        <f t="shared" si="33"/>
        <v>461017153</v>
      </c>
      <c r="K123" s="51">
        <f t="shared" si="34"/>
        <v>1206188775</v>
      </c>
      <c r="L123" s="176"/>
      <c r="M123" s="151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ht="15.75" customHeight="1">
      <c r="A124" s="149"/>
      <c r="B124" s="45" t="s">
        <v>316</v>
      </c>
      <c r="C124" s="177" t="s">
        <v>169</v>
      </c>
      <c r="D124" s="51">
        <f>'hitung siltap'!M123</f>
        <v>620100000</v>
      </c>
      <c r="E124" s="51">
        <f>ROUND('hitung siltap'!P123,0)</f>
        <v>10077696</v>
      </c>
      <c r="F124" s="51">
        <f>ROUND('hitung siltap'!W123,0)</f>
        <v>54415446</v>
      </c>
      <c r="G124" s="51">
        <f>'hitung siltap'!X123</f>
        <v>103350000</v>
      </c>
      <c r="H124" s="51">
        <v>1.578E8</v>
      </c>
      <c r="I124" s="51">
        <f>'hitung kewenangan kegiatan'!P124</f>
        <v>380637896</v>
      </c>
      <c r="J124" s="51">
        <f t="shared" si="33"/>
        <v>538437896</v>
      </c>
      <c r="K124" s="51">
        <f t="shared" si="34"/>
        <v>1326381038</v>
      </c>
      <c r="L124" s="176"/>
      <c r="M124" s="151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ht="15.75" customHeight="1">
      <c r="A125" s="29"/>
      <c r="B125" s="36" t="s">
        <v>317</v>
      </c>
      <c r="C125" s="34"/>
      <c r="D125" s="185">
        <f t="shared" ref="D125:K125" si="35">SUM(D23:D124)</f>
        <v>68571000000</v>
      </c>
      <c r="E125" s="185">
        <f t="shared" si="35"/>
        <v>866681856</v>
      </c>
      <c r="F125" s="185">
        <f t="shared" si="35"/>
        <v>5630854116</v>
      </c>
      <c r="G125" s="185">
        <f t="shared" si="35"/>
        <v>11428500000</v>
      </c>
      <c r="H125" s="185">
        <f t="shared" si="35"/>
        <v>15774000000</v>
      </c>
      <c r="I125" s="185">
        <f t="shared" si="35"/>
        <v>44135754834</v>
      </c>
      <c r="J125" s="185">
        <f t="shared" si="35"/>
        <v>59909754834</v>
      </c>
      <c r="K125" s="185">
        <f t="shared" si="35"/>
        <v>146406790806</v>
      </c>
      <c r="L125" s="186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149"/>
      <c r="B126" s="187"/>
      <c r="C126" s="187"/>
      <c r="D126" s="176"/>
      <c r="E126" s="176"/>
      <c r="F126" s="176"/>
      <c r="G126" s="176"/>
      <c r="H126" s="176"/>
      <c r="I126" s="176"/>
      <c r="J126" s="176"/>
      <c r="K126" s="176"/>
      <c r="L126" s="176"/>
      <c r="M126" s="151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ht="15.75" customHeight="1">
      <c r="A127" s="149"/>
      <c r="B127" s="187"/>
      <c r="C127" s="187"/>
      <c r="D127" s="176"/>
      <c r="E127" s="176"/>
      <c r="F127" s="176"/>
      <c r="G127" s="176"/>
      <c r="H127" s="176"/>
      <c r="I127" s="176"/>
      <c r="J127" s="176"/>
      <c r="K127" s="176"/>
      <c r="L127" s="176"/>
      <c r="M127" s="151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ht="15.75" customHeight="1">
      <c r="A128" s="149"/>
      <c r="B128" s="187"/>
      <c r="C128" s="187"/>
      <c r="D128" s="176"/>
      <c r="E128" s="176"/>
      <c r="F128" s="176"/>
      <c r="G128" s="176"/>
      <c r="H128" s="176"/>
      <c r="I128" s="51" t="s">
        <v>5</v>
      </c>
      <c r="J128" s="51"/>
      <c r="K128" s="51"/>
      <c r="L128" s="176"/>
      <c r="M128" s="151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45.0" customHeight="1">
      <c r="A129" s="149"/>
      <c r="B129" s="187"/>
      <c r="C129" s="187"/>
      <c r="D129" s="176"/>
      <c r="E129" s="176"/>
      <c r="F129" s="176"/>
      <c r="G129" s="176"/>
      <c r="H129" s="176"/>
      <c r="I129" s="188" t="s">
        <v>318</v>
      </c>
      <c r="J129" s="188"/>
      <c r="K129" s="51">
        <v>1.464067908E11</v>
      </c>
      <c r="L129" s="176"/>
      <c r="M129" s="151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30.0" customHeight="1">
      <c r="A130" s="149"/>
      <c r="B130" s="187"/>
      <c r="C130" s="187"/>
      <c r="D130" s="176"/>
      <c r="E130" s="176"/>
      <c r="F130" s="176"/>
      <c r="G130" s="176"/>
      <c r="H130" s="176"/>
      <c r="I130" s="188" t="s">
        <v>319</v>
      </c>
      <c r="J130" s="188"/>
      <c r="K130" s="189"/>
      <c r="L130" s="176"/>
      <c r="M130" s="151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5.75" customHeight="1">
      <c r="A131" s="149"/>
      <c r="B131" s="187"/>
      <c r="C131" s="187"/>
      <c r="D131" s="176"/>
      <c r="E131" s="176"/>
      <c r="F131" s="176"/>
      <c r="G131" s="176" t="s">
        <v>212</v>
      </c>
      <c r="H131" s="176">
        <f>K131-K125</f>
        <v>-6</v>
      </c>
      <c r="I131" s="190"/>
      <c r="J131" s="190"/>
      <c r="K131" s="190">
        <f>SUM(K129:K130)</f>
        <v>146406790800</v>
      </c>
      <c r="L131" s="176"/>
      <c r="M131" s="151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5.75" customHeight="1">
      <c r="A132" s="149"/>
      <c r="B132" s="187"/>
      <c r="C132" s="176"/>
      <c r="D132" s="149"/>
      <c r="E132" s="176"/>
      <c r="F132" s="176"/>
      <c r="G132" s="176"/>
      <c r="H132" s="176"/>
      <c r="I132" s="176"/>
      <c r="J132" s="176"/>
      <c r="K132" s="176"/>
      <c r="L132" s="176"/>
      <c r="M132" s="151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5.75" customHeight="1">
      <c r="A133" s="149"/>
      <c r="B133" s="187"/>
      <c r="C133" s="176"/>
      <c r="D133" s="151"/>
      <c r="E133" s="176"/>
      <c r="F133" s="176"/>
      <c r="G133" s="176"/>
      <c r="H133" s="176"/>
      <c r="I133" s="176" t="s">
        <v>320</v>
      </c>
      <c r="J133" s="176"/>
      <c r="K133" s="176">
        <f>K131</f>
        <v>146406790800</v>
      </c>
      <c r="L133" s="176"/>
      <c r="M133" s="151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5.75" customHeight="1">
      <c r="A134" s="149"/>
      <c r="B134" s="187"/>
      <c r="C134" s="176"/>
      <c r="D134" s="151"/>
      <c r="E134" s="176"/>
      <c r="F134" s="176"/>
      <c r="G134" s="176"/>
      <c r="H134" s="176"/>
      <c r="I134" s="176" t="s">
        <v>321</v>
      </c>
      <c r="J134" s="176"/>
      <c r="K134" s="176"/>
      <c r="L134" s="176"/>
      <c r="M134" s="151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5.75" customHeight="1">
      <c r="A135" s="149"/>
      <c r="B135" s="187"/>
      <c r="C135" s="176"/>
      <c r="D135" s="151"/>
      <c r="E135" s="176"/>
      <c r="F135" s="176"/>
      <c r="G135" s="176"/>
      <c r="H135" s="176"/>
      <c r="I135" s="176" t="s">
        <v>322</v>
      </c>
      <c r="J135" s="176"/>
      <c r="K135" s="176">
        <f>D125</f>
        <v>68571000000</v>
      </c>
      <c r="L135" s="176"/>
      <c r="M135" s="151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5.75" customHeight="1">
      <c r="A136" s="149"/>
      <c r="B136" s="187"/>
      <c r="C136" s="176"/>
      <c r="D136" s="151"/>
      <c r="E136" s="176"/>
      <c r="F136" s="176"/>
      <c r="G136" s="176"/>
      <c r="H136" s="176"/>
      <c r="I136" s="176" t="s">
        <v>323</v>
      </c>
      <c r="J136" s="176"/>
      <c r="K136" s="176">
        <f>E125</f>
        <v>866681856</v>
      </c>
      <c r="L136" s="176"/>
      <c r="M136" s="151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5.75" customHeight="1">
      <c r="A137" s="149"/>
      <c r="B137" s="187"/>
      <c r="C137" s="176"/>
      <c r="D137" s="191"/>
      <c r="E137" s="176"/>
      <c r="F137" s="176"/>
      <c r="G137" s="176"/>
      <c r="H137" s="176"/>
      <c r="I137" s="176" t="s">
        <v>324</v>
      </c>
      <c r="J137" s="176"/>
      <c r="K137" s="176">
        <f>F125</f>
        <v>5630854116</v>
      </c>
      <c r="L137" s="176"/>
      <c r="M137" s="151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5.75" customHeight="1">
      <c r="A138" s="149"/>
      <c r="B138" s="187"/>
      <c r="C138" s="176"/>
      <c r="D138" s="151"/>
      <c r="E138" s="176"/>
      <c r="F138" s="176"/>
      <c r="G138" s="176"/>
      <c r="H138" s="176"/>
      <c r="I138" s="176" t="s">
        <v>325</v>
      </c>
      <c r="J138" s="176"/>
      <c r="K138" s="176">
        <f>G125</f>
        <v>11428500000</v>
      </c>
      <c r="L138" s="176"/>
      <c r="M138" s="151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5.75" customHeight="1">
      <c r="A139" s="149"/>
      <c r="B139" s="187"/>
      <c r="C139" s="176"/>
      <c r="D139" s="151"/>
      <c r="E139" s="151"/>
      <c r="F139" s="176"/>
      <c r="G139" s="176"/>
      <c r="H139" s="176"/>
      <c r="I139" s="176"/>
      <c r="J139" s="176"/>
      <c r="K139" s="176">
        <f>SUM(K135:K138)</f>
        <v>86497035972</v>
      </c>
      <c r="L139" s="176"/>
      <c r="M139" s="151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5.75" customHeight="1">
      <c r="A140" s="149"/>
      <c r="B140" s="187"/>
      <c r="C140" s="187"/>
      <c r="D140" s="176"/>
      <c r="E140" s="176"/>
      <c r="F140" s="176"/>
      <c r="G140" s="176"/>
      <c r="H140" s="176"/>
      <c r="I140" s="176" t="s">
        <v>326</v>
      </c>
      <c r="J140" s="176"/>
      <c r="K140" s="176"/>
      <c r="L140" s="176"/>
      <c r="M140" s="151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5.75" customHeight="1">
      <c r="A141" s="149"/>
      <c r="B141" s="57"/>
      <c r="C141" s="192"/>
      <c r="D141" s="176"/>
      <c r="E141" s="176"/>
      <c r="F141" s="176"/>
      <c r="G141" s="176"/>
      <c r="H141" s="176"/>
      <c r="I141" s="176" t="s">
        <v>327</v>
      </c>
      <c r="J141" s="176"/>
      <c r="K141" s="176">
        <v>1.5774E10</v>
      </c>
      <c r="L141" s="176"/>
      <c r="M141" s="151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5.75" customHeight="1">
      <c r="A142" s="149"/>
      <c r="B142" s="57"/>
      <c r="C142" s="149"/>
      <c r="D142" s="176"/>
      <c r="E142" s="176"/>
      <c r="F142" s="176"/>
      <c r="G142" s="176"/>
      <c r="H142" s="176"/>
      <c r="I142" s="193" t="s">
        <v>328</v>
      </c>
      <c r="J142" s="193"/>
      <c r="K142" s="176">
        <f>K133-K139-K141</f>
        <v>44135754828</v>
      </c>
      <c r="L142" s="176"/>
      <c r="M142" s="151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5.75" customHeight="1">
      <c r="A143" s="149"/>
      <c r="B143" s="57"/>
      <c r="C143" s="149"/>
      <c r="D143" s="176"/>
      <c r="E143" s="176"/>
      <c r="F143" s="176"/>
      <c r="G143" s="176"/>
      <c r="H143" s="176"/>
      <c r="I143" s="194"/>
      <c r="J143" s="194"/>
      <c r="K143" s="149"/>
      <c r="L143" s="149"/>
      <c r="M143" s="151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5.75" customHeight="1">
      <c r="A144" s="149"/>
      <c r="B144" s="57"/>
      <c r="C144" s="149"/>
      <c r="D144" s="149"/>
      <c r="E144" s="151"/>
      <c r="F144" s="176"/>
      <c r="G144" s="176"/>
      <c r="H144" s="176"/>
      <c r="I144" s="193"/>
      <c r="J144" s="194"/>
      <c r="K144" s="176"/>
      <c r="L144" s="176"/>
      <c r="M144" s="151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5.75" customHeight="1">
      <c r="A145" s="149"/>
      <c r="B145" s="57"/>
      <c r="C145" s="149"/>
      <c r="D145" s="176"/>
      <c r="E145" s="176"/>
      <c r="F145" s="176"/>
      <c r="G145" s="176"/>
      <c r="H145" s="176"/>
      <c r="I145" s="194"/>
      <c r="J145" s="194"/>
      <c r="K145" s="176"/>
      <c r="L145" s="176"/>
      <c r="M145" s="151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5.75" customHeight="1">
      <c r="A146" s="149"/>
      <c r="B146" s="57"/>
      <c r="C146" s="149"/>
      <c r="D146" s="176"/>
      <c r="E146" s="149"/>
      <c r="F146" s="149"/>
      <c r="G146" s="149"/>
      <c r="H146" s="149"/>
      <c r="I146" s="176"/>
      <c r="J146" s="176"/>
      <c r="K146" s="176"/>
      <c r="L146" s="176"/>
      <c r="M146" s="151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5.75" customHeight="1">
      <c r="A147" s="149"/>
      <c r="B147" s="57"/>
      <c r="C147" s="149"/>
      <c r="D147" s="176"/>
      <c r="E147" s="149"/>
      <c r="F147" s="149"/>
      <c r="G147" s="149"/>
      <c r="H147" s="149"/>
      <c r="I147" s="176"/>
      <c r="J147" s="176"/>
      <c r="K147" s="176"/>
      <c r="L147" s="176"/>
      <c r="M147" s="151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5.75" customHeight="1">
      <c r="A148" s="149"/>
      <c r="B148" s="57"/>
      <c r="C148" s="149"/>
      <c r="D148" s="176"/>
      <c r="E148" s="149"/>
      <c r="F148" s="149"/>
      <c r="G148" s="149"/>
      <c r="H148" s="149"/>
      <c r="I148" s="176"/>
      <c r="J148" s="176"/>
      <c r="K148" s="176"/>
      <c r="L148" s="176"/>
      <c r="M148" s="151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5.75" customHeight="1">
      <c r="A149" s="149"/>
      <c r="B149" s="57"/>
      <c r="C149" s="149"/>
      <c r="D149" s="176"/>
      <c r="E149" s="149"/>
      <c r="F149" s="149"/>
      <c r="G149" s="149"/>
      <c r="H149" s="149"/>
      <c r="I149" s="176"/>
      <c r="J149" s="176"/>
      <c r="K149" s="176"/>
      <c r="L149" s="176"/>
      <c r="M149" s="151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5.75" customHeight="1">
      <c r="A150" s="149"/>
      <c r="B150" s="57"/>
      <c r="C150" s="149"/>
      <c r="D150" s="176"/>
      <c r="E150" s="149"/>
      <c r="F150" s="149"/>
      <c r="G150" s="149"/>
      <c r="H150" s="149"/>
      <c r="I150" s="176"/>
      <c r="J150" s="176"/>
      <c r="K150" s="176"/>
      <c r="L150" s="176"/>
      <c r="M150" s="151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5.75" customHeight="1">
      <c r="A151" s="149"/>
      <c r="B151" s="57"/>
      <c r="C151" s="149"/>
      <c r="D151" s="176"/>
      <c r="E151" s="149"/>
      <c r="F151" s="149"/>
      <c r="G151" s="149"/>
      <c r="H151" s="149"/>
      <c r="I151" s="176"/>
      <c r="J151" s="176"/>
      <c r="K151" s="176"/>
      <c r="L151" s="176"/>
      <c r="M151" s="151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5.75" customHeight="1">
      <c r="A152" s="149"/>
      <c r="B152" s="57"/>
      <c r="C152" s="149"/>
      <c r="D152" s="176"/>
      <c r="E152" s="149"/>
      <c r="F152" s="149"/>
      <c r="G152" s="149"/>
      <c r="H152" s="149"/>
      <c r="I152" s="176"/>
      <c r="J152" s="176"/>
      <c r="K152" s="176"/>
      <c r="L152" s="176"/>
      <c r="M152" s="151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5.75" customHeight="1">
      <c r="A153" s="149"/>
      <c r="B153" s="57"/>
      <c r="C153" s="149"/>
      <c r="D153" s="176"/>
      <c r="E153" s="149"/>
      <c r="F153" s="149"/>
      <c r="G153" s="149"/>
      <c r="H153" s="149"/>
      <c r="I153" s="176"/>
      <c r="J153" s="176"/>
      <c r="K153" s="176"/>
      <c r="L153" s="176"/>
      <c r="M153" s="151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5.75" customHeight="1">
      <c r="A154" s="149"/>
      <c r="B154" s="57"/>
      <c r="C154" s="149"/>
      <c r="D154" s="176"/>
      <c r="E154" s="149"/>
      <c r="F154" s="149"/>
      <c r="G154" s="149"/>
      <c r="H154" s="149"/>
      <c r="I154" s="176"/>
      <c r="J154" s="176"/>
      <c r="K154" s="176"/>
      <c r="L154" s="176"/>
      <c r="M154" s="151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5.75" customHeight="1">
      <c r="A155" s="149"/>
      <c r="B155" s="57"/>
      <c r="C155" s="149"/>
      <c r="D155" s="176"/>
      <c r="E155" s="149"/>
      <c r="F155" s="149"/>
      <c r="G155" s="149"/>
      <c r="H155" s="149"/>
      <c r="I155" s="176"/>
      <c r="J155" s="176"/>
      <c r="K155" s="176"/>
      <c r="L155" s="176"/>
      <c r="M155" s="151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5.75" customHeight="1">
      <c r="A156" s="149"/>
      <c r="B156" s="57"/>
      <c r="C156" s="149"/>
      <c r="D156" s="176"/>
      <c r="E156" s="149"/>
      <c r="F156" s="149"/>
      <c r="G156" s="149"/>
      <c r="H156" s="149"/>
      <c r="I156" s="176"/>
      <c r="J156" s="176"/>
      <c r="K156" s="176"/>
      <c r="L156" s="176"/>
      <c r="M156" s="151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5.75" customHeight="1">
      <c r="A157" s="149"/>
      <c r="B157" s="57"/>
      <c r="C157" s="149"/>
      <c r="D157" s="176"/>
      <c r="E157" s="149"/>
      <c r="F157" s="149"/>
      <c r="G157" s="149"/>
      <c r="H157" s="149"/>
      <c r="I157" s="176"/>
      <c r="J157" s="176"/>
      <c r="K157" s="176"/>
      <c r="L157" s="176"/>
      <c r="M157" s="151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5.75" customHeight="1">
      <c r="A158" s="149"/>
      <c r="B158" s="57"/>
      <c r="C158" s="149"/>
      <c r="D158" s="176"/>
      <c r="E158" s="149"/>
      <c r="F158" s="149"/>
      <c r="G158" s="149"/>
      <c r="H158" s="149"/>
      <c r="I158" s="176"/>
      <c r="J158" s="176"/>
      <c r="K158" s="176"/>
      <c r="L158" s="176"/>
      <c r="M158" s="151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5.75" customHeight="1">
      <c r="A159" s="149"/>
      <c r="B159" s="57"/>
      <c r="C159" s="149"/>
      <c r="D159" s="176"/>
      <c r="E159" s="149"/>
      <c r="F159" s="149"/>
      <c r="G159" s="149"/>
      <c r="H159" s="149"/>
      <c r="I159" s="176"/>
      <c r="J159" s="176"/>
      <c r="K159" s="176"/>
      <c r="L159" s="176"/>
      <c r="M159" s="151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5.75" customHeight="1">
      <c r="A160" s="149"/>
      <c r="B160" s="57"/>
      <c r="C160" s="149"/>
      <c r="D160" s="176"/>
      <c r="E160" s="149"/>
      <c r="F160" s="149"/>
      <c r="G160" s="149"/>
      <c r="H160" s="149"/>
      <c r="I160" s="176"/>
      <c r="J160" s="176"/>
      <c r="K160" s="176"/>
      <c r="L160" s="176"/>
      <c r="M160" s="151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5.75" customHeight="1">
      <c r="A161" s="149"/>
      <c r="B161" s="57"/>
      <c r="C161" s="149"/>
      <c r="D161" s="176"/>
      <c r="E161" s="149"/>
      <c r="F161" s="149"/>
      <c r="G161" s="149"/>
      <c r="H161" s="149"/>
      <c r="I161" s="176"/>
      <c r="J161" s="176"/>
      <c r="K161" s="176"/>
      <c r="L161" s="176"/>
      <c r="M161" s="151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5.75" customHeight="1">
      <c r="A162" s="149"/>
      <c r="B162" s="57"/>
      <c r="C162" s="149"/>
      <c r="D162" s="176"/>
      <c r="E162" s="149"/>
      <c r="F162" s="149"/>
      <c r="G162" s="149"/>
      <c r="H162" s="149"/>
      <c r="I162" s="176"/>
      <c r="J162" s="176"/>
      <c r="K162" s="176"/>
      <c r="L162" s="176"/>
      <c r="M162" s="151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5.75" customHeight="1">
      <c r="A163" s="149"/>
      <c r="B163" s="57"/>
      <c r="C163" s="149"/>
      <c r="D163" s="176"/>
      <c r="E163" s="149"/>
      <c r="F163" s="149"/>
      <c r="G163" s="149"/>
      <c r="H163" s="149"/>
      <c r="I163" s="176"/>
      <c r="J163" s="176"/>
      <c r="K163" s="176"/>
      <c r="L163" s="176"/>
      <c r="M163" s="151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5.75" customHeight="1">
      <c r="A164" s="149"/>
      <c r="B164" s="57"/>
      <c r="C164" s="149"/>
      <c r="D164" s="176"/>
      <c r="E164" s="149"/>
      <c r="F164" s="149"/>
      <c r="G164" s="149"/>
      <c r="H164" s="149"/>
      <c r="I164" s="176"/>
      <c r="J164" s="176"/>
      <c r="K164" s="176"/>
      <c r="L164" s="176"/>
      <c r="M164" s="151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5.75" customHeight="1">
      <c r="A165" s="149"/>
      <c r="B165" s="57"/>
      <c r="C165" s="149"/>
      <c r="D165" s="176"/>
      <c r="E165" s="149"/>
      <c r="F165" s="149"/>
      <c r="G165" s="149"/>
      <c r="H165" s="149"/>
      <c r="I165" s="176"/>
      <c r="J165" s="176"/>
      <c r="K165" s="176"/>
      <c r="L165" s="176"/>
      <c r="M165" s="151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5.75" customHeight="1">
      <c r="A166" s="149"/>
      <c r="B166" s="57"/>
      <c r="C166" s="149"/>
      <c r="D166" s="176"/>
      <c r="E166" s="149"/>
      <c r="F166" s="149"/>
      <c r="G166" s="149"/>
      <c r="H166" s="149"/>
      <c r="I166" s="176"/>
      <c r="J166" s="176"/>
      <c r="K166" s="176"/>
      <c r="L166" s="176"/>
      <c r="M166" s="151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5.75" customHeight="1">
      <c r="A167" s="149"/>
      <c r="B167" s="57"/>
      <c r="C167" s="149"/>
      <c r="D167" s="176"/>
      <c r="E167" s="149"/>
      <c r="F167" s="149"/>
      <c r="G167" s="149"/>
      <c r="H167" s="149"/>
      <c r="I167" s="176"/>
      <c r="J167" s="176"/>
      <c r="K167" s="176"/>
      <c r="L167" s="176"/>
      <c r="M167" s="151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5.75" customHeight="1">
      <c r="A168" s="149"/>
      <c r="B168" s="57"/>
      <c r="C168" s="149"/>
      <c r="D168" s="176"/>
      <c r="E168" s="149"/>
      <c r="F168" s="149"/>
      <c r="G168" s="149"/>
      <c r="H168" s="149"/>
      <c r="I168" s="176"/>
      <c r="J168" s="176"/>
      <c r="K168" s="176"/>
      <c r="L168" s="176"/>
      <c r="M168" s="151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5.75" customHeight="1">
      <c r="A169" s="149"/>
      <c r="B169" s="57"/>
      <c r="C169" s="149"/>
      <c r="D169" s="176"/>
      <c r="E169" s="149"/>
      <c r="F169" s="149"/>
      <c r="G169" s="149"/>
      <c r="H169" s="149"/>
      <c r="I169" s="176"/>
      <c r="J169" s="176"/>
      <c r="K169" s="176"/>
      <c r="L169" s="176"/>
      <c r="M169" s="151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5.75" customHeight="1">
      <c r="A170" s="149"/>
      <c r="B170" s="57"/>
      <c r="C170" s="149"/>
      <c r="D170" s="176"/>
      <c r="E170" s="149"/>
      <c r="F170" s="149"/>
      <c r="G170" s="149"/>
      <c r="H170" s="149"/>
      <c r="I170" s="176"/>
      <c r="J170" s="176"/>
      <c r="K170" s="176"/>
      <c r="L170" s="176"/>
      <c r="M170" s="151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5.75" customHeight="1">
      <c r="A171" s="149"/>
      <c r="B171" s="57"/>
      <c r="C171" s="149"/>
      <c r="D171" s="176"/>
      <c r="E171" s="149"/>
      <c r="F171" s="149"/>
      <c r="G171" s="149"/>
      <c r="H171" s="149"/>
      <c r="I171" s="176"/>
      <c r="J171" s="176"/>
      <c r="K171" s="176"/>
      <c r="L171" s="176"/>
      <c r="M171" s="151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5.75" customHeight="1">
      <c r="A172" s="149"/>
      <c r="B172" s="57"/>
      <c r="C172" s="149"/>
      <c r="D172" s="176"/>
      <c r="E172" s="149"/>
      <c r="F172" s="149"/>
      <c r="G172" s="149"/>
      <c r="H172" s="149"/>
      <c r="I172" s="176"/>
      <c r="J172" s="176"/>
      <c r="K172" s="176"/>
      <c r="L172" s="176"/>
      <c r="M172" s="151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5.75" customHeight="1">
      <c r="A173" s="149"/>
      <c r="B173" s="57"/>
      <c r="C173" s="149"/>
      <c r="D173" s="176"/>
      <c r="E173" s="149"/>
      <c r="F173" s="149"/>
      <c r="G173" s="149"/>
      <c r="H173" s="149"/>
      <c r="I173" s="176"/>
      <c r="J173" s="176"/>
      <c r="K173" s="176"/>
      <c r="L173" s="176"/>
      <c r="M173" s="151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5.75" customHeight="1">
      <c r="A174" s="149"/>
      <c r="B174" s="57"/>
      <c r="C174" s="149"/>
      <c r="D174" s="176"/>
      <c r="E174" s="149"/>
      <c r="F174" s="149"/>
      <c r="G174" s="149"/>
      <c r="H174" s="149"/>
      <c r="I174" s="176"/>
      <c r="J174" s="176"/>
      <c r="K174" s="176"/>
      <c r="L174" s="176"/>
      <c r="M174" s="151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5.75" customHeight="1">
      <c r="A175" s="149"/>
      <c r="B175" s="57"/>
      <c r="C175" s="149"/>
      <c r="D175" s="176"/>
      <c r="E175" s="149"/>
      <c r="F175" s="149"/>
      <c r="G175" s="149"/>
      <c r="H175" s="149"/>
      <c r="I175" s="176"/>
      <c r="J175" s="176"/>
      <c r="K175" s="176"/>
      <c r="L175" s="176"/>
      <c r="M175" s="151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5.75" customHeight="1">
      <c r="A176" s="149"/>
      <c r="B176" s="57"/>
      <c r="C176" s="149"/>
      <c r="D176" s="176"/>
      <c r="E176" s="149"/>
      <c r="F176" s="149"/>
      <c r="G176" s="149"/>
      <c r="H176" s="149"/>
      <c r="I176" s="176"/>
      <c r="J176" s="176"/>
      <c r="K176" s="176"/>
      <c r="L176" s="176"/>
      <c r="M176" s="151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5.75" customHeight="1">
      <c r="A177" s="149"/>
      <c r="B177" s="57"/>
      <c r="C177" s="149"/>
      <c r="D177" s="176"/>
      <c r="E177" s="149"/>
      <c r="F177" s="149"/>
      <c r="G177" s="149"/>
      <c r="H177" s="149"/>
      <c r="I177" s="176"/>
      <c r="J177" s="176"/>
      <c r="K177" s="176"/>
      <c r="L177" s="176"/>
      <c r="M177" s="151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5.75" customHeight="1">
      <c r="A178" s="149"/>
      <c r="B178" s="57"/>
      <c r="C178" s="149"/>
      <c r="D178" s="176"/>
      <c r="E178" s="149"/>
      <c r="F178" s="149"/>
      <c r="G178" s="149"/>
      <c r="H178" s="149"/>
      <c r="I178" s="176"/>
      <c r="J178" s="176"/>
      <c r="K178" s="176"/>
      <c r="L178" s="176"/>
      <c r="M178" s="151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5.75" customHeight="1">
      <c r="A179" s="149"/>
      <c r="B179" s="57"/>
      <c r="C179" s="149"/>
      <c r="D179" s="176"/>
      <c r="E179" s="149"/>
      <c r="F179" s="149"/>
      <c r="G179" s="149"/>
      <c r="H179" s="149"/>
      <c r="I179" s="176"/>
      <c r="J179" s="176"/>
      <c r="K179" s="176"/>
      <c r="L179" s="176"/>
      <c r="M179" s="151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5.75" customHeight="1">
      <c r="A180" s="149"/>
      <c r="B180" s="57"/>
      <c r="C180" s="149"/>
      <c r="D180" s="176"/>
      <c r="E180" s="149"/>
      <c r="F180" s="149"/>
      <c r="G180" s="149"/>
      <c r="H180" s="149"/>
      <c r="I180" s="176"/>
      <c r="J180" s="176"/>
      <c r="K180" s="176"/>
      <c r="L180" s="176"/>
      <c r="M180" s="151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5.75" customHeight="1">
      <c r="A181" s="149"/>
      <c r="B181" s="57"/>
      <c r="C181" s="149"/>
      <c r="D181" s="176"/>
      <c r="E181" s="149"/>
      <c r="F181" s="149"/>
      <c r="G181" s="149"/>
      <c r="H181" s="149"/>
      <c r="I181" s="176"/>
      <c r="J181" s="176"/>
      <c r="K181" s="176"/>
      <c r="L181" s="176"/>
      <c r="M181" s="151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5.75" customHeight="1">
      <c r="A182" s="149"/>
      <c r="B182" s="57"/>
      <c r="C182" s="149"/>
      <c r="D182" s="176"/>
      <c r="E182" s="149"/>
      <c r="F182" s="149"/>
      <c r="G182" s="149"/>
      <c r="H182" s="149"/>
      <c r="I182" s="176"/>
      <c r="J182" s="176"/>
      <c r="K182" s="176"/>
      <c r="L182" s="176"/>
      <c r="M182" s="151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5.75" customHeight="1">
      <c r="A183" s="149"/>
      <c r="B183" s="57"/>
      <c r="C183" s="149"/>
      <c r="D183" s="176"/>
      <c r="E183" s="149"/>
      <c r="F183" s="149"/>
      <c r="G183" s="149"/>
      <c r="H183" s="149"/>
      <c r="I183" s="176"/>
      <c r="J183" s="176"/>
      <c r="K183" s="176"/>
      <c r="L183" s="176"/>
      <c r="M183" s="151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5.75" customHeight="1">
      <c r="A184" s="149"/>
      <c r="B184" s="57"/>
      <c r="C184" s="149"/>
      <c r="D184" s="176"/>
      <c r="E184" s="149"/>
      <c r="F184" s="149"/>
      <c r="G184" s="149"/>
      <c r="H184" s="149"/>
      <c r="I184" s="176"/>
      <c r="J184" s="176"/>
      <c r="K184" s="176"/>
      <c r="L184" s="176"/>
      <c r="M184" s="151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5.75" customHeight="1">
      <c r="A185" s="149"/>
      <c r="B185" s="57"/>
      <c r="C185" s="149"/>
      <c r="D185" s="176"/>
      <c r="E185" s="149"/>
      <c r="F185" s="149"/>
      <c r="G185" s="149"/>
      <c r="H185" s="149"/>
      <c r="I185" s="176"/>
      <c r="J185" s="176"/>
      <c r="K185" s="176"/>
      <c r="L185" s="176"/>
      <c r="M185" s="151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5.75" customHeight="1">
      <c r="A186" s="149"/>
      <c r="B186" s="57"/>
      <c r="C186" s="149"/>
      <c r="D186" s="176"/>
      <c r="E186" s="149"/>
      <c r="F186" s="149"/>
      <c r="G186" s="149"/>
      <c r="H186" s="149"/>
      <c r="I186" s="176"/>
      <c r="J186" s="176"/>
      <c r="K186" s="176"/>
      <c r="L186" s="176"/>
      <c r="M186" s="151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5.75" customHeight="1">
      <c r="A187" s="149"/>
      <c r="B187" s="57"/>
      <c r="C187" s="149"/>
      <c r="D187" s="176"/>
      <c r="E187" s="149"/>
      <c r="F187" s="149"/>
      <c r="G187" s="149"/>
      <c r="H187" s="149"/>
      <c r="I187" s="176"/>
      <c r="J187" s="176"/>
      <c r="K187" s="176"/>
      <c r="L187" s="176"/>
      <c r="M187" s="151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ht="15.75" customHeight="1">
      <c r="A188" s="149"/>
      <c r="B188" s="57"/>
      <c r="C188" s="149"/>
      <c r="D188" s="176"/>
      <c r="E188" s="149"/>
      <c r="F188" s="149"/>
      <c r="G188" s="149"/>
      <c r="H188" s="149"/>
      <c r="I188" s="176"/>
      <c r="J188" s="176"/>
      <c r="K188" s="176"/>
      <c r="L188" s="176"/>
      <c r="M188" s="151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ht="15.75" customHeight="1">
      <c r="A189" s="149"/>
      <c r="B189" s="57"/>
      <c r="C189" s="149"/>
      <c r="D189" s="176"/>
      <c r="E189" s="149"/>
      <c r="F189" s="149"/>
      <c r="G189" s="149"/>
      <c r="H189" s="149"/>
      <c r="I189" s="176"/>
      <c r="J189" s="176"/>
      <c r="K189" s="176"/>
      <c r="L189" s="176"/>
      <c r="M189" s="151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5.75" customHeight="1">
      <c r="A190" s="149"/>
      <c r="B190" s="57"/>
      <c r="C190" s="149"/>
      <c r="D190" s="176"/>
      <c r="E190" s="149"/>
      <c r="F190" s="149"/>
      <c r="G190" s="149"/>
      <c r="H190" s="149"/>
      <c r="I190" s="176"/>
      <c r="J190" s="176"/>
      <c r="K190" s="176"/>
      <c r="L190" s="176"/>
      <c r="M190" s="151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5.75" customHeight="1">
      <c r="A191" s="149"/>
      <c r="B191" s="57"/>
      <c r="C191" s="149"/>
      <c r="D191" s="176"/>
      <c r="E191" s="149"/>
      <c r="F191" s="149"/>
      <c r="G191" s="149"/>
      <c r="H191" s="149"/>
      <c r="I191" s="176"/>
      <c r="J191" s="176"/>
      <c r="K191" s="176"/>
      <c r="L191" s="176"/>
      <c r="M191" s="151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ht="15.75" customHeight="1">
      <c r="A192" s="149"/>
      <c r="B192" s="57"/>
      <c r="C192" s="149"/>
      <c r="D192" s="176"/>
      <c r="E192" s="149"/>
      <c r="F192" s="149"/>
      <c r="G192" s="149"/>
      <c r="H192" s="149"/>
      <c r="I192" s="176"/>
      <c r="J192" s="176"/>
      <c r="K192" s="176"/>
      <c r="L192" s="176"/>
      <c r="M192" s="151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ht="15.75" customHeight="1">
      <c r="A193" s="149"/>
      <c r="B193" s="57"/>
      <c r="C193" s="149"/>
      <c r="D193" s="176"/>
      <c r="E193" s="149"/>
      <c r="F193" s="149"/>
      <c r="G193" s="149"/>
      <c r="H193" s="149"/>
      <c r="I193" s="176"/>
      <c r="J193" s="176"/>
      <c r="K193" s="176"/>
      <c r="L193" s="176"/>
      <c r="M193" s="151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5.75" customHeight="1">
      <c r="A194" s="149"/>
      <c r="B194" s="57"/>
      <c r="C194" s="149"/>
      <c r="D194" s="176"/>
      <c r="E194" s="149"/>
      <c r="F194" s="149"/>
      <c r="G194" s="149"/>
      <c r="H194" s="149"/>
      <c r="I194" s="176"/>
      <c r="J194" s="176"/>
      <c r="K194" s="176"/>
      <c r="L194" s="176"/>
      <c r="M194" s="151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5.75" customHeight="1">
      <c r="A195" s="149"/>
      <c r="B195" s="57"/>
      <c r="C195" s="149"/>
      <c r="D195" s="176"/>
      <c r="E195" s="149"/>
      <c r="F195" s="149"/>
      <c r="G195" s="149"/>
      <c r="H195" s="149"/>
      <c r="I195" s="176"/>
      <c r="J195" s="176"/>
      <c r="K195" s="176"/>
      <c r="L195" s="176"/>
      <c r="M195" s="151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5.75" customHeight="1">
      <c r="A196" s="149"/>
      <c r="B196" s="57"/>
      <c r="C196" s="149"/>
      <c r="D196" s="176"/>
      <c r="E196" s="149"/>
      <c r="F196" s="149"/>
      <c r="G196" s="149"/>
      <c r="H196" s="149"/>
      <c r="I196" s="176"/>
      <c r="J196" s="176"/>
      <c r="K196" s="176"/>
      <c r="L196" s="176"/>
      <c r="M196" s="151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5.75" customHeight="1">
      <c r="A197" s="149"/>
      <c r="B197" s="57"/>
      <c r="C197" s="149"/>
      <c r="D197" s="176"/>
      <c r="E197" s="149"/>
      <c r="F197" s="149"/>
      <c r="G197" s="149"/>
      <c r="H197" s="149"/>
      <c r="I197" s="176"/>
      <c r="J197" s="176"/>
      <c r="K197" s="176"/>
      <c r="L197" s="176"/>
      <c r="M197" s="151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5.75" customHeight="1">
      <c r="A198" s="149"/>
      <c r="B198" s="57"/>
      <c r="C198" s="149"/>
      <c r="D198" s="176"/>
      <c r="E198" s="149"/>
      <c r="F198" s="149"/>
      <c r="G198" s="149"/>
      <c r="H198" s="149"/>
      <c r="I198" s="176"/>
      <c r="J198" s="176"/>
      <c r="K198" s="176"/>
      <c r="L198" s="176"/>
      <c r="M198" s="151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5.75" customHeight="1">
      <c r="A199" s="149"/>
      <c r="B199" s="57"/>
      <c r="C199" s="149"/>
      <c r="D199" s="176"/>
      <c r="E199" s="149"/>
      <c r="F199" s="149"/>
      <c r="G199" s="149"/>
      <c r="H199" s="149"/>
      <c r="I199" s="176"/>
      <c r="J199" s="176"/>
      <c r="K199" s="176"/>
      <c r="L199" s="176"/>
      <c r="M199" s="151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5.75" customHeight="1">
      <c r="A200" s="149"/>
      <c r="B200" s="57"/>
      <c r="C200" s="149"/>
      <c r="D200" s="176"/>
      <c r="E200" s="149"/>
      <c r="F200" s="149"/>
      <c r="G200" s="149"/>
      <c r="H200" s="149"/>
      <c r="I200" s="176"/>
      <c r="J200" s="176"/>
      <c r="K200" s="176"/>
      <c r="L200" s="176"/>
      <c r="M200" s="151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5.75" customHeight="1">
      <c r="A201" s="149"/>
      <c r="B201" s="57"/>
      <c r="C201" s="149"/>
      <c r="D201" s="176"/>
      <c r="E201" s="149"/>
      <c r="F201" s="149"/>
      <c r="G201" s="149"/>
      <c r="H201" s="149"/>
      <c r="I201" s="176"/>
      <c r="J201" s="176"/>
      <c r="K201" s="176"/>
      <c r="L201" s="176"/>
      <c r="M201" s="151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5.75" customHeight="1">
      <c r="A202" s="149"/>
      <c r="B202" s="57"/>
      <c r="C202" s="149"/>
      <c r="D202" s="176"/>
      <c r="E202" s="149"/>
      <c r="F202" s="149"/>
      <c r="G202" s="149"/>
      <c r="H202" s="149"/>
      <c r="I202" s="176"/>
      <c r="J202" s="176"/>
      <c r="K202" s="176"/>
      <c r="L202" s="176"/>
      <c r="M202" s="151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5.75" customHeight="1">
      <c r="A203" s="149"/>
      <c r="B203" s="57"/>
      <c r="C203" s="149"/>
      <c r="D203" s="176"/>
      <c r="E203" s="149"/>
      <c r="F203" s="149"/>
      <c r="G203" s="149"/>
      <c r="H203" s="149"/>
      <c r="I203" s="176"/>
      <c r="J203" s="176"/>
      <c r="K203" s="176"/>
      <c r="L203" s="176"/>
      <c r="M203" s="151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5.75" customHeight="1">
      <c r="A204" s="149"/>
      <c r="B204" s="57"/>
      <c r="C204" s="149"/>
      <c r="D204" s="176"/>
      <c r="E204" s="149"/>
      <c r="F204" s="149"/>
      <c r="G204" s="149"/>
      <c r="H204" s="149"/>
      <c r="I204" s="176"/>
      <c r="J204" s="176"/>
      <c r="K204" s="176"/>
      <c r="L204" s="176"/>
      <c r="M204" s="151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5.75" customHeight="1">
      <c r="A205" s="149"/>
      <c r="B205" s="57"/>
      <c r="C205" s="149"/>
      <c r="D205" s="176"/>
      <c r="E205" s="149"/>
      <c r="F205" s="149"/>
      <c r="G205" s="149"/>
      <c r="H205" s="149"/>
      <c r="I205" s="176"/>
      <c r="J205" s="176"/>
      <c r="K205" s="176"/>
      <c r="L205" s="176"/>
      <c r="M205" s="151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5.75" customHeight="1">
      <c r="A206" s="149"/>
      <c r="B206" s="57"/>
      <c r="C206" s="149"/>
      <c r="D206" s="176"/>
      <c r="E206" s="149"/>
      <c r="F206" s="149"/>
      <c r="G206" s="149"/>
      <c r="H206" s="149"/>
      <c r="I206" s="176"/>
      <c r="J206" s="176"/>
      <c r="K206" s="176"/>
      <c r="L206" s="176"/>
      <c r="M206" s="151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5.75" customHeight="1">
      <c r="A207" s="149"/>
      <c r="B207" s="57"/>
      <c r="C207" s="149"/>
      <c r="D207" s="176"/>
      <c r="E207" s="149"/>
      <c r="F207" s="149"/>
      <c r="G207" s="149"/>
      <c r="H207" s="149"/>
      <c r="I207" s="176"/>
      <c r="J207" s="176"/>
      <c r="K207" s="176"/>
      <c r="L207" s="176"/>
      <c r="M207" s="151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5.75" customHeight="1">
      <c r="A208" s="149"/>
      <c r="B208" s="57"/>
      <c r="C208" s="149"/>
      <c r="D208" s="176"/>
      <c r="E208" s="149"/>
      <c r="F208" s="149"/>
      <c r="G208" s="149"/>
      <c r="H208" s="149"/>
      <c r="I208" s="176"/>
      <c r="J208" s="176"/>
      <c r="K208" s="176"/>
      <c r="L208" s="176"/>
      <c r="M208" s="151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5.75" customHeight="1">
      <c r="A209" s="149"/>
      <c r="B209" s="57"/>
      <c r="C209" s="149"/>
      <c r="D209" s="176"/>
      <c r="E209" s="149"/>
      <c r="F209" s="149"/>
      <c r="G209" s="149"/>
      <c r="H209" s="149"/>
      <c r="I209" s="176"/>
      <c r="J209" s="176"/>
      <c r="K209" s="176"/>
      <c r="L209" s="176"/>
      <c r="M209" s="151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5.75" customHeight="1">
      <c r="A210" s="149"/>
      <c r="B210" s="57"/>
      <c r="C210" s="149"/>
      <c r="D210" s="176"/>
      <c r="E210" s="149"/>
      <c r="F210" s="149"/>
      <c r="G210" s="149"/>
      <c r="H210" s="149"/>
      <c r="I210" s="176"/>
      <c r="J210" s="176"/>
      <c r="K210" s="176"/>
      <c r="L210" s="176"/>
      <c r="M210" s="151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5.75" customHeight="1">
      <c r="A211" s="149"/>
      <c r="B211" s="57"/>
      <c r="C211" s="149"/>
      <c r="D211" s="176"/>
      <c r="E211" s="149"/>
      <c r="F211" s="149"/>
      <c r="G211" s="149"/>
      <c r="H211" s="149"/>
      <c r="I211" s="176"/>
      <c r="J211" s="176"/>
      <c r="K211" s="176"/>
      <c r="L211" s="176"/>
      <c r="M211" s="151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5.75" customHeight="1">
      <c r="A212" s="149"/>
      <c r="B212" s="57"/>
      <c r="C212" s="149"/>
      <c r="D212" s="176"/>
      <c r="E212" s="149"/>
      <c r="F212" s="149"/>
      <c r="G212" s="149"/>
      <c r="H212" s="149"/>
      <c r="I212" s="176"/>
      <c r="J212" s="176"/>
      <c r="K212" s="176"/>
      <c r="L212" s="176"/>
      <c r="M212" s="151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5.75" customHeight="1">
      <c r="A213" s="149"/>
      <c r="B213" s="57"/>
      <c r="C213" s="149"/>
      <c r="D213" s="176"/>
      <c r="E213" s="149"/>
      <c r="F213" s="149"/>
      <c r="G213" s="149"/>
      <c r="H213" s="149"/>
      <c r="I213" s="176"/>
      <c r="J213" s="176"/>
      <c r="K213" s="176"/>
      <c r="L213" s="176"/>
      <c r="M213" s="151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5.75" customHeight="1">
      <c r="A214" s="149"/>
      <c r="B214" s="57"/>
      <c r="C214" s="149"/>
      <c r="D214" s="176"/>
      <c r="E214" s="149"/>
      <c r="F214" s="149"/>
      <c r="G214" s="149"/>
      <c r="H214" s="149"/>
      <c r="I214" s="176"/>
      <c r="J214" s="176"/>
      <c r="K214" s="176"/>
      <c r="L214" s="176"/>
      <c r="M214" s="151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5.75" customHeight="1">
      <c r="A215" s="149"/>
      <c r="B215" s="57"/>
      <c r="C215" s="149"/>
      <c r="D215" s="176"/>
      <c r="E215" s="149"/>
      <c r="F215" s="149"/>
      <c r="G215" s="149"/>
      <c r="H215" s="149"/>
      <c r="I215" s="176"/>
      <c r="J215" s="176"/>
      <c r="K215" s="176"/>
      <c r="L215" s="176"/>
      <c r="M215" s="151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5.75" customHeight="1">
      <c r="A216" s="149"/>
      <c r="B216" s="57"/>
      <c r="C216" s="149"/>
      <c r="D216" s="176"/>
      <c r="E216" s="149"/>
      <c r="F216" s="149"/>
      <c r="G216" s="149"/>
      <c r="H216" s="149"/>
      <c r="I216" s="176"/>
      <c r="J216" s="176"/>
      <c r="K216" s="176"/>
      <c r="L216" s="176"/>
      <c r="M216" s="151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5.75" customHeight="1">
      <c r="A217" s="149"/>
      <c r="B217" s="57"/>
      <c r="C217" s="149"/>
      <c r="D217" s="176"/>
      <c r="E217" s="149"/>
      <c r="F217" s="149"/>
      <c r="G217" s="149"/>
      <c r="H217" s="149"/>
      <c r="I217" s="176"/>
      <c r="J217" s="176"/>
      <c r="K217" s="176"/>
      <c r="L217" s="176"/>
      <c r="M217" s="151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5.75" customHeight="1">
      <c r="A218" s="149"/>
      <c r="B218" s="57"/>
      <c r="C218" s="149"/>
      <c r="D218" s="176"/>
      <c r="E218" s="149"/>
      <c r="F218" s="149"/>
      <c r="G218" s="149"/>
      <c r="H218" s="149"/>
      <c r="I218" s="176"/>
      <c r="J218" s="176"/>
      <c r="K218" s="176"/>
      <c r="L218" s="176"/>
      <c r="M218" s="151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5.75" customHeight="1">
      <c r="A219" s="149"/>
      <c r="B219" s="57"/>
      <c r="C219" s="149"/>
      <c r="D219" s="176"/>
      <c r="E219" s="149"/>
      <c r="F219" s="149"/>
      <c r="G219" s="149"/>
      <c r="H219" s="149"/>
      <c r="I219" s="176"/>
      <c r="J219" s="176"/>
      <c r="K219" s="176"/>
      <c r="L219" s="176"/>
      <c r="M219" s="151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5.75" customHeight="1">
      <c r="A220" s="149"/>
      <c r="B220" s="57"/>
      <c r="C220" s="149"/>
      <c r="D220" s="176"/>
      <c r="E220" s="149"/>
      <c r="F220" s="149"/>
      <c r="G220" s="149"/>
      <c r="H220" s="149"/>
      <c r="I220" s="176"/>
      <c r="J220" s="176"/>
      <c r="K220" s="176"/>
      <c r="L220" s="176"/>
      <c r="M220" s="151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5.75" customHeight="1">
      <c r="A221" s="149"/>
      <c r="B221" s="57"/>
      <c r="C221" s="149"/>
      <c r="D221" s="176"/>
      <c r="E221" s="149"/>
      <c r="F221" s="149"/>
      <c r="G221" s="149"/>
      <c r="H221" s="149"/>
      <c r="I221" s="176"/>
      <c r="J221" s="176"/>
      <c r="K221" s="176"/>
      <c r="L221" s="176"/>
      <c r="M221" s="151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5.75" customHeight="1">
      <c r="A222" s="149"/>
      <c r="B222" s="57"/>
      <c r="C222" s="149"/>
      <c r="D222" s="176"/>
      <c r="E222" s="149"/>
      <c r="F222" s="149"/>
      <c r="G222" s="149"/>
      <c r="H222" s="149"/>
      <c r="I222" s="176"/>
      <c r="J222" s="176"/>
      <c r="K222" s="176"/>
      <c r="L222" s="176"/>
      <c r="M222" s="151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5.75" customHeight="1">
      <c r="A223" s="149"/>
      <c r="B223" s="57"/>
      <c r="C223" s="149"/>
      <c r="D223" s="176"/>
      <c r="E223" s="149"/>
      <c r="F223" s="149"/>
      <c r="G223" s="149"/>
      <c r="H223" s="149"/>
      <c r="I223" s="176"/>
      <c r="J223" s="176"/>
      <c r="K223" s="176"/>
      <c r="L223" s="176"/>
      <c r="M223" s="151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5.75" customHeight="1">
      <c r="A224" s="149"/>
      <c r="B224" s="57"/>
      <c r="C224" s="149"/>
      <c r="D224" s="176"/>
      <c r="E224" s="149"/>
      <c r="F224" s="149"/>
      <c r="G224" s="149"/>
      <c r="H224" s="149"/>
      <c r="I224" s="176"/>
      <c r="J224" s="176"/>
      <c r="K224" s="176"/>
      <c r="L224" s="176"/>
      <c r="M224" s="151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5.75" customHeight="1">
      <c r="A225" s="149"/>
      <c r="B225" s="57"/>
      <c r="C225" s="149"/>
      <c r="D225" s="176"/>
      <c r="E225" s="149"/>
      <c r="F225" s="149"/>
      <c r="G225" s="149"/>
      <c r="H225" s="149"/>
      <c r="I225" s="176"/>
      <c r="J225" s="176"/>
      <c r="K225" s="176"/>
      <c r="L225" s="176"/>
      <c r="M225" s="151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5.75" customHeight="1">
      <c r="A226" s="149"/>
      <c r="B226" s="57"/>
      <c r="C226" s="149"/>
      <c r="D226" s="176"/>
      <c r="E226" s="149"/>
      <c r="F226" s="149"/>
      <c r="G226" s="149"/>
      <c r="H226" s="149"/>
      <c r="I226" s="176"/>
      <c r="J226" s="176"/>
      <c r="K226" s="176"/>
      <c r="L226" s="176"/>
      <c r="M226" s="151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5.75" customHeight="1">
      <c r="A227" s="149"/>
      <c r="B227" s="57"/>
      <c r="C227" s="149"/>
      <c r="D227" s="176"/>
      <c r="E227" s="149"/>
      <c r="F227" s="149"/>
      <c r="G227" s="149"/>
      <c r="H227" s="149"/>
      <c r="I227" s="176"/>
      <c r="J227" s="176"/>
      <c r="K227" s="176"/>
      <c r="L227" s="176"/>
      <c r="M227" s="151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5.75" customHeight="1">
      <c r="A228" s="149"/>
      <c r="B228" s="57"/>
      <c r="C228" s="149"/>
      <c r="D228" s="176"/>
      <c r="E228" s="149"/>
      <c r="F228" s="149"/>
      <c r="G228" s="149"/>
      <c r="H228" s="149"/>
      <c r="I228" s="176"/>
      <c r="J228" s="176"/>
      <c r="K228" s="176"/>
      <c r="L228" s="176"/>
      <c r="M228" s="151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5.75" customHeight="1">
      <c r="A229" s="149"/>
      <c r="B229" s="57"/>
      <c r="C229" s="149"/>
      <c r="D229" s="176"/>
      <c r="E229" s="149"/>
      <c r="F229" s="149"/>
      <c r="G229" s="149"/>
      <c r="H229" s="149"/>
      <c r="I229" s="176"/>
      <c r="J229" s="176"/>
      <c r="K229" s="176"/>
      <c r="L229" s="176"/>
      <c r="M229" s="151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5.75" customHeight="1">
      <c r="A230" s="149"/>
      <c r="B230" s="57"/>
      <c r="C230" s="149"/>
      <c r="D230" s="176"/>
      <c r="E230" s="149"/>
      <c r="F230" s="149"/>
      <c r="G230" s="149"/>
      <c r="H230" s="149"/>
      <c r="I230" s="176"/>
      <c r="J230" s="176"/>
      <c r="K230" s="176"/>
      <c r="L230" s="176"/>
      <c r="M230" s="151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5.75" customHeight="1">
      <c r="A231" s="149"/>
      <c r="B231" s="57"/>
      <c r="C231" s="149"/>
      <c r="D231" s="176"/>
      <c r="E231" s="149"/>
      <c r="F231" s="149"/>
      <c r="G231" s="149"/>
      <c r="H231" s="149"/>
      <c r="I231" s="176"/>
      <c r="J231" s="176"/>
      <c r="K231" s="176"/>
      <c r="L231" s="176"/>
      <c r="M231" s="151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5.75" customHeight="1">
      <c r="A232" s="149"/>
      <c r="B232" s="57"/>
      <c r="C232" s="149"/>
      <c r="D232" s="176"/>
      <c r="E232" s="149"/>
      <c r="F232" s="149"/>
      <c r="G232" s="149"/>
      <c r="H232" s="149"/>
      <c r="I232" s="176"/>
      <c r="J232" s="176"/>
      <c r="K232" s="176"/>
      <c r="L232" s="176"/>
      <c r="M232" s="151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5.75" customHeight="1">
      <c r="A233" s="149"/>
      <c r="B233" s="57"/>
      <c r="C233" s="149"/>
      <c r="D233" s="176"/>
      <c r="E233" s="149"/>
      <c r="F233" s="149"/>
      <c r="G233" s="149"/>
      <c r="H233" s="149"/>
      <c r="I233" s="176"/>
      <c r="J233" s="176"/>
      <c r="K233" s="176"/>
      <c r="L233" s="176"/>
      <c r="M233" s="151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5.75" customHeight="1">
      <c r="A234" s="149"/>
      <c r="B234" s="57"/>
      <c r="C234" s="149"/>
      <c r="D234" s="176"/>
      <c r="E234" s="149"/>
      <c r="F234" s="149"/>
      <c r="G234" s="149"/>
      <c r="H234" s="149"/>
      <c r="I234" s="176"/>
      <c r="J234" s="176"/>
      <c r="K234" s="176"/>
      <c r="L234" s="176"/>
      <c r="M234" s="151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5.75" customHeight="1">
      <c r="A235" s="149"/>
      <c r="B235" s="57"/>
      <c r="C235" s="149"/>
      <c r="D235" s="176"/>
      <c r="E235" s="149"/>
      <c r="F235" s="149"/>
      <c r="G235" s="149"/>
      <c r="H235" s="149"/>
      <c r="I235" s="176"/>
      <c r="J235" s="176"/>
      <c r="K235" s="176"/>
      <c r="L235" s="176"/>
      <c r="M235" s="151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5.75" customHeight="1">
      <c r="A236" s="149"/>
      <c r="B236" s="57"/>
      <c r="C236" s="149"/>
      <c r="D236" s="176"/>
      <c r="E236" s="149"/>
      <c r="F236" s="149"/>
      <c r="G236" s="149"/>
      <c r="H236" s="149"/>
      <c r="I236" s="176"/>
      <c r="J236" s="176"/>
      <c r="K236" s="176"/>
      <c r="L236" s="176"/>
      <c r="M236" s="151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5.75" customHeight="1">
      <c r="A237" s="149"/>
      <c r="B237" s="57"/>
      <c r="C237" s="149"/>
      <c r="D237" s="176"/>
      <c r="E237" s="149"/>
      <c r="F237" s="149"/>
      <c r="G237" s="149"/>
      <c r="H237" s="149"/>
      <c r="I237" s="176"/>
      <c r="J237" s="176"/>
      <c r="K237" s="176"/>
      <c r="L237" s="176"/>
      <c r="M237" s="151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5.75" customHeight="1">
      <c r="A238" s="149"/>
      <c r="B238" s="57"/>
      <c r="C238" s="149"/>
      <c r="D238" s="176"/>
      <c r="E238" s="149"/>
      <c r="F238" s="149"/>
      <c r="G238" s="149"/>
      <c r="H238" s="149"/>
      <c r="I238" s="176"/>
      <c r="J238" s="176"/>
      <c r="K238" s="176"/>
      <c r="L238" s="176"/>
      <c r="M238" s="151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5.75" customHeight="1">
      <c r="A239" s="149"/>
      <c r="B239" s="57"/>
      <c r="C239" s="149"/>
      <c r="D239" s="176"/>
      <c r="E239" s="149"/>
      <c r="F239" s="149"/>
      <c r="G239" s="149"/>
      <c r="H239" s="149"/>
      <c r="I239" s="176"/>
      <c r="J239" s="176"/>
      <c r="K239" s="176"/>
      <c r="L239" s="176"/>
      <c r="M239" s="151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5.75" customHeight="1">
      <c r="A240" s="149"/>
      <c r="B240" s="57"/>
      <c r="C240" s="149"/>
      <c r="D240" s="176"/>
      <c r="E240" s="149"/>
      <c r="F240" s="149"/>
      <c r="G240" s="149"/>
      <c r="H240" s="149"/>
      <c r="I240" s="176"/>
      <c r="J240" s="176"/>
      <c r="K240" s="176"/>
      <c r="L240" s="176"/>
      <c r="M240" s="151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5.75" customHeight="1">
      <c r="A241" s="149"/>
      <c r="B241" s="57"/>
      <c r="C241" s="149"/>
      <c r="D241" s="176"/>
      <c r="E241" s="149"/>
      <c r="F241" s="149"/>
      <c r="G241" s="149"/>
      <c r="H241" s="149"/>
      <c r="I241" s="176"/>
      <c r="J241" s="176"/>
      <c r="K241" s="176"/>
      <c r="L241" s="176"/>
      <c r="M241" s="151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5.75" customHeight="1">
      <c r="A242" s="149"/>
      <c r="B242" s="57"/>
      <c r="C242" s="149"/>
      <c r="D242" s="176"/>
      <c r="E242" s="149"/>
      <c r="F242" s="149"/>
      <c r="G242" s="149"/>
      <c r="H242" s="149"/>
      <c r="I242" s="176"/>
      <c r="J242" s="176"/>
      <c r="K242" s="176"/>
      <c r="L242" s="176"/>
      <c r="M242" s="151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5.75" customHeight="1">
      <c r="A243" s="149"/>
      <c r="B243" s="57"/>
      <c r="C243" s="149"/>
      <c r="D243" s="176"/>
      <c r="E243" s="149"/>
      <c r="F243" s="149"/>
      <c r="G243" s="149"/>
      <c r="H243" s="149"/>
      <c r="I243" s="176"/>
      <c r="J243" s="176"/>
      <c r="K243" s="176"/>
      <c r="L243" s="176"/>
      <c r="M243" s="151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5.75" customHeight="1">
      <c r="A244" s="149"/>
      <c r="B244" s="57"/>
      <c r="C244" s="149"/>
      <c r="D244" s="176"/>
      <c r="E244" s="149"/>
      <c r="F244" s="149"/>
      <c r="G244" s="149"/>
      <c r="H244" s="149"/>
      <c r="I244" s="176"/>
      <c r="J244" s="176"/>
      <c r="K244" s="176"/>
      <c r="L244" s="176"/>
      <c r="M244" s="151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5.75" customHeight="1">
      <c r="A245" s="149"/>
      <c r="B245" s="57"/>
      <c r="C245" s="149"/>
      <c r="D245" s="176"/>
      <c r="E245" s="149"/>
      <c r="F245" s="149"/>
      <c r="G245" s="149"/>
      <c r="H245" s="149"/>
      <c r="I245" s="176"/>
      <c r="J245" s="176"/>
      <c r="K245" s="176"/>
      <c r="L245" s="176"/>
      <c r="M245" s="151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5.75" customHeight="1">
      <c r="A246" s="149"/>
      <c r="B246" s="57"/>
      <c r="C246" s="149"/>
      <c r="D246" s="176"/>
      <c r="E246" s="149"/>
      <c r="F246" s="149"/>
      <c r="G246" s="149"/>
      <c r="H246" s="149"/>
      <c r="I246" s="176"/>
      <c r="J246" s="176"/>
      <c r="K246" s="176"/>
      <c r="L246" s="176"/>
      <c r="M246" s="151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5.75" customHeight="1">
      <c r="A247" s="149"/>
      <c r="B247" s="57"/>
      <c r="C247" s="149"/>
      <c r="D247" s="176"/>
      <c r="E247" s="149"/>
      <c r="F247" s="149"/>
      <c r="G247" s="149"/>
      <c r="H247" s="149"/>
      <c r="I247" s="176"/>
      <c r="J247" s="176"/>
      <c r="K247" s="176"/>
      <c r="L247" s="176"/>
      <c r="M247" s="151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5.75" customHeight="1">
      <c r="A248" s="149"/>
      <c r="B248" s="57"/>
      <c r="C248" s="149"/>
      <c r="D248" s="176"/>
      <c r="E248" s="149"/>
      <c r="F248" s="149"/>
      <c r="G248" s="149"/>
      <c r="H248" s="149"/>
      <c r="I248" s="176"/>
      <c r="J248" s="176"/>
      <c r="K248" s="176"/>
      <c r="L248" s="176"/>
      <c r="M248" s="151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5.75" customHeight="1">
      <c r="A249" s="149"/>
      <c r="B249" s="57"/>
      <c r="C249" s="149"/>
      <c r="D249" s="176"/>
      <c r="E249" s="149"/>
      <c r="F249" s="149"/>
      <c r="G249" s="149"/>
      <c r="H249" s="149"/>
      <c r="I249" s="176"/>
      <c r="J249" s="176"/>
      <c r="K249" s="176"/>
      <c r="L249" s="176"/>
      <c r="M249" s="151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5.75" customHeight="1">
      <c r="A250" s="149"/>
      <c r="B250" s="57"/>
      <c r="C250" s="149"/>
      <c r="D250" s="176"/>
      <c r="E250" s="149"/>
      <c r="F250" s="149"/>
      <c r="G250" s="149"/>
      <c r="H250" s="149"/>
      <c r="I250" s="176"/>
      <c r="J250" s="176"/>
      <c r="K250" s="176"/>
      <c r="L250" s="176"/>
      <c r="M250" s="151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5.75" customHeight="1">
      <c r="A251" s="149"/>
      <c r="B251" s="57"/>
      <c r="C251" s="149"/>
      <c r="D251" s="176"/>
      <c r="E251" s="149"/>
      <c r="F251" s="149"/>
      <c r="G251" s="149"/>
      <c r="H251" s="149"/>
      <c r="I251" s="176"/>
      <c r="J251" s="176"/>
      <c r="K251" s="176"/>
      <c r="L251" s="176"/>
      <c r="M251" s="151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5.75" customHeight="1">
      <c r="A252" s="149"/>
      <c r="B252" s="57"/>
      <c r="C252" s="149"/>
      <c r="D252" s="176"/>
      <c r="E252" s="149"/>
      <c r="F252" s="149"/>
      <c r="G252" s="149"/>
      <c r="H252" s="149"/>
      <c r="I252" s="176"/>
      <c r="J252" s="176"/>
      <c r="K252" s="176"/>
      <c r="L252" s="176"/>
      <c r="M252" s="151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5.75" customHeight="1">
      <c r="A253" s="149"/>
      <c r="B253" s="57"/>
      <c r="C253" s="149"/>
      <c r="D253" s="176"/>
      <c r="E253" s="149"/>
      <c r="F253" s="149"/>
      <c r="G253" s="149"/>
      <c r="H253" s="149"/>
      <c r="I253" s="176"/>
      <c r="J253" s="176"/>
      <c r="K253" s="176"/>
      <c r="L253" s="176"/>
      <c r="M253" s="151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5.75" customHeight="1">
      <c r="A254" s="149"/>
      <c r="B254" s="57"/>
      <c r="C254" s="149"/>
      <c r="D254" s="176"/>
      <c r="E254" s="149"/>
      <c r="F254" s="149"/>
      <c r="G254" s="149"/>
      <c r="H254" s="149"/>
      <c r="I254" s="176"/>
      <c r="J254" s="176"/>
      <c r="K254" s="176"/>
      <c r="L254" s="176"/>
      <c r="M254" s="151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5.75" customHeight="1">
      <c r="A255" s="149"/>
      <c r="B255" s="57"/>
      <c r="C255" s="149"/>
      <c r="D255" s="176"/>
      <c r="E255" s="149"/>
      <c r="F255" s="149"/>
      <c r="G255" s="149"/>
      <c r="H255" s="149"/>
      <c r="I255" s="176"/>
      <c r="J255" s="176"/>
      <c r="K255" s="176"/>
      <c r="L255" s="176"/>
      <c r="M255" s="151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5.75" customHeight="1">
      <c r="A256" s="149"/>
      <c r="B256" s="57"/>
      <c r="C256" s="149"/>
      <c r="D256" s="176"/>
      <c r="E256" s="149"/>
      <c r="F256" s="149"/>
      <c r="G256" s="149"/>
      <c r="H256" s="149"/>
      <c r="I256" s="176"/>
      <c r="J256" s="176"/>
      <c r="K256" s="176"/>
      <c r="L256" s="176"/>
      <c r="M256" s="151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5.75" customHeight="1">
      <c r="A257" s="149"/>
      <c r="B257" s="57"/>
      <c r="C257" s="149"/>
      <c r="D257" s="176"/>
      <c r="E257" s="149"/>
      <c r="F257" s="149"/>
      <c r="G257" s="149"/>
      <c r="H257" s="149"/>
      <c r="I257" s="176"/>
      <c r="J257" s="176"/>
      <c r="K257" s="176"/>
      <c r="L257" s="176"/>
      <c r="M257" s="151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5.75" customHeight="1">
      <c r="A258" s="149"/>
      <c r="B258" s="57"/>
      <c r="C258" s="149"/>
      <c r="D258" s="176"/>
      <c r="E258" s="149"/>
      <c r="F258" s="149"/>
      <c r="G258" s="149"/>
      <c r="H258" s="149"/>
      <c r="I258" s="176"/>
      <c r="J258" s="176"/>
      <c r="K258" s="176"/>
      <c r="L258" s="176"/>
      <c r="M258" s="151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5.75" customHeight="1">
      <c r="A259" s="149"/>
      <c r="B259" s="57"/>
      <c r="C259" s="149"/>
      <c r="D259" s="176"/>
      <c r="E259" s="149"/>
      <c r="F259" s="149"/>
      <c r="G259" s="149"/>
      <c r="H259" s="149"/>
      <c r="I259" s="176"/>
      <c r="J259" s="176"/>
      <c r="K259" s="176"/>
      <c r="L259" s="176"/>
      <c r="M259" s="151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5.75" customHeight="1">
      <c r="A260" s="149"/>
      <c r="B260" s="57"/>
      <c r="C260" s="149"/>
      <c r="D260" s="176"/>
      <c r="E260" s="149"/>
      <c r="F260" s="149"/>
      <c r="G260" s="149"/>
      <c r="H260" s="149"/>
      <c r="I260" s="176"/>
      <c r="J260" s="176"/>
      <c r="K260" s="176"/>
      <c r="L260" s="176"/>
      <c r="M260" s="151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5.75" customHeight="1">
      <c r="A261" s="149"/>
      <c r="B261" s="57"/>
      <c r="C261" s="149"/>
      <c r="D261" s="176"/>
      <c r="E261" s="149"/>
      <c r="F261" s="149"/>
      <c r="G261" s="149"/>
      <c r="H261" s="149"/>
      <c r="I261" s="176"/>
      <c r="J261" s="176"/>
      <c r="K261" s="176"/>
      <c r="L261" s="176"/>
      <c r="M261" s="151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5.75" customHeight="1">
      <c r="A262" s="149"/>
      <c r="B262" s="57"/>
      <c r="C262" s="149"/>
      <c r="D262" s="176"/>
      <c r="E262" s="149"/>
      <c r="F262" s="149"/>
      <c r="G262" s="149"/>
      <c r="H262" s="149"/>
      <c r="I262" s="176"/>
      <c r="J262" s="176"/>
      <c r="K262" s="176"/>
      <c r="L262" s="176"/>
      <c r="M262" s="151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5.75" customHeight="1">
      <c r="A263" s="149"/>
      <c r="B263" s="57"/>
      <c r="C263" s="149"/>
      <c r="D263" s="176"/>
      <c r="E263" s="149"/>
      <c r="F263" s="149"/>
      <c r="G263" s="149"/>
      <c r="H263" s="149"/>
      <c r="I263" s="176"/>
      <c r="J263" s="176"/>
      <c r="K263" s="176"/>
      <c r="L263" s="176"/>
      <c r="M263" s="151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5.75" customHeight="1">
      <c r="A264" s="149"/>
      <c r="B264" s="57"/>
      <c r="C264" s="149"/>
      <c r="D264" s="176"/>
      <c r="E264" s="149"/>
      <c r="F264" s="149"/>
      <c r="G264" s="149"/>
      <c r="H264" s="149"/>
      <c r="I264" s="176"/>
      <c r="J264" s="176"/>
      <c r="K264" s="176"/>
      <c r="L264" s="176"/>
      <c r="M264" s="151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5.75" customHeight="1">
      <c r="A265" s="149"/>
      <c r="B265" s="57"/>
      <c r="C265" s="149"/>
      <c r="D265" s="176"/>
      <c r="E265" s="149"/>
      <c r="F265" s="149"/>
      <c r="G265" s="149"/>
      <c r="H265" s="149"/>
      <c r="I265" s="176"/>
      <c r="J265" s="176"/>
      <c r="K265" s="176"/>
      <c r="L265" s="176"/>
      <c r="M265" s="151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5.75" customHeight="1">
      <c r="A266" s="149"/>
      <c r="B266" s="57"/>
      <c r="C266" s="149"/>
      <c r="D266" s="176"/>
      <c r="E266" s="149"/>
      <c r="F266" s="149"/>
      <c r="G266" s="149"/>
      <c r="H266" s="149"/>
      <c r="I266" s="176"/>
      <c r="J266" s="176"/>
      <c r="K266" s="176"/>
      <c r="L266" s="176"/>
      <c r="M266" s="151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5.75" customHeight="1">
      <c r="A267" s="149"/>
      <c r="B267" s="57"/>
      <c r="C267" s="149"/>
      <c r="D267" s="176"/>
      <c r="E267" s="149"/>
      <c r="F267" s="149"/>
      <c r="G267" s="149"/>
      <c r="H267" s="149"/>
      <c r="I267" s="176"/>
      <c r="J267" s="176"/>
      <c r="K267" s="176"/>
      <c r="L267" s="176"/>
      <c r="M267" s="151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5.75" customHeight="1">
      <c r="A268" s="149"/>
      <c r="B268" s="57"/>
      <c r="C268" s="149"/>
      <c r="D268" s="176"/>
      <c r="E268" s="149"/>
      <c r="F268" s="149"/>
      <c r="G268" s="149"/>
      <c r="H268" s="149"/>
      <c r="I268" s="176"/>
      <c r="J268" s="176"/>
      <c r="K268" s="176"/>
      <c r="L268" s="176"/>
      <c r="M268" s="151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5.75" customHeight="1">
      <c r="A269" s="149"/>
      <c r="B269" s="57"/>
      <c r="C269" s="149"/>
      <c r="D269" s="176"/>
      <c r="E269" s="149"/>
      <c r="F269" s="149"/>
      <c r="G269" s="149"/>
      <c r="H269" s="149"/>
      <c r="I269" s="176"/>
      <c r="J269" s="176"/>
      <c r="K269" s="176"/>
      <c r="L269" s="176"/>
      <c r="M269" s="151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5.75" customHeight="1">
      <c r="A270" s="149"/>
      <c r="B270" s="57"/>
      <c r="C270" s="149"/>
      <c r="D270" s="176"/>
      <c r="E270" s="149"/>
      <c r="F270" s="149"/>
      <c r="G270" s="149"/>
      <c r="H270" s="149"/>
      <c r="I270" s="176"/>
      <c r="J270" s="176"/>
      <c r="K270" s="176"/>
      <c r="L270" s="176"/>
      <c r="M270" s="151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5.75" customHeight="1">
      <c r="A271" s="149"/>
      <c r="B271" s="57"/>
      <c r="C271" s="149"/>
      <c r="D271" s="176"/>
      <c r="E271" s="149"/>
      <c r="F271" s="149"/>
      <c r="G271" s="149"/>
      <c r="H271" s="149"/>
      <c r="I271" s="176"/>
      <c r="J271" s="176"/>
      <c r="K271" s="176"/>
      <c r="L271" s="176"/>
      <c r="M271" s="151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5.75" customHeight="1">
      <c r="A272" s="149"/>
      <c r="B272" s="57"/>
      <c r="C272" s="149"/>
      <c r="D272" s="176"/>
      <c r="E272" s="149"/>
      <c r="F272" s="149"/>
      <c r="G272" s="149"/>
      <c r="H272" s="149"/>
      <c r="I272" s="176"/>
      <c r="J272" s="176"/>
      <c r="K272" s="176"/>
      <c r="L272" s="176"/>
      <c r="M272" s="151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5.75" customHeight="1">
      <c r="A273" s="149"/>
      <c r="B273" s="57"/>
      <c r="C273" s="149"/>
      <c r="D273" s="176"/>
      <c r="E273" s="149"/>
      <c r="F273" s="149"/>
      <c r="G273" s="149"/>
      <c r="H273" s="149"/>
      <c r="I273" s="176"/>
      <c r="J273" s="176"/>
      <c r="K273" s="176"/>
      <c r="L273" s="176"/>
      <c r="M273" s="151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5.75" customHeight="1">
      <c r="A274" s="149"/>
      <c r="B274" s="57"/>
      <c r="C274" s="149"/>
      <c r="D274" s="176"/>
      <c r="E274" s="149"/>
      <c r="F274" s="149"/>
      <c r="G274" s="149"/>
      <c r="H274" s="149"/>
      <c r="I274" s="176"/>
      <c r="J274" s="176"/>
      <c r="K274" s="176"/>
      <c r="L274" s="176"/>
      <c r="M274" s="151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5.75" customHeight="1">
      <c r="A275" s="149"/>
      <c r="B275" s="57"/>
      <c r="C275" s="149"/>
      <c r="D275" s="176"/>
      <c r="E275" s="149"/>
      <c r="F275" s="149"/>
      <c r="G275" s="149"/>
      <c r="H275" s="149"/>
      <c r="I275" s="176"/>
      <c r="J275" s="176"/>
      <c r="K275" s="176"/>
      <c r="L275" s="176"/>
      <c r="M275" s="151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5.75" customHeight="1">
      <c r="A276" s="149"/>
      <c r="B276" s="57"/>
      <c r="C276" s="149"/>
      <c r="D276" s="176"/>
      <c r="E276" s="149"/>
      <c r="F276" s="149"/>
      <c r="G276" s="149"/>
      <c r="H276" s="149"/>
      <c r="I276" s="176"/>
      <c r="J276" s="176"/>
      <c r="K276" s="176"/>
      <c r="L276" s="176"/>
      <c r="M276" s="151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5.75" customHeight="1">
      <c r="A277" s="149"/>
      <c r="B277" s="57"/>
      <c r="C277" s="149"/>
      <c r="D277" s="176"/>
      <c r="E277" s="149"/>
      <c r="F277" s="149"/>
      <c r="G277" s="149"/>
      <c r="H277" s="149"/>
      <c r="I277" s="176"/>
      <c r="J277" s="176"/>
      <c r="K277" s="176"/>
      <c r="L277" s="176"/>
      <c r="M277" s="151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5.75" customHeight="1">
      <c r="A278" s="149"/>
      <c r="B278" s="57"/>
      <c r="C278" s="149"/>
      <c r="D278" s="176"/>
      <c r="E278" s="149"/>
      <c r="F278" s="149"/>
      <c r="G278" s="149"/>
      <c r="H278" s="149"/>
      <c r="I278" s="176"/>
      <c r="J278" s="176"/>
      <c r="K278" s="176"/>
      <c r="L278" s="176"/>
      <c r="M278" s="151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5.75" customHeight="1">
      <c r="A279" s="149"/>
      <c r="B279" s="57"/>
      <c r="C279" s="149"/>
      <c r="D279" s="176"/>
      <c r="E279" s="149"/>
      <c r="F279" s="149"/>
      <c r="G279" s="149"/>
      <c r="H279" s="149"/>
      <c r="I279" s="176"/>
      <c r="J279" s="176"/>
      <c r="K279" s="176"/>
      <c r="L279" s="176"/>
      <c r="M279" s="151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5.75" customHeight="1">
      <c r="A280" s="149"/>
      <c r="B280" s="57"/>
      <c r="C280" s="149"/>
      <c r="D280" s="176"/>
      <c r="E280" s="149"/>
      <c r="F280" s="149"/>
      <c r="G280" s="149"/>
      <c r="H280" s="149"/>
      <c r="I280" s="176"/>
      <c r="J280" s="176"/>
      <c r="K280" s="176"/>
      <c r="L280" s="176"/>
      <c r="M280" s="151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5.75" customHeight="1">
      <c r="A281" s="149"/>
      <c r="B281" s="57"/>
      <c r="C281" s="149"/>
      <c r="D281" s="176"/>
      <c r="E281" s="149"/>
      <c r="F281" s="149"/>
      <c r="G281" s="149"/>
      <c r="H281" s="149"/>
      <c r="I281" s="176"/>
      <c r="J281" s="176"/>
      <c r="K281" s="176"/>
      <c r="L281" s="176"/>
      <c r="M281" s="151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5.75" customHeight="1">
      <c r="A282" s="149"/>
      <c r="B282" s="57"/>
      <c r="C282" s="149"/>
      <c r="D282" s="176"/>
      <c r="E282" s="149"/>
      <c r="F282" s="149"/>
      <c r="G282" s="149"/>
      <c r="H282" s="149"/>
      <c r="I282" s="176"/>
      <c r="J282" s="176"/>
      <c r="K282" s="176"/>
      <c r="L282" s="176"/>
      <c r="M282" s="151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5.75" customHeight="1">
      <c r="A283" s="149"/>
      <c r="B283" s="57"/>
      <c r="C283" s="149"/>
      <c r="D283" s="176"/>
      <c r="E283" s="149"/>
      <c r="F283" s="149"/>
      <c r="G283" s="149"/>
      <c r="H283" s="149"/>
      <c r="I283" s="176"/>
      <c r="J283" s="176"/>
      <c r="K283" s="176"/>
      <c r="L283" s="176"/>
      <c r="M283" s="151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5.75" customHeight="1">
      <c r="A284" s="149"/>
      <c r="B284" s="57"/>
      <c r="C284" s="149"/>
      <c r="D284" s="176"/>
      <c r="E284" s="149"/>
      <c r="F284" s="149"/>
      <c r="G284" s="149"/>
      <c r="H284" s="149"/>
      <c r="I284" s="176"/>
      <c r="J284" s="176"/>
      <c r="K284" s="176"/>
      <c r="L284" s="176"/>
      <c r="M284" s="151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5.75" customHeight="1">
      <c r="A285" s="149"/>
      <c r="B285" s="57"/>
      <c r="C285" s="149"/>
      <c r="D285" s="176"/>
      <c r="E285" s="149"/>
      <c r="F285" s="149"/>
      <c r="G285" s="149"/>
      <c r="H285" s="149"/>
      <c r="I285" s="176"/>
      <c r="J285" s="176"/>
      <c r="K285" s="176"/>
      <c r="L285" s="176"/>
      <c r="M285" s="151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5.75" customHeight="1">
      <c r="A286" s="149"/>
      <c r="B286" s="57"/>
      <c r="C286" s="149"/>
      <c r="D286" s="176"/>
      <c r="E286" s="149"/>
      <c r="F286" s="149"/>
      <c r="G286" s="149"/>
      <c r="H286" s="149"/>
      <c r="I286" s="176"/>
      <c r="J286" s="176"/>
      <c r="K286" s="176"/>
      <c r="L286" s="176"/>
      <c r="M286" s="151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5.75" customHeight="1">
      <c r="A287" s="149"/>
      <c r="B287" s="57"/>
      <c r="C287" s="149"/>
      <c r="D287" s="176"/>
      <c r="E287" s="149"/>
      <c r="F287" s="149"/>
      <c r="G287" s="149"/>
      <c r="H287" s="149"/>
      <c r="I287" s="176"/>
      <c r="J287" s="176"/>
      <c r="K287" s="176"/>
      <c r="L287" s="176"/>
      <c r="M287" s="151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5.75" customHeight="1">
      <c r="A288" s="149"/>
      <c r="B288" s="57"/>
      <c r="C288" s="149"/>
      <c r="D288" s="176"/>
      <c r="E288" s="149"/>
      <c r="F288" s="149"/>
      <c r="G288" s="149"/>
      <c r="H288" s="149"/>
      <c r="I288" s="176"/>
      <c r="J288" s="176"/>
      <c r="K288" s="176"/>
      <c r="L288" s="176"/>
      <c r="M288" s="151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5.75" customHeight="1">
      <c r="A289" s="149"/>
      <c r="B289" s="57"/>
      <c r="C289" s="149"/>
      <c r="D289" s="176"/>
      <c r="E289" s="149"/>
      <c r="F289" s="149"/>
      <c r="G289" s="149"/>
      <c r="H289" s="149"/>
      <c r="I289" s="176"/>
      <c r="J289" s="176"/>
      <c r="K289" s="176"/>
      <c r="L289" s="176"/>
      <c r="M289" s="151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5.75" customHeight="1">
      <c r="A290" s="149"/>
      <c r="B290" s="57"/>
      <c r="C290" s="149"/>
      <c r="D290" s="176"/>
      <c r="E290" s="149"/>
      <c r="F290" s="149"/>
      <c r="G290" s="149"/>
      <c r="H290" s="149"/>
      <c r="I290" s="176"/>
      <c r="J290" s="176"/>
      <c r="K290" s="176"/>
      <c r="L290" s="176"/>
      <c r="M290" s="151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5.75" customHeight="1">
      <c r="A291" s="149"/>
      <c r="B291" s="57"/>
      <c r="C291" s="149"/>
      <c r="D291" s="176"/>
      <c r="E291" s="149"/>
      <c r="F291" s="149"/>
      <c r="G291" s="149"/>
      <c r="H291" s="149"/>
      <c r="I291" s="176"/>
      <c r="J291" s="176"/>
      <c r="K291" s="176"/>
      <c r="L291" s="176"/>
      <c r="M291" s="151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5.75" customHeight="1">
      <c r="A292" s="149"/>
      <c r="B292" s="57"/>
      <c r="C292" s="149"/>
      <c r="D292" s="176"/>
      <c r="E292" s="149"/>
      <c r="F292" s="149"/>
      <c r="G292" s="149"/>
      <c r="H292" s="149"/>
      <c r="I292" s="176"/>
      <c r="J292" s="176"/>
      <c r="K292" s="176"/>
      <c r="L292" s="176"/>
      <c r="M292" s="151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5.75" customHeight="1">
      <c r="A293" s="149"/>
      <c r="B293" s="57"/>
      <c r="C293" s="149"/>
      <c r="D293" s="176"/>
      <c r="E293" s="149"/>
      <c r="F293" s="149"/>
      <c r="G293" s="149"/>
      <c r="H293" s="149"/>
      <c r="I293" s="176"/>
      <c r="J293" s="176"/>
      <c r="K293" s="176"/>
      <c r="L293" s="176"/>
      <c r="M293" s="151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5.75" customHeight="1">
      <c r="A294" s="149"/>
      <c r="B294" s="57"/>
      <c r="C294" s="149"/>
      <c r="D294" s="176"/>
      <c r="E294" s="149"/>
      <c r="F294" s="149"/>
      <c r="G294" s="149"/>
      <c r="H294" s="149"/>
      <c r="I294" s="176"/>
      <c r="J294" s="176"/>
      <c r="K294" s="176"/>
      <c r="L294" s="176"/>
      <c r="M294" s="151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5.75" customHeight="1">
      <c r="A295" s="149"/>
      <c r="B295" s="57"/>
      <c r="C295" s="149"/>
      <c r="D295" s="176"/>
      <c r="E295" s="149"/>
      <c r="F295" s="149"/>
      <c r="G295" s="149"/>
      <c r="H295" s="149"/>
      <c r="I295" s="176"/>
      <c r="J295" s="176"/>
      <c r="K295" s="176"/>
      <c r="L295" s="176"/>
      <c r="M295" s="151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5.75" customHeight="1">
      <c r="A296" s="149"/>
      <c r="B296" s="57"/>
      <c r="C296" s="149"/>
      <c r="D296" s="176"/>
      <c r="E296" s="149"/>
      <c r="F296" s="149"/>
      <c r="G296" s="149"/>
      <c r="H296" s="149"/>
      <c r="I296" s="176"/>
      <c r="J296" s="176"/>
      <c r="K296" s="176"/>
      <c r="L296" s="176"/>
      <c r="M296" s="151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5.75" customHeight="1">
      <c r="A297" s="149"/>
      <c r="B297" s="57"/>
      <c r="C297" s="149"/>
      <c r="D297" s="176"/>
      <c r="E297" s="149"/>
      <c r="F297" s="149"/>
      <c r="G297" s="149"/>
      <c r="H297" s="149"/>
      <c r="I297" s="176"/>
      <c r="J297" s="176"/>
      <c r="K297" s="176"/>
      <c r="L297" s="176"/>
      <c r="M297" s="151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5.75" customHeight="1">
      <c r="A298" s="149"/>
      <c r="B298" s="57"/>
      <c r="C298" s="149"/>
      <c r="D298" s="176"/>
      <c r="E298" s="149"/>
      <c r="F298" s="149"/>
      <c r="G298" s="149"/>
      <c r="H298" s="149"/>
      <c r="I298" s="176"/>
      <c r="J298" s="176"/>
      <c r="K298" s="176"/>
      <c r="L298" s="176"/>
      <c r="M298" s="151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5.75" customHeight="1">
      <c r="A299" s="149"/>
      <c r="B299" s="57"/>
      <c r="C299" s="149"/>
      <c r="D299" s="176"/>
      <c r="E299" s="149"/>
      <c r="F299" s="149"/>
      <c r="G299" s="149"/>
      <c r="H299" s="149"/>
      <c r="I299" s="176"/>
      <c r="J299" s="176"/>
      <c r="K299" s="176"/>
      <c r="L299" s="176"/>
      <c r="M299" s="151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5.75" customHeight="1">
      <c r="A300" s="149"/>
      <c r="B300" s="57"/>
      <c r="C300" s="149"/>
      <c r="D300" s="176"/>
      <c r="E300" s="149"/>
      <c r="F300" s="149"/>
      <c r="G300" s="149"/>
      <c r="H300" s="149"/>
      <c r="I300" s="176"/>
      <c r="J300" s="176"/>
      <c r="K300" s="176"/>
      <c r="L300" s="176"/>
      <c r="M300" s="151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5.75" customHeight="1">
      <c r="A301" s="149"/>
      <c r="B301" s="57"/>
      <c r="C301" s="149"/>
      <c r="D301" s="176"/>
      <c r="E301" s="149"/>
      <c r="F301" s="149"/>
      <c r="G301" s="149"/>
      <c r="H301" s="149"/>
      <c r="I301" s="176"/>
      <c r="J301" s="176"/>
      <c r="K301" s="176"/>
      <c r="L301" s="176"/>
      <c r="M301" s="151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5.75" customHeight="1">
      <c r="A302" s="149"/>
      <c r="B302" s="57"/>
      <c r="C302" s="149"/>
      <c r="D302" s="176"/>
      <c r="E302" s="149"/>
      <c r="F302" s="149"/>
      <c r="G302" s="149"/>
      <c r="H302" s="149"/>
      <c r="I302" s="176"/>
      <c r="J302" s="176"/>
      <c r="K302" s="176"/>
      <c r="L302" s="176"/>
      <c r="M302" s="151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5.75" customHeight="1">
      <c r="A303" s="149"/>
      <c r="B303" s="57"/>
      <c r="C303" s="149"/>
      <c r="D303" s="176"/>
      <c r="E303" s="149"/>
      <c r="F303" s="149"/>
      <c r="G303" s="149"/>
      <c r="H303" s="149"/>
      <c r="I303" s="176"/>
      <c r="J303" s="176"/>
      <c r="K303" s="176"/>
      <c r="L303" s="176"/>
      <c r="M303" s="151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5.75" customHeight="1">
      <c r="A304" s="149"/>
      <c r="B304" s="57"/>
      <c r="C304" s="149"/>
      <c r="D304" s="176"/>
      <c r="E304" s="149"/>
      <c r="F304" s="149"/>
      <c r="G304" s="149"/>
      <c r="H304" s="149"/>
      <c r="I304" s="176"/>
      <c r="J304" s="176"/>
      <c r="K304" s="176"/>
      <c r="L304" s="176"/>
      <c r="M304" s="151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5.75" customHeight="1">
      <c r="A305" s="149"/>
      <c r="B305" s="57"/>
      <c r="C305" s="149"/>
      <c r="D305" s="176"/>
      <c r="E305" s="149"/>
      <c r="F305" s="149"/>
      <c r="G305" s="149"/>
      <c r="H305" s="149"/>
      <c r="I305" s="176"/>
      <c r="J305" s="176"/>
      <c r="K305" s="176"/>
      <c r="L305" s="176"/>
      <c r="M305" s="151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5.75" customHeight="1">
      <c r="A306" s="149"/>
      <c r="B306" s="57"/>
      <c r="C306" s="149"/>
      <c r="D306" s="176"/>
      <c r="E306" s="149"/>
      <c r="F306" s="149"/>
      <c r="G306" s="149"/>
      <c r="H306" s="149"/>
      <c r="I306" s="176"/>
      <c r="J306" s="176"/>
      <c r="K306" s="176"/>
      <c r="L306" s="176"/>
      <c r="M306" s="151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5.75" customHeight="1">
      <c r="A307" s="149"/>
      <c r="B307" s="57"/>
      <c r="C307" s="149"/>
      <c r="D307" s="176"/>
      <c r="E307" s="149"/>
      <c r="F307" s="149"/>
      <c r="G307" s="149"/>
      <c r="H307" s="149"/>
      <c r="I307" s="176"/>
      <c r="J307" s="176"/>
      <c r="K307" s="176"/>
      <c r="L307" s="176"/>
      <c r="M307" s="151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5.75" customHeight="1">
      <c r="A308" s="149"/>
      <c r="B308" s="57"/>
      <c r="C308" s="149"/>
      <c r="D308" s="176"/>
      <c r="E308" s="149"/>
      <c r="F308" s="149"/>
      <c r="G308" s="149"/>
      <c r="H308" s="149"/>
      <c r="I308" s="176"/>
      <c r="J308" s="176"/>
      <c r="K308" s="176"/>
      <c r="L308" s="176"/>
      <c r="M308" s="151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5.75" customHeight="1">
      <c r="A309" s="149"/>
      <c r="B309" s="57"/>
      <c r="C309" s="149"/>
      <c r="D309" s="176"/>
      <c r="E309" s="149"/>
      <c r="F309" s="149"/>
      <c r="G309" s="149"/>
      <c r="H309" s="149"/>
      <c r="I309" s="176"/>
      <c r="J309" s="176"/>
      <c r="K309" s="176"/>
      <c r="L309" s="176"/>
      <c r="M309" s="151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5.75" customHeight="1">
      <c r="A310" s="149"/>
      <c r="B310" s="57"/>
      <c r="C310" s="149"/>
      <c r="D310" s="176"/>
      <c r="E310" s="149"/>
      <c r="F310" s="149"/>
      <c r="G310" s="149"/>
      <c r="H310" s="149"/>
      <c r="I310" s="176"/>
      <c r="J310" s="176"/>
      <c r="K310" s="176"/>
      <c r="L310" s="176"/>
      <c r="M310" s="151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5.75" customHeight="1">
      <c r="A311" s="149"/>
      <c r="B311" s="57"/>
      <c r="C311" s="149"/>
      <c r="D311" s="176"/>
      <c r="E311" s="149"/>
      <c r="F311" s="149"/>
      <c r="G311" s="149"/>
      <c r="H311" s="149"/>
      <c r="I311" s="176"/>
      <c r="J311" s="176"/>
      <c r="K311" s="176"/>
      <c r="L311" s="176"/>
      <c r="M311" s="151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5.75" customHeight="1">
      <c r="A312" s="149"/>
      <c r="B312" s="57"/>
      <c r="C312" s="149"/>
      <c r="D312" s="176"/>
      <c r="E312" s="149"/>
      <c r="F312" s="149"/>
      <c r="G312" s="149"/>
      <c r="H312" s="149"/>
      <c r="I312" s="176"/>
      <c r="J312" s="176"/>
      <c r="K312" s="176"/>
      <c r="L312" s="176"/>
      <c r="M312" s="151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5.75" customHeight="1">
      <c r="A313" s="149"/>
      <c r="B313" s="57"/>
      <c r="C313" s="149"/>
      <c r="D313" s="176"/>
      <c r="E313" s="149"/>
      <c r="F313" s="149"/>
      <c r="G313" s="149"/>
      <c r="H313" s="149"/>
      <c r="I313" s="176"/>
      <c r="J313" s="176"/>
      <c r="K313" s="176"/>
      <c r="L313" s="176"/>
      <c r="M313" s="151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5.75" customHeight="1">
      <c r="A314" s="149"/>
      <c r="B314" s="57"/>
      <c r="C314" s="149"/>
      <c r="D314" s="176"/>
      <c r="E314" s="149"/>
      <c r="F314" s="149"/>
      <c r="G314" s="149"/>
      <c r="H314" s="149"/>
      <c r="I314" s="176"/>
      <c r="J314" s="176"/>
      <c r="K314" s="176"/>
      <c r="L314" s="176"/>
      <c r="M314" s="151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5.75" customHeight="1">
      <c r="A315" s="149"/>
      <c r="B315" s="57"/>
      <c r="C315" s="149"/>
      <c r="D315" s="176"/>
      <c r="E315" s="149"/>
      <c r="F315" s="149"/>
      <c r="G315" s="149"/>
      <c r="H315" s="149"/>
      <c r="I315" s="176"/>
      <c r="J315" s="176"/>
      <c r="K315" s="176"/>
      <c r="L315" s="176"/>
      <c r="M315" s="151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5.75" customHeight="1">
      <c r="A316" s="149"/>
      <c r="B316" s="57"/>
      <c r="C316" s="149"/>
      <c r="D316" s="176"/>
      <c r="E316" s="149"/>
      <c r="F316" s="149"/>
      <c r="G316" s="149"/>
      <c r="H316" s="149"/>
      <c r="I316" s="176"/>
      <c r="J316" s="176"/>
      <c r="K316" s="176"/>
      <c r="L316" s="176"/>
      <c r="M316" s="151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5.75" customHeight="1">
      <c r="A317" s="149"/>
      <c r="B317" s="57"/>
      <c r="C317" s="149"/>
      <c r="D317" s="176"/>
      <c r="E317" s="149"/>
      <c r="F317" s="149"/>
      <c r="G317" s="149"/>
      <c r="H317" s="149"/>
      <c r="I317" s="176"/>
      <c r="J317" s="176"/>
      <c r="K317" s="176"/>
      <c r="L317" s="176"/>
      <c r="M317" s="151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5.75" customHeight="1">
      <c r="A318" s="149"/>
      <c r="B318" s="57"/>
      <c r="C318" s="149"/>
      <c r="D318" s="176"/>
      <c r="E318" s="149"/>
      <c r="F318" s="149"/>
      <c r="G318" s="149"/>
      <c r="H318" s="149"/>
      <c r="I318" s="176"/>
      <c r="J318" s="176"/>
      <c r="K318" s="176"/>
      <c r="L318" s="176"/>
      <c r="M318" s="151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5.75" customHeight="1">
      <c r="A319" s="149"/>
      <c r="B319" s="57"/>
      <c r="C319" s="149"/>
      <c r="D319" s="176"/>
      <c r="E319" s="149"/>
      <c r="F319" s="149"/>
      <c r="G319" s="149"/>
      <c r="H319" s="149"/>
      <c r="I319" s="176"/>
      <c r="J319" s="176"/>
      <c r="K319" s="176"/>
      <c r="L319" s="176"/>
      <c r="M319" s="151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5.75" customHeight="1">
      <c r="A320" s="149"/>
      <c r="B320" s="57"/>
      <c r="C320" s="149"/>
      <c r="D320" s="176"/>
      <c r="E320" s="149"/>
      <c r="F320" s="149"/>
      <c r="G320" s="149"/>
      <c r="H320" s="149"/>
      <c r="I320" s="176"/>
      <c r="J320" s="176"/>
      <c r="K320" s="176"/>
      <c r="L320" s="176"/>
      <c r="M320" s="151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5.75" customHeight="1">
      <c r="A321" s="149"/>
      <c r="B321" s="57"/>
      <c r="C321" s="149"/>
      <c r="D321" s="176"/>
      <c r="E321" s="149"/>
      <c r="F321" s="149"/>
      <c r="G321" s="149"/>
      <c r="H321" s="149"/>
      <c r="I321" s="176"/>
      <c r="J321" s="176"/>
      <c r="K321" s="176"/>
      <c r="L321" s="176"/>
      <c r="M321" s="151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5.75" customHeight="1">
      <c r="A322" s="149"/>
      <c r="B322" s="57"/>
      <c r="C322" s="149"/>
      <c r="D322" s="176"/>
      <c r="E322" s="176"/>
      <c r="F322" s="176"/>
      <c r="G322" s="176"/>
      <c r="H322" s="176"/>
      <c r="I322" s="176"/>
      <c r="J322" s="176"/>
      <c r="K322" s="176"/>
      <c r="L322" s="176"/>
      <c r="M322" s="151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5.75" customHeight="1">
      <c r="A323" s="149"/>
      <c r="B323" s="57"/>
      <c r="C323" s="149"/>
      <c r="D323" s="176"/>
      <c r="E323" s="176"/>
      <c r="F323" s="176"/>
      <c r="G323" s="176"/>
      <c r="H323" s="176"/>
      <c r="I323" s="176"/>
      <c r="J323" s="176"/>
      <c r="K323" s="176"/>
      <c r="L323" s="176"/>
      <c r="M323" s="151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5.75" customHeight="1">
      <c r="A324" s="149"/>
      <c r="B324" s="57"/>
      <c r="C324" s="149"/>
      <c r="D324" s="176"/>
      <c r="E324" s="176"/>
      <c r="F324" s="176"/>
      <c r="G324" s="176"/>
      <c r="H324" s="176"/>
      <c r="I324" s="176"/>
      <c r="J324" s="176"/>
      <c r="K324" s="176"/>
      <c r="L324" s="176"/>
      <c r="M324" s="151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5.75" customHeight="1">
      <c r="A325" s="149"/>
      <c r="B325" s="57"/>
      <c r="C325" s="149"/>
      <c r="D325" s="176"/>
      <c r="E325" s="176"/>
      <c r="F325" s="176"/>
      <c r="G325" s="176"/>
      <c r="H325" s="176"/>
      <c r="I325" s="176"/>
      <c r="J325" s="176"/>
      <c r="K325" s="176"/>
      <c r="L325" s="176"/>
      <c r="M325" s="151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5.75" customHeight="1">
      <c r="A326" s="149"/>
      <c r="B326" s="57"/>
      <c r="C326" s="149"/>
      <c r="D326" s="176"/>
      <c r="E326" s="176"/>
      <c r="F326" s="176"/>
      <c r="G326" s="176"/>
      <c r="H326" s="176"/>
      <c r="I326" s="176"/>
      <c r="J326" s="176"/>
      <c r="K326" s="176"/>
      <c r="L326" s="176"/>
      <c r="M326" s="151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5.75" customHeight="1">
      <c r="A327" s="149"/>
      <c r="B327" s="57"/>
      <c r="C327" s="149"/>
      <c r="D327" s="176"/>
      <c r="E327" s="176"/>
      <c r="F327" s="176"/>
      <c r="G327" s="176"/>
      <c r="H327" s="176"/>
      <c r="I327" s="176"/>
      <c r="J327" s="176"/>
      <c r="K327" s="176"/>
      <c r="L327" s="176"/>
      <c r="M327" s="151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5.75" customHeight="1">
      <c r="A328" s="149"/>
      <c r="B328" s="57"/>
      <c r="C328" s="149"/>
      <c r="D328" s="176"/>
      <c r="E328" s="176"/>
      <c r="F328" s="176"/>
      <c r="G328" s="176"/>
      <c r="H328" s="176"/>
      <c r="I328" s="176"/>
      <c r="J328" s="176"/>
      <c r="K328" s="176"/>
      <c r="L328" s="176"/>
      <c r="M328" s="151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5.75" customHeight="1">
      <c r="A329" s="149"/>
      <c r="B329" s="57"/>
      <c r="C329" s="149"/>
      <c r="D329" s="176"/>
      <c r="E329" s="176"/>
      <c r="F329" s="176"/>
      <c r="G329" s="176"/>
      <c r="H329" s="176"/>
      <c r="I329" s="176"/>
      <c r="J329" s="176"/>
      <c r="K329" s="176"/>
      <c r="L329" s="176"/>
      <c r="M329" s="151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5.75" customHeight="1">
      <c r="A330" s="149"/>
      <c r="B330" s="57"/>
      <c r="C330" s="149"/>
      <c r="D330" s="176"/>
      <c r="E330" s="176"/>
      <c r="F330" s="176"/>
      <c r="G330" s="176"/>
      <c r="H330" s="176"/>
      <c r="I330" s="176"/>
      <c r="J330" s="176"/>
      <c r="K330" s="176"/>
      <c r="L330" s="176"/>
      <c r="M330" s="151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5.75" customHeight="1">
      <c r="A331" s="149"/>
      <c r="B331" s="57"/>
      <c r="C331" s="149"/>
      <c r="D331" s="176"/>
      <c r="E331" s="176"/>
      <c r="F331" s="176"/>
      <c r="G331" s="176"/>
      <c r="H331" s="176"/>
      <c r="I331" s="176"/>
      <c r="J331" s="176"/>
      <c r="K331" s="176"/>
      <c r="L331" s="176"/>
      <c r="M331" s="151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5.75" customHeight="1">
      <c r="A332" s="149"/>
      <c r="B332" s="57"/>
      <c r="C332" s="149"/>
      <c r="D332" s="176"/>
      <c r="E332" s="176"/>
      <c r="F332" s="176"/>
      <c r="G332" s="176"/>
      <c r="H332" s="176"/>
      <c r="I332" s="176"/>
      <c r="J332" s="176"/>
      <c r="K332" s="176"/>
      <c r="L332" s="176"/>
      <c r="M332" s="151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5.75" customHeight="1">
      <c r="A333" s="149"/>
      <c r="B333" s="57"/>
      <c r="C333" s="149"/>
      <c r="D333" s="176"/>
      <c r="E333" s="176"/>
      <c r="F333" s="176"/>
      <c r="G333" s="176"/>
      <c r="H333" s="176"/>
      <c r="I333" s="176"/>
      <c r="J333" s="176"/>
      <c r="K333" s="176"/>
      <c r="L333" s="176"/>
      <c r="M333" s="151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5.75" customHeight="1">
      <c r="A334" s="149"/>
      <c r="B334" s="57"/>
      <c r="C334" s="149"/>
      <c r="D334" s="176"/>
      <c r="E334" s="176"/>
      <c r="F334" s="176"/>
      <c r="G334" s="176"/>
      <c r="H334" s="176"/>
      <c r="I334" s="176"/>
      <c r="J334" s="176"/>
      <c r="K334" s="176"/>
      <c r="L334" s="176"/>
      <c r="M334" s="151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5.75" customHeight="1">
      <c r="A335" s="149"/>
      <c r="B335" s="57"/>
      <c r="C335" s="149"/>
      <c r="D335" s="176"/>
      <c r="E335" s="176"/>
      <c r="F335" s="176"/>
      <c r="G335" s="176"/>
      <c r="H335" s="176"/>
      <c r="I335" s="176"/>
      <c r="J335" s="176"/>
      <c r="K335" s="176"/>
      <c r="L335" s="176"/>
      <c r="M335" s="151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5.75" customHeight="1">
      <c r="A336" s="149"/>
      <c r="B336" s="57"/>
      <c r="C336" s="149"/>
      <c r="D336" s="176"/>
      <c r="E336" s="176"/>
      <c r="F336" s="176"/>
      <c r="G336" s="176"/>
      <c r="H336" s="176"/>
      <c r="I336" s="176"/>
      <c r="J336" s="176"/>
      <c r="K336" s="176"/>
      <c r="L336" s="176"/>
      <c r="M336" s="151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5.75" customHeight="1">
      <c r="A337" s="149"/>
      <c r="B337" s="57"/>
      <c r="C337" s="149"/>
      <c r="D337" s="176"/>
      <c r="E337" s="176"/>
      <c r="F337" s="176"/>
      <c r="G337" s="176"/>
      <c r="H337" s="176"/>
      <c r="I337" s="176"/>
      <c r="J337" s="176"/>
      <c r="K337" s="176"/>
      <c r="L337" s="176"/>
      <c r="M337" s="151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5.75" customHeight="1">
      <c r="A338" s="149"/>
      <c r="B338" s="57"/>
      <c r="C338" s="149"/>
      <c r="D338" s="176"/>
      <c r="E338" s="176"/>
      <c r="F338" s="176"/>
      <c r="G338" s="176"/>
      <c r="H338" s="176"/>
      <c r="I338" s="176"/>
      <c r="J338" s="176"/>
      <c r="K338" s="176"/>
      <c r="L338" s="176"/>
      <c r="M338" s="151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5.75" customHeight="1">
      <c r="A339" s="149"/>
      <c r="B339" s="57"/>
      <c r="C339" s="149"/>
      <c r="D339" s="176"/>
      <c r="E339" s="176"/>
      <c r="F339" s="176"/>
      <c r="G339" s="176"/>
      <c r="H339" s="176"/>
      <c r="I339" s="176"/>
      <c r="J339" s="176"/>
      <c r="K339" s="176"/>
      <c r="L339" s="176"/>
      <c r="M339" s="151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5.75" customHeight="1">
      <c r="A340" s="149"/>
      <c r="B340" s="57"/>
      <c r="C340" s="149"/>
      <c r="D340" s="176"/>
      <c r="E340" s="176"/>
      <c r="F340" s="176"/>
      <c r="G340" s="176"/>
      <c r="H340" s="176"/>
      <c r="I340" s="176"/>
      <c r="J340" s="176"/>
      <c r="K340" s="176"/>
      <c r="L340" s="176"/>
      <c r="M340" s="151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5.75" customHeight="1">
      <c r="A341" s="149"/>
      <c r="B341" s="57"/>
      <c r="C341" s="149"/>
      <c r="D341" s="176"/>
      <c r="E341" s="176"/>
      <c r="F341" s="176"/>
      <c r="G341" s="176"/>
      <c r="H341" s="176"/>
      <c r="I341" s="176"/>
      <c r="J341" s="176"/>
      <c r="K341" s="176"/>
      <c r="L341" s="176"/>
      <c r="M341" s="151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5.75" customHeight="1">
      <c r="A342" s="149"/>
      <c r="B342" s="57"/>
      <c r="C342" s="149"/>
      <c r="D342" s="176"/>
      <c r="E342" s="176"/>
      <c r="F342" s="176"/>
      <c r="G342" s="176"/>
      <c r="H342" s="176"/>
      <c r="I342" s="176"/>
      <c r="J342" s="176"/>
      <c r="K342" s="176"/>
      <c r="L342" s="176"/>
      <c r="M342" s="151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5.75" customHeight="1">
      <c r="A343" s="149"/>
      <c r="B343" s="57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51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5.75" customHeight="1">
      <c r="A344" s="149"/>
      <c r="B344" s="57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51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5.75" customHeight="1">
      <c r="A345" s="149"/>
      <c r="B345" s="57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51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5.75" customHeight="1">
      <c r="A346" s="149"/>
      <c r="B346" s="57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51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5.75" customHeight="1">
      <c r="A347" s="149"/>
      <c r="B347" s="57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51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5.75" customHeight="1">
      <c r="A348" s="149"/>
      <c r="B348" s="57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51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5.75" customHeight="1">
      <c r="A349" s="149"/>
      <c r="B349" s="57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51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5.75" customHeight="1">
      <c r="A350" s="149"/>
      <c r="B350" s="57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51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5.75" customHeight="1">
      <c r="A351" s="149"/>
      <c r="B351" s="57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51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5.75" customHeight="1">
      <c r="A352" s="149"/>
      <c r="B352" s="57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51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5.75" customHeight="1">
      <c r="A353" s="149"/>
      <c r="B353" s="57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51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5.75" customHeight="1">
      <c r="A354" s="149"/>
      <c r="B354" s="57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51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5.75" customHeight="1">
      <c r="A355" s="149"/>
      <c r="B355" s="57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51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5.75" customHeight="1">
      <c r="A356" s="149"/>
      <c r="B356" s="57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51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5.75" customHeight="1">
      <c r="A357" s="149"/>
      <c r="B357" s="57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51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5.75" customHeight="1">
      <c r="A358" s="149"/>
      <c r="B358" s="57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51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5.75" customHeight="1">
      <c r="A359" s="149"/>
      <c r="B359" s="57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51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5.75" customHeight="1">
      <c r="A360" s="149"/>
      <c r="B360" s="57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51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5.75" customHeight="1">
      <c r="A361" s="149"/>
      <c r="B361" s="57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51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5.75" customHeight="1">
      <c r="A362" s="149"/>
      <c r="B362" s="57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51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5.75" customHeight="1">
      <c r="A363" s="149"/>
      <c r="B363" s="57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51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5.75" customHeight="1">
      <c r="A364" s="149"/>
      <c r="B364" s="57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51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5.75" customHeight="1">
      <c r="A365" s="149"/>
      <c r="B365" s="57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51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5.75" customHeight="1">
      <c r="A366" s="149"/>
      <c r="B366" s="57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51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5.75" customHeight="1">
      <c r="A367" s="149"/>
      <c r="B367" s="57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51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5.75" customHeight="1">
      <c r="A368" s="149"/>
      <c r="B368" s="57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51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5.75" customHeight="1">
      <c r="A369" s="149"/>
      <c r="B369" s="57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51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5.75" customHeight="1">
      <c r="A370" s="149"/>
      <c r="B370" s="57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51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5.75" customHeight="1">
      <c r="A371" s="149"/>
      <c r="B371" s="57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51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5.75" customHeight="1">
      <c r="A372" s="149"/>
      <c r="B372" s="57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51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5.75" customHeight="1">
      <c r="A373" s="149"/>
      <c r="B373" s="57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51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5.75" customHeight="1">
      <c r="A374" s="149"/>
      <c r="B374" s="57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51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5.75" customHeight="1">
      <c r="A375" s="149"/>
      <c r="B375" s="57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51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5.75" customHeight="1">
      <c r="A376" s="149"/>
      <c r="B376" s="57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51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5.75" customHeight="1">
      <c r="A377" s="149"/>
      <c r="B377" s="57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51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5.75" customHeight="1">
      <c r="A378" s="149"/>
      <c r="B378" s="57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51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5.75" customHeight="1">
      <c r="A379" s="149"/>
      <c r="B379" s="57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51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5.75" customHeight="1">
      <c r="A380" s="149"/>
      <c r="B380" s="57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51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5.75" customHeight="1">
      <c r="A381" s="149"/>
      <c r="B381" s="57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51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5.75" customHeight="1">
      <c r="A382" s="149"/>
      <c r="B382" s="57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51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5.75" customHeight="1">
      <c r="A383" s="149"/>
      <c r="B383" s="57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51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5.75" customHeight="1">
      <c r="A384" s="149"/>
      <c r="B384" s="57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51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5.75" customHeight="1">
      <c r="A385" s="149"/>
      <c r="B385" s="57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51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5.75" customHeight="1">
      <c r="A386" s="149"/>
      <c r="B386" s="57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51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5.75" customHeight="1">
      <c r="A387" s="149"/>
      <c r="B387" s="57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51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5.75" customHeight="1">
      <c r="A388" s="149"/>
      <c r="B388" s="57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51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5.75" customHeight="1">
      <c r="A389" s="149"/>
      <c r="B389" s="57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51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5.75" customHeight="1">
      <c r="A390" s="149"/>
      <c r="B390" s="57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51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5.75" customHeight="1">
      <c r="A391" s="149"/>
      <c r="B391" s="57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51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5.75" customHeight="1">
      <c r="A392" s="149"/>
      <c r="B392" s="57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51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5.75" customHeight="1">
      <c r="A393" s="149"/>
      <c r="B393" s="57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51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5.75" customHeight="1">
      <c r="A394" s="149"/>
      <c r="B394" s="57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51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5.75" customHeight="1">
      <c r="A395" s="149"/>
      <c r="B395" s="57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51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5.75" customHeight="1">
      <c r="A396" s="149"/>
      <c r="B396" s="5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51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5.75" customHeight="1">
      <c r="A397" s="149"/>
      <c r="B397" s="57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51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5.75" customHeight="1">
      <c r="A398" s="149"/>
      <c r="B398" s="57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51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5.75" customHeight="1">
      <c r="A399" s="149"/>
      <c r="B399" s="57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51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5.75" customHeight="1">
      <c r="A400" s="149"/>
      <c r="B400" s="57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51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5.75" customHeight="1">
      <c r="A401" s="149"/>
      <c r="B401" s="57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51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5.75" customHeight="1">
      <c r="A402" s="149"/>
      <c r="B402" s="57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51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5.75" customHeight="1">
      <c r="A403" s="149"/>
      <c r="B403" s="57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51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5.75" customHeight="1">
      <c r="A404" s="149"/>
      <c r="B404" s="57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51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5.75" customHeight="1">
      <c r="A405" s="149"/>
      <c r="B405" s="57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51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5.75" customHeight="1">
      <c r="A406" s="149"/>
      <c r="B406" s="57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51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5.75" customHeight="1">
      <c r="A407" s="149"/>
      <c r="B407" s="57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51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5.75" customHeight="1">
      <c r="A408" s="149"/>
      <c r="B408" s="57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51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5.75" customHeight="1">
      <c r="A409" s="149"/>
      <c r="B409" s="57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51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5.75" customHeight="1">
      <c r="A410" s="149"/>
      <c r="B410" s="57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51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5.75" customHeight="1">
      <c r="A411" s="149"/>
      <c r="B411" s="57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51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5.75" customHeight="1">
      <c r="A412" s="149"/>
      <c r="B412" s="57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51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5.75" customHeight="1">
      <c r="A413" s="149"/>
      <c r="B413" s="57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51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5.75" customHeight="1">
      <c r="A414" s="149"/>
      <c r="B414" s="57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51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5.75" customHeight="1">
      <c r="A415" s="149"/>
      <c r="B415" s="57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51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5.75" customHeight="1">
      <c r="A416" s="149"/>
      <c r="B416" s="57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51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5.75" customHeight="1">
      <c r="A417" s="149"/>
      <c r="B417" s="57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51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5.75" customHeight="1">
      <c r="A418" s="149"/>
      <c r="B418" s="57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51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5.75" customHeight="1">
      <c r="A419" s="149"/>
      <c r="B419" s="57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51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5.75" customHeight="1">
      <c r="A420" s="149"/>
      <c r="B420" s="57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51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5.75" customHeight="1">
      <c r="A421" s="149"/>
      <c r="B421" s="57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51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5.75" customHeight="1">
      <c r="A422" s="149"/>
      <c r="B422" s="57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51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5.75" customHeight="1">
      <c r="A423" s="149"/>
      <c r="B423" s="57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51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5.75" customHeight="1">
      <c r="A424" s="149"/>
      <c r="B424" s="57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51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5.75" customHeight="1">
      <c r="A425" s="149"/>
      <c r="B425" s="57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51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5.75" customHeight="1">
      <c r="A426" s="149"/>
      <c r="B426" s="57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51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5.75" customHeight="1">
      <c r="A427" s="149"/>
      <c r="B427" s="57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51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5.75" customHeight="1">
      <c r="A428" s="149"/>
      <c r="B428" s="57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51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5.75" customHeight="1">
      <c r="A429" s="149"/>
      <c r="B429" s="57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51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5.75" customHeight="1">
      <c r="A430" s="149"/>
      <c r="B430" s="57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51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5.75" customHeight="1">
      <c r="A431" s="149"/>
      <c r="B431" s="57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51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5.75" customHeight="1">
      <c r="A432" s="149"/>
      <c r="B432" s="57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51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5.75" customHeight="1">
      <c r="A433" s="149"/>
      <c r="B433" s="57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51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5.75" customHeight="1">
      <c r="A434" s="149"/>
      <c r="B434" s="57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51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5.75" customHeight="1">
      <c r="A435" s="149"/>
      <c r="B435" s="57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51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5.75" customHeight="1">
      <c r="A436" s="149"/>
      <c r="B436" s="57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51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5.75" customHeight="1">
      <c r="A437" s="149"/>
      <c r="B437" s="57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51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5.75" customHeight="1">
      <c r="A438" s="149"/>
      <c r="B438" s="57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51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5.75" customHeight="1">
      <c r="A439" s="149"/>
      <c r="B439" s="57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51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5.75" customHeight="1">
      <c r="A440" s="149"/>
      <c r="B440" s="57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51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5.75" customHeight="1">
      <c r="A441" s="149"/>
      <c r="B441" s="57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51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5.75" customHeight="1">
      <c r="A442" s="149"/>
      <c r="B442" s="57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51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5.75" customHeight="1">
      <c r="A443" s="149"/>
      <c r="B443" s="57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51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5.75" customHeight="1">
      <c r="A444" s="149"/>
      <c r="B444" s="57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51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5.75" customHeight="1">
      <c r="A445" s="149"/>
      <c r="B445" s="5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51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5.75" customHeight="1">
      <c r="A446" s="149"/>
      <c r="B446" s="57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51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5.75" customHeight="1">
      <c r="A447" s="149"/>
      <c r="B447" s="57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51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5.75" customHeight="1">
      <c r="A448" s="149"/>
      <c r="B448" s="57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51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5.75" customHeight="1">
      <c r="A449" s="149"/>
      <c r="B449" s="57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51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5.75" customHeight="1">
      <c r="A450" s="149"/>
      <c r="B450" s="57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51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5.75" customHeight="1">
      <c r="A451" s="149"/>
      <c r="B451" s="57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51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5.75" customHeight="1">
      <c r="A452" s="149"/>
      <c r="B452" s="57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51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5.75" customHeight="1">
      <c r="A453" s="149"/>
      <c r="B453" s="57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51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5.75" customHeight="1">
      <c r="A454" s="149"/>
      <c r="B454" s="57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51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5.75" customHeight="1">
      <c r="A455" s="149"/>
      <c r="B455" s="5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51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5.75" customHeight="1">
      <c r="A456" s="149"/>
      <c r="B456" s="57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51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5.75" customHeight="1">
      <c r="A457" s="149"/>
      <c r="B457" s="57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51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5.75" customHeight="1">
      <c r="A458" s="149"/>
      <c r="B458" s="57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51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5.75" customHeight="1">
      <c r="A459" s="149"/>
      <c r="B459" s="57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51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5.75" customHeight="1">
      <c r="A460" s="149"/>
      <c r="B460" s="57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51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5.75" customHeight="1">
      <c r="A461" s="149"/>
      <c r="B461" s="57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51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5.75" customHeight="1">
      <c r="A462" s="149"/>
      <c r="B462" s="57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51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5.75" customHeight="1">
      <c r="A463" s="149"/>
      <c r="B463" s="57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51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5.75" customHeight="1">
      <c r="A464" s="149"/>
      <c r="B464" s="57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51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5.75" customHeight="1">
      <c r="A465" s="149"/>
      <c r="B465" s="57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51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5.75" customHeight="1">
      <c r="A466" s="149"/>
      <c r="B466" s="57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51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5.75" customHeight="1">
      <c r="A467" s="149"/>
      <c r="B467" s="57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51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5.75" customHeight="1">
      <c r="A468" s="149"/>
      <c r="B468" s="57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51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5.75" customHeight="1">
      <c r="A469" s="149"/>
      <c r="B469" s="57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51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5.75" customHeight="1">
      <c r="A470" s="149"/>
      <c r="B470" s="57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51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5.75" customHeight="1">
      <c r="A471" s="149"/>
      <c r="B471" s="57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51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5.75" customHeight="1">
      <c r="A472" s="149"/>
      <c r="B472" s="57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51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5.75" customHeight="1">
      <c r="A473" s="149"/>
      <c r="B473" s="57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51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5.75" customHeight="1">
      <c r="A474" s="149"/>
      <c r="B474" s="57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51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5.75" customHeight="1">
      <c r="A475" s="149"/>
      <c r="B475" s="57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51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5.75" customHeight="1">
      <c r="A476" s="149"/>
      <c r="B476" s="57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51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5.75" customHeight="1">
      <c r="A477" s="149"/>
      <c r="B477" s="57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51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5.75" customHeight="1">
      <c r="A478" s="149"/>
      <c r="B478" s="57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51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5.75" customHeight="1">
      <c r="A479" s="149"/>
      <c r="B479" s="57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51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5.75" customHeight="1">
      <c r="A480" s="149"/>
      <c r="B480" s="57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51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5.75" customHeight="1">
      <c r="A481" s="149"/>
      <c r="B481" s="57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51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5.75" customHeight="1">
      <c r="A482" s="149"/>
      <c r="B482" s="57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51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5.75" customHeight="1">
      <c r="A483" s="149"/>
      <c r="B483" s="57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51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5.75" customHeight="1">
      <c r="A484" s="149"/>
      <c r="B484" s="57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51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5.75" customHeight="1">
      <c r="A485" s="149"/>
      <c r="B485" s="57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51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5.75" customHeight="1">
      <c r="A486" s="149"/>
      <c r="B486" s="57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51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5.75" customHeight="1">
      <c r="A487" s="149"/>
      <c r="B487" s="57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51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5.75" customHeight="1">
      <c r="A488" s="149"/>
      <c r="B488" s="57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51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5.75" customHeight="1">
      <c r="A489" s="149"/>
      <c r="B489" s="57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51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5.75" customHeight="1">
      <c r="A490" s="149"/>
      <c r="B490" s="57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51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5.75" customHeight="1">
      <c r="A491" s="149"/>
      <c r="B491" s="57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51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5.75" customHeight="1">
      <c r="A492" s="149"/>
      <c r="B492" s="57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51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5.75" customHeight="1">
      <c r="A493" s="149"/>
      <c r="B493" s="57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51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5.75" customHeight="1">
      <c r="A494" s="149"/>
      <c r="B494" s="57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51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5.75" customHeight="1">
      <c r="A495" s="149"/>
      <c r="B495" s="57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51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5.75" customHeight="1">
      <c r="A496" s="149"/>
      <c r="B496" s="57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51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5.75" customHeight="1">
      <c r="A497" s="149"/>
      <c r="B497" s="57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51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5.75" customHeight="1">
      <c r="A498" s="149"/>
      <c r="B498" s="57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51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5.75" customHeight="1">
      <c r="A499" s="149"/>
      <c r="B499" s="57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51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5.75" customHeight="1">
      <c r="A500" s="149"/>
      <c r="B500" s="57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51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5.75" customHeight="1">
      <c r="A501" s="149"/>
      <c r="B501" s="57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51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5.75" customHeight="1">
      <c r="A502" s="149"/>
      <c r="B502" s="57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51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5.75" customHeight="1">
      <c r="A503" s="149"/>
      <c r="B503" s="57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51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5.75" customHeight="1">
      <c r="A504" s="149"/>
      <c r="B504" s="57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51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5.75" customHeight="1">
      <c r="A505" s="149"/>
      <c r="B505" s="57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51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5.75" customHeight="1">
      <c r="A506" s="149"/>
      <c r="B506" s="57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51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5.75" customHeight="1">
      <c r="A507" s="149"/>
      <c r="B507" s="57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51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5.75" customHeight="1">
      <c r="A508" s="149"/>
      <c r="B508" s="57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51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5.75" customHeight="1">
      <c r="A509" s="149"/>
      <c r="B509" s="57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51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5.75" customHeight="1">
      <c r="A510" s="149"/>
      <c r="B510" s="57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51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5.75" customHeight="1">
      <c r="A511" s="149"/>
      <c r="B511" s="57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51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5.75" customHeight="1">
      <c r="A512" s="149"/>
      <c r="B512" s="57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51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5.75" customHeight="1">
      <c r="A513" s="149"/>
      <c r="B513" s="57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51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5.75" customHeight="1">
      <c r="A514" s="149"/>
      <c r="B514" s="57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51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5.75" customHeight="1">
      <c r="A515" s="149"/>
      <c r="B515" s="57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51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5.75" customHeight="1">
      <c r="A516" s="149"/>
      <c r="B516" s="57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51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5.75" customHeight="1">
      <c r="A517" s="149"/>
      <c r="B517" s="57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51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5.75" customHeight="1">
      <c r="A518" s="149"/>
      <c r="B518" s="57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51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5.75" customHeight="1">
      <c r="A519" s="149"/>
      <c r="B519" s="57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51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5.75" customHeight="1">
      <c r="A520" s="149"/>
      <c r="B520" s="57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51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5.75" customHeight="1">
      <c r="A521" s="149"/>
      <c r="B521" s="57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51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5.75" customHeight="1">
      <c r="A522" s="149"/>
      <c r="B522" s="57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51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5.75" customHeight="1">
      <c r="A523" s="149"/>
      <c r="B523" s="57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51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5.75" customHeight="1">
      <c r="A524" s="149"/>
      <c r="B524" s="57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51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5.75" customHeight="1">
      <c r="A525" s="149"/>
      <c r="B525" s="57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51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5.75" customHeight="1">
      <c r="A526" s="149"/>
      <c r="B526" s="57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51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5.75" customHeight="1">
      <c r="A527" s="149"/>
      <c r="B527" s="57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51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5.75" customHeight="1">
      <c r="A528" s="149"/>
      <c r="B528" s="57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51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5.75" customHeight="1">
      <c r="A529" s="149"/>
      <c r="B529" s="57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51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5.75" customHeight="1">
      <c r="A530" s="149"/>
      <c r="B530" s="57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51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5.75" customHeight="1">
      <c r="A531" s="149"/>
      <c r="B531" s="57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51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5.75" customHeight="1">
      <c r="A532" s="149"/>
      <c r="B532" s="57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51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5.75" customHeight="1">
      <c r="A533" s="149"/>
      <c r="B533" s="57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51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5.75" customHeight="1">
      <c r="A534" s="149"/>
      <c r="B534" s="57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51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5.75" customHeight="1">
      <c r="A535" s="149"/>
      <c r="B535" s="57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51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5.75" customHeight="1">
      <c r="A536" s="149"/>
      <c r="B536" s="57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51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5.75" customHeight="1">
      <c r="A537" s="149"/>
      <c r="B537" s="57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51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5.75" customHeight="1">
      <c r="A538" s="149"/>
      <c r="B538" s="57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51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5.75" customHeight="1">
      <c r="A539" s="149"/>
      <c r="B539" s="57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51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5.75" customHeight="1">
      <c r="A540" s="149"/>
      <c r="B540" s="57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51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5.75" customHeight="1">
      <c r="A541" s="149"/>
      <c r="B541" s="57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51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5.75" customHeight="1">
      <c r="A542" s="149"/>
      <c r="B542" s="57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51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5.75" customHeight="1">
      <c r="A543" s="149"/>
      <c r="B543" s="57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51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5.75" customHeight="1">
      <c r="A544" s="149"/>
      <c r="B544" s="57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51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5.75" customHeight="1">
      <c r="A545" s="149"/>
      <c r="B545" s="57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51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5.75" customHeight="1">
      <c r="A546" s="149"/>
      <c r="B546" s="57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51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5.75" customHeight="1">
      <c r="A547" s="149"/>
      <c r="B547" s="57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51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5.75" customHeight="1">
      <c r="A548" s="149"/>
      <c r="B548" s="57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51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5.75" customHeight="1">
      <c r="A549" s="149"/>
      <c r="B549" s="57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51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5.75" customHeight="1">
      <c r="A550" s="149"/>
      <c r="B550" s="57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51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5.75" customHeight="1">
      <c r="A551" s="149"/>
      <c r="B551" s="57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51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5.75" customHeight="1">
      <c r="A552" s="149"/>
      <c r="B552" s="57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51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5.75" customHeight="1">
      <c r="A553" s="149"/>
      <c r="B553" s="57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51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5.75" customHeight="1">
      <c r="A554" s="149"/>
      <c r="B554" s="57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51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5.75" customHeight="1">
      <c r="A555" s="149"/>
      <c r="B555" s="57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51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5.75" customHeight="1">
      <c r="A556" s="149"/>
      <c r="B556" s="57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51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5.75" customHeight="1">
      <c r="A557" s="149"/>
      <c r="B557" s="57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51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5.75" customHeight="1">
      <c r="A558" s="149"/>
      <c r="B558" s="57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51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5.75" customHeight="1">
      <c r="A559" s="149"/>
      <c r="B559" s="57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51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5.75" customHeight="1">
      <c r="A560" s="149"/>
      <c r="B560" s="57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51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5.75" customHeight="1">
      <c r="A561" s="149"/>
      <c r="B561" s="57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51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5.75" customHeight="1">
      <c r="A562" s="149"/>
      <c r="B562" s="57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51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5.75" customHeight="1">
      <c r="A563" s="149"/>
      <c r="B563" s="57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51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5.75" customHeight="1">
      <c r="A564" s="149"/>
      <c r="B564" s="57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51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5.75" customHeight="1">
      <c r="A565" s="149"/>
      <c r="B565" s="57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51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5.75" customHeight="1">
      <c r="A566" s="149"/>
      <c r="B566" s="57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51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5.75" customHeight="1">
      <c r="A567" s="149"/>
      <c r="B567" s="57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51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5.75" customHeight="1">
      <c r="A568" s="149"/>
      <c r="B568" s="57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51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5.75" customHeight="1">
      <c r="A569" s="149"/>
      <c r="B569" s="57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51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5.75" customHeight="1">
      <c r="A570" s="149"/>
      <c r="B570" s="57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51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5.75" customHeight="1">
      <c r="A571" s="149"/>
      <c r="B571" s="57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51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5.75" customHeight="1">
      <c r="A572" s="149"/>
      <c r="B572" s="57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51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5.75" customHeight="1">
      <c r="A573" s="149"/>
      <c r="B573" s="57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51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5.75" customHeight="1">
      <c r="A574" s="149"/>
      <c r="B574" s="57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51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5.75" customHeight="1">
      <c r="A575" s="149"/>
      <c r="B575" s="57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51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5.75" customHeight="1">
      <c r="A576" s="149"/>
      <c r="B576" s="57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51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5.75" customHeight="1">
      <c r="A577" s="149"/>
      <c r="B577" s="57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51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5.75" customHeight="1">
      <c r="A578" s="149"/>
      <c r="B578" s="57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51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5.75" customHeight="1">
      <c r="A579" s="149"/>
      <c r="B579" s="57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51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5.75" customHeight="1">
      <c r="A580" s="149"/>
      <c r="B580" s="57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51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5.75" customHeight="1">
      <c r="A581" s="149"/>
      <c r="B581" s="57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51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5.75" customHeight="1">
      <c r="A582" s="149"/>
      <c r="B582" s="57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51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5.75" customHeight="1">
      <c r="A583" s="149"/>
      <c r="B583" s="57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51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5.75" customHeight="1">
      <c r="A584" s="149"/>
      <c r="B584" s="57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51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5.75" customHeight="1">
      <c r="A585" s="149"/>
      <c r="B585" s="57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51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5.75" customHeight="1">
      <c r="A586" s="149"/>
      <c r="B586" s="57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51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5.75" customHeight="1">
      <c r="A587" s="149"/>
      <c r="B587" s="57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51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5.75" customHeight="1">
      <c r="A588" s="149"/>
      <c r="B588" s="57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51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5.75" customHeight="1">
      <c r="A589" s="149"/>
      <c r="B589" s="57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51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5.75" customHeight="1">
      <c r="A590" s="149"/>
      <c r="B590" s="57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51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5.75" customHeight="1">
      <c r="A591" s="149"/>
      <c r="B591" s="57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51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5.75" customHeight="1">
      <c r="A592" s="149"/>
      <c r="B592" s="57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51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5.75" customHeight="1">
      <c r="A593" s="149"/>
      <c r="B593" s="57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51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5.75" customHeight="1">
      <c r="A594" s="149"/>
      <c r="B594" s="57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51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5.75" customHeight="1">
      <c r="A595" s="149"/>
      <c r="B595" s="57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51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5.75" customHeight="1">
      <c r="A596" s="149"/>
      <c r="B596" s="57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51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5.75" customHeight="1">
      <c r="A597" s="149"/>
      <c r="B597" s="57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51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5.75" customHeight="1">
      <c r="A598" s="149"/>
      <c r="B598" s="57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51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5.75" customHeight="1">
      <c r="A599" s="149"/>
      <c r="B599" s="57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51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5.75" customHeight="1">
      <c r="A600" s="149"/>
      <c r="B600" s="57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51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5.75" customHeight="1">
      <c r="A601" s="149"/>
      <c r="B601" s="57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51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5.75" customHeight="1">
      <c r="A602" s="149"/>
      <c r="B602" s="57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51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5.75" customHeight="1">
      <c r="A603" s="149"/>
      <c r="B603" s="57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51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5.75" customHeight="1">
      <c r="A604" s="149"/>
      <c r="B604" s="57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51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5.75" customHeight="1">
      <c r="A605" s="149"/>
      <c r="B605" s="57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51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5.75" customHeight="1">
      <c r="A606" s="149"/>
      <c r="B606" s="57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51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5.75" customHeight="1">
      <c r="A607" s="149"/>
      <c r="B607" s="57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51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5.75" customHeight="1">
      <c r="A608" s="149"/>
      <c r="B608" s="57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51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5.75" customHeight="1">
      <c r="A609" s="149"/>
      <c r="B609" s="57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51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5.75" customHeight="1">
      <c r="A610" s="149"/>
      <c r="B610" s="57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51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5.75" customHeight="1">
      <c r="A611" s="149"/>
      <c r="B611" s="57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51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5.75" customHeight="1">
      <c r="A612" s="149"/>
      <c r="B612" s="57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51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5.75" customHeight="1">
      <c r="A613" s="149"/>
      <c r="B613" s="57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51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5.75" customHeight="1">
      <c r="A614" s="149"/>
      <c r="B614" s="57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51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5.75" customHeight="1">
      <c r="A615" s="149"/>
      <c r="B615" s="57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51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5.75" customHeight="1">
      <c r="A616" s="149"/>
      <c r="B616" s="57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51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5.75" customHeight="1">
      <c r="A617" s="149"/>
      <c r="B617" s="57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51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5.75" customHeight="1">
      <c r="A618" s="149"/>
      <c r="B618" s="57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51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5.75" customHeight="1">
      <c r="A619" s="149"/>
      <c r="B619" s="57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51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5.75" customHeight="1">
      <c r="A620" s="149"/>
      <c r="B620" s="57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51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5.75" customHeight="1">
      <c r="A621" s="149"/>
      <c r="B621" s="57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51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5.75" customHeight="1">
      <c r="A622" s="149"/>
      <c r="B622" s="57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51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5.75" customHeight="1">
      <c r="A623" s="149"/>
      <c r="B623" s="57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51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5.75" customHeight="1">
      <c r="A624" s="149"/>
      <c r="B624" s="57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51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5.75" customHeight="1">
      <c r="A625" s="149"/>
      <c r="B625" s="57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51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5.75" customHeight="1">
      <c r="A626" s="149"/>
      <c r="B626" s="57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51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5.75" customHeight="1">
      <c r="A627" s="149"/>
      <c r="B627" s="57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51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5.75" customHeight="1">
      <c r="A628" s="149"/>
      <c r="B628" s="57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51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5.75" customHeight="1">
      <c r="A629" s="149"/>
      <c r="B629" s="57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51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5.75" customHeight="1">
      <c r="A630" s="149"/>
      <c r="B630" s="57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51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5.75" customHeight="1">
      <c r="A631" s="149"/>
      <c r="B631" s="57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51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5.75" customHeight="1">
      <c r="A632" s="149"/>
      <c r="B632" s="57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51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5.75" customHeight="1">
      <c r="A633" s="149"/>
      <c r="B633" s="57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51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5.75" customHeight="1">
      <c r="A634" s="149"/>
      <c r="B634" s="57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51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5.75" customHeight="1">
      <c r="A635" s="149"/>
      <c r="B635" s="57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51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5.75" customHeight="1">
      <c r="A636" s="149"/>
      <c r="B636" s="57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51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5.75" customHeight="1">
      <c r="A637" s="149"/>
      <c r="B637" s="57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51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5.75" customHeight="1">
      <c r="A638" s="149"/>
      <c r="B638" s="57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51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5.75" customHeight="1">
      <c r="A639" s="149"/>
      <c r="B639" s="57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51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5.75" customHeight="1">
      <c r="A640" s="149"/>
      <c r="B640" s="57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51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5.75" customHeight="1">
      <c r="A641" s="149"/>
      <c r="B641" s="57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51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5.75" customHeight="1">
      <c r="A642" s="149"/>
      <c r="B642" s="57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51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5.75" customHeight="1">
      <c r="A643" s="149"/>
      <c r="B643" s="57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51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5.75" customHeight="1">
      <c r="A644" s="149"/>
      <c r="B644" s="57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51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5.75" customHeight="1">
      <c r="A645" s="149"/>
      <c r="B645" s="57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51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5.75" customHeight="1">
      <c r="A646" s="149"/>
      <c r="B646" s="57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51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5.75" customHeight="1">
      <c r="A647" s="149"/>
      <c r="B647" s="57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51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5.75" customHeight="1">
      <c r="A648" s="149"/>
      <c r="B648" s="57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51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5.75" customHeight="1">
      <c r="A649" s="149"/>
      <c r="B649" s="57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51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5.75" customHeight="1">
      <c r="A650" s="149"/>
      <c r="B650" s="57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51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5.75" customHeight="1">
      <c r="A651" s="149"/>
      <c r="B651" s="57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51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5.75" customHeight="1">
      <c r="A652" s="149"/>
      <c r="B652" s="57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51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5.75" customHeight="1">
      <c r="A653" s="149"/>
      <c r="B653" s="57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51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5.75" customHeight="1">
      <c r="A654" s="149"/>
      <c r="B654" s="57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51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5.75" customHeight="1">
      <c r="A655" s="149"/>
      <c r="B655" s="57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51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5.75" customHeight="1">
      <c r="A656" s="149"/>
      <c r="B656" s="57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51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5.75" customHeight="1">
      <c r="A657" s="149"/>
      <c r="B657" s="57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51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5.75" customHeight="1">
      <c r="A658" s="149"/>
      <c r="B658" s="57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51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5.75" customHeight="1">
      <c r="A659" s="149"/>
      <c r="B659" s="57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51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5.75" customHeight="1">
      <c r="A660" s="149"/>
      <c r="B660" s="57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51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5.75" customHeight="1">
      <c r="A661" s="149"/>
      <c r="B661" s="57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51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5.75" customHeight="1">
      <c r="A662" s="149"/>
      <c r="B662" s="57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51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5.75" customHeight="1">
      <c r="A663" s="149"/>
      <c r="B663" s="57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51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5.75" customHeight="1">
      <c r="A664" s="149"/>
      <c r="B664" s="57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51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5.75" customHeight="1">
      <c r="A665" s="149"/>
      <c r="B665" s="57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51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5.75" customHeight="1">
      <c r="A666" s="149"/>
      <c r="B666" s="57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51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5.75" customHeight="1">
      <c r="A667" s="149"/>
      <c r="B667" s="57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51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5.75" customHeight="1">
      <c r="A668" s="149"/>
      <c r="B668" s="57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51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5.75" customHeight="1">
      <c r="A669" s="149"/>
      <c r="B669" s="57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51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5.75" customHeight="1">
      <c r="A670" s="149"/>
      <c r="B670" s="57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51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5.75" customHeight="1">
      <c r="A671" s="149"/>
      <c r="B671" s="57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51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5.75" customHeight="1">
      <c r="A672" s="149"/>
      <c r="B672" s="57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51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5.75" customHeight="1">
      <c r="A673" s="149"/>
      <c r="B673" s="57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51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5.75" customHeight="1">
      <c r="A674" s="149"/>
      <c r="B674" s="57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51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5.75" customHeight="1">
      <c r="A675" s="149"/>
      <c r="B675" s="57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51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5.75" customHeight="1">
      <c r="A676" s="149"/>
      <c r="B676" s="57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51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5.75" customHeight="1">
      <c r="A677" s="149"/>
      <c r="B677" s="57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51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5.75" customHeight="1">
      <c r="A678" s="149"/>
      <c r="B678" s="57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51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5.75" customHeight="1">
      <c r="A679" s="149"/>
      <c r="B679" s="57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51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5.75" customHeight="1">
      <c r="A680" s="149"/>
      <c r="B680" s="57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51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5.75" customHeight="1">
      <c r="A681" s="149"/>
      <c r="B681" s="57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51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5.75" customHeight="1">
      <c r="A682" s="149"/>
      <c r="B682" s="57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51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5.75" customHeight="1">
      <c r="A683" s="149"/>
      <c r="B683" s="57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51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5.75" customHeight="1">
      <c r="A684" s="149"/>
      <c r="B684" s="57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51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5.75" customHeight="1">
      <c r="A685" s="149"/>
      <c r="B685" s="57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51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5.75" customHeight="1">
      <c r="A686" s="149"/>
      <c r="B686" s="57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51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5.75" customHeight="1">
      <c r="A687" s="149"/>
      <c r="B687" s="57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51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5.75" customHeight="1">
      <c r="A688" s="149"/>
      <c r="B688" s="57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51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5.75" customHeight="1">
      <c r="A689" s="149"/>
      <c r="B689" s="57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51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5.75" customHeight="1">
      <c r="A690" s="149"/>
      <c r="B690" s="57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51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5.75" customHeight="1">
      <c r="A691" s="149"/>
      <c r="B691" s="57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51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5.75" customHeight="1">
      <c r="A692" s="149"/>
      <c r="B692" s="57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51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5.75" customHeight="1">
      <c r="A693" s="149"/>
      <c r="B693" s="57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51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5.75" customHeight="1">
      <c r="A694" s="149"/>
      <c r="B694" s="57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51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5.75" customHeight="1">
      <c r="A695" s="149"/>
      <c r="B695" s="57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51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5.75" customHeight="1">
      <c r="A696" s="149"/>
      <c r="B696" s="57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51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5.75" customHeight="1">
      <c r="A697" s="149"/>
      <c r="B697" s="57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51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5.75" customHeight="1">
      <c r="A698" s="149"/>
      <c r="B698" s="57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51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5.75" customHeight="1">
      <c r="A699" s="149"/>
      <c r="B699" s="57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51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5.75" customHeight="1">
      <c r="A700" s="149"/>
      <c r="B700" s="57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51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5.75" customHeight="1">
      <c r="A701" s="149"/>
      <c r="B701" s="57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51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5.75" customHeight="1">
      <c r="A702" s="149"/>
      <c r="B702" s="57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51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5.75" customHeight="1">
      <c r="A703" s="149"/>
      <c r="B703" s="57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51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5.75" customHeight="1">
      <c r="A704" s="149"/>
      <c r="B704" s="57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51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5.75" customHeight="1">
      <c r="A705" s="149"/>
      <c r="B705" s="57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51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5.75" customHeight="1">
      <c r="A706" s="149"/>
      <c r="B706" s="57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51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5.75" customHeight="1">
      <c r="A707" s="149"/>
      <c r="B707" s="57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51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5.75" customHeight="1">
      <c r="A708" s="149"/>
      <c r="B708" s="57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51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5.75" customHeight="1">
      <c r="A709" s="149"/>
      <c r="B709" s="57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51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5.75" customHeight="1">
      <c r="A710" s="149"/>
      <c r="B710" s="57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51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5.75" customHeight="1">
      <c r="A711" s="149"/>
      <c r="B711" s="57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51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5.75" customHeight="1">
      <c r="A712" s="149"/>
      <c r="B712" s="57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51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5.75" customHeight="1">
      <c r="A713" s="149"/>
      <c r="B713" s="57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51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5.75" customHeight="1">
      <c r="A714" s="149"/>
      <c r="B714" s="57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51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5.75" customHeight="1">
      <c r="A715" s="149"/>
      <c r="B715" s="57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51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5.75" customHeight="1">
      <c r="A716" s="149"/>
      <c r="B716" s="57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51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5.75" customHeight="1">
      <c r="A717" s="149"/>
      <c r="B717" s="57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51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5.75" customHeight="1">
      <c r="A718" s="149"/>
      <c r="B718" s="57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51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5.75" customHeight="1">
      <c r="A719" s="149"/>
      <c r="B719" s="57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51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5.75" customHeight="1">
      <c r="A720" s="149"/>
      <c r="B720" s="57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51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5.75" customHeight="1">
      <c r="A721" s="149"/>
      <c r="B721" s="57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51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5.75" customHeight="1">
      <c r="A722" s="149"/>
      <c r="B722" s="57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51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5.75" customHeight="1">
      <c r="A723" s="149"/>
      <c r="B723" s="57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51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5.75" customHeight="1">
      <c r="A724" s="149"/>
      <c r="B724" s="57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51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5.75" customHeight="1">
      <c r="A725" s="149"/>
      <c r="B725" s="57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51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5.75" customHeight="1">
      <c r="A726" s="149"/>
      <c r="B726" s="57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51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5.75" customHeight="1">
      <c r="A727" s="149"/>
      <c r="B727" s="57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51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5.75" customHeight="1">
      <c r="A728" s="149"/>
      <c r="B728" s="57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51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5.75" customHeight="1">
      <c r="A729" s="149"/>
      <c r="B729" s="57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51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5.75" customHeight="1">
      <c r="A730" s="149"/>
      <c r="B730" s="57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51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5.75" customHeight="1">
      <c r="A731" s="149"/>
      <c r="B731" s="57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51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5.75" customHeight="1">
      <c r="A732" s="149"/>
      <c r="B732" s="57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51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5.75" customHeight="1">
      <c r="A733" s="149"/>
      <c r="B733" s="57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51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5.75" customHeight="1">
      <c r="A734" s="149"/>
      <c r="B734" s="57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51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5.75" customHeight="1">
      <c r="A735" s="149"/>
      <c r="B735" s="57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51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5.75" customHeight="1">
      <c r="A736" s="149"/>
      <c r="B736" s="57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51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5.75" customHeight="1">
      <c r="A737" s="149"/>
      <c r="B737" s="57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51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5.75" customHeight="1">
      <c r="A738" s="149"/>
      <c r="B738" s="57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51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5.75" customHeight="1">
      <c r="A739" s="149"/>
      <c r="B739" s="57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51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5.75" customHeight="1">
      <c r="A740" s="149"/>
      <c r="B740" s="57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51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5.75" customHeight="1">
      <c r="A741" s="149"/>
      <c r="B741" s="57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51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5.75" customHeight="1">
      <c r="A742" s="149"/>
      <c r="B742" s="57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51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5.75" customHeight="1">
      <c r="A743" s="149"/>
      <c r="B743" s="57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51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5.75" customHeight="1">
      <c r="A744" s="149"/>
      <c r="B744" s="57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51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5.75" customHeight="1">
      <c r="A745" s="149"/>
      <c r="B745" s="57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51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5.75" customHeight="1">
      <c r="A746" s="149"/>
      <c r="B746" s="57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51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5.75" customHeight="1">
      <c r="A747" s="149"/>
      <c r="B747" s="57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51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5.75" customHeight="1">
      <c r="A748" s="149"/>
      <c r="B748" s="57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51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5.75" customHeight="1">
      <c r="A749" s="149"/>
      <c r="B749" s="57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51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5.75" customHeight="1">
      <c r="A750" s="149"/>
      <c r="B750" s="57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51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5.75" customHeight="1">
      <c r="A751" s="149"/>
      <c r="B751" s="57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51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5.75" customHeight="1">
      <c r="A752" s="149"/>
      <c r="B752" s="57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51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5.75" customHeight="1">
      <c r="A753" s="149"/>
      <c r="B753" s="57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51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5.75" customHeight="1">
      <c r="A754" s="149"/>
      <c r="B754" s="57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51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5.75" customHeight="1">
      <c r="A755" s="149"/>
      <c r="B755" s="57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51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5.75" customHeight="1">
      <c r="A756" s="149"/>
      <c r="B756" s="57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51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5.75" customHeight="1">
      <c r="A757" s="149"/>
      <c r="B757" s="57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51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5.75" customHeight="1">
      <c r="A758" s="149"/>
      <c r="B758" s="57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51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5.75" customHeight="1">
      <c r="A759" s="149"/>
      <c r="B759" s="57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51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5.75" customHeight="1">
      <c r="A760" s="149"/>
      <c r="B760" s="57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51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5.75" customHeight="1">
      <c r="A761" s="149"/>
      <c r="B761" s="57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51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5.75" customHeight="1">
      <c r="A762" s="149"/>
      <c r="B762" s="57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51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5.75" customHeight="1">
      <c r="A763" s="149"/>
      <c r="B763" s="57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51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5.75" customHeight="1">
      <c r="A764" s="149"/>
      <c r="B764" s="57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51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5.75" customHeight="1">
      <c r="A765" s="149"/>
      <c r="B765" s="57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51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5.75" customHeight="1">
      <c r="A766" s="149"/>
      <c r="B766" s="57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51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5.75" customHeight="1">
      <c r="A767" s="149"/>
      <c r="B767" s="57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51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5.75" customHeight="1">
      <c r="A768" s="149"/>
      <c r="B768" s="57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51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5.75" customHeight="1">
      <c r="A769" s="149"/>
      <c r="B769" s="57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51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5.75" customHeight="1">
      <c r="A770" s="149"/>
      <c r="B770" s="57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51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5.75" customHeight="1">
      <c r="A771" s="149"/>
      <c r="B771" s="57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51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5.75" customHeight="1">
      <c r="A772" s="149"/>
      <c r="B772" s="57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51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5.75" customHeight="1">
      <c r="A773" s="149"/>
      <c r="B773" s="57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51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5.75" customHeight="1">
      <c r="A774" s="149"/>
      <c r="B774" s="57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51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5.75" customHeight="1">
      <c r="A775" s="149"/>
      <c r="B775" s="57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51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5.75" customHeight="1">
      <c r="A776" s="149"/>
      <c r="B776" s="57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51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5.75" customHeight="1">
      <c r="A777" s="149"/>
      <c r="B777" s="57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51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5.75" customHeight="1">
      <c r="A778" s="149"/>
      <c r="B778" s="57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51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5.75" customHeight="1">
      <c r="A779" s="149"/>
      <c r="B779" s="57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51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5.75" customHeight="1">
      <c r="A780" s="149"/>
      <c r="B780" s="57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51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5.75" customHeight="1">
      <c r="A781" s="149"/>
      <c r="B781" s="57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51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5.75" customHeight="1">
      <c r="A782" s="149"/>
      <c r="B782" s="57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51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5.75" customHeight="1">
      <c r="A783" s="149"/>
      <c r="B783" s="57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51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5.75" customHeight="1">
      <c r="A784" s="149"/>
      <c r="B784" s="57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51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5.75" customHeight="1">
      <c r="A785" s="149"/>
      <c r="B785" s="57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51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5.75" customHeight="1">
      <c r="A786" s="149"/>
      <c r="B786" s="57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51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5.75" customHeight="1">
      <c r="A787" s="149"/>
      <c r="B787" s="57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51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5.75" customHeight="1">
      <c r="A788" s="149"/>
      <c r="B788" s="57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51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5.75" customHeight="1">
      <c r="A789" s="149"/>
      <c r="B789" s="57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51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5.75" customHeight="1">
      <c r="A790" s="149"/>
      <c r="B790" s="57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51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5.75" customHeight="1">
      <c r="A791" s="149"/>
      <c r="B791" s="57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51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5.75" customHeight="1">
      <c r="A792" s="149"/>
      <c r="B792" s="57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51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5.75" customHeight="1">
      <c r="A793" s="149"/>
      <c r="B793" s="57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51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5.75" customHeight="1">
      <c r="A794" s="149"/>
      <c r="B794" s="57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51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5.75" customHeight="1">
      <c r="A795" s="149"/>
      <c r="B795" s="57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51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5.75" customHeight="1">
      <c r="A796" s="149"/>
      <c r="B796" s="57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51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5.75" customHeight="1">
      <c r="A797" s="149"/>
      <c r="B797" s="57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51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5.75" customHeight="1">
      <c r="A798" s="149"/>
      <c r="B798" s="57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51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5.75" customHeight="1">
      <c r="A799" s="149"/>
      <c r="B799" s="57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51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5.75" customHeight="1">
      <c r="A800" s="149"/>
      <c r="B800" s="57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51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5.75" customHeight="1">
      <c r="A801" s="149"/>
      <c r="B801" s="57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51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5.75" customHeight="1">
      <c r="A802" s="149"/>
      <c r="B802" s="57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51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5.75" customHeight="1">
      <c r="A803" s="149"/>
      <c r="B803" s="57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51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5.75" customHeight="1">
      <c r="A804" s="149"/>
      <c r="B804" s="57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51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5.75" customHeight="1">
      <c r="A805" s="149"/>
      <c r="B805" s="57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51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5.75" customHeight="1">
      <c r="A806" s="149"/>
      <c r="B806" s="57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51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5.75" customHeight="1">
      <c r="A807" s="149"/>
      <c r="B807" s="57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51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5.75" customHeight="1">
      <c r="A808" s="149"/>
      <c r="B808" s="57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51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5.75" customHeight="1">
      <c r="A809" s="149"/>
      <c r="B809" s="57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51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5.75" customHeight="1">
      <c r="A810" s="149"/>
      <c r="B810" s="57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51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5.75" customHeight="1">
      <c r="A811" s="149"/>
      <c r="B811" s="57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51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5.75" customHeight="1">
      <c r="A812" s="149"/>
      <c r="B812" s="57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51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5.75" customHeight="1">
      <c r="A813" s="149"/>
      <c r="B813" s="57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51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5.75" customHeight="1">
      <c r="A814" s="149"/>
      <c r="B814" s="57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51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5.75" customHeight="1">
      <c r="A815" s="149"/>
      <c r="B815" s="57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51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5.75" customHeight="1">
      <c r="A816" s="149"/>
      <c r="B816" s="57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51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5.75" customHeight="1">
      <c r="A817" s="149"/>
      <c r="B817" s="57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51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5.75" customHeight="1">
      <c r="A818" s="149"/>
      <c r="B818" s="57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51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5.75" customHeight="1">
      <c r="A819" s="149"/>
      <c r="B819" s="57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51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5.75" customHeight="1">
      <c r="A820" s="149"/>
      <c r="B820" s="57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51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5.75" customHeight="1">
      <c r="A821" s="149"/>
      <c r="B821" s="57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51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5.75" customHeight="1">
      <c r="A822" s="149"/>
      <c r="B822" s="57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51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5.75" customHeight="1">
      <c r="A823" s="149"/>
      <c r="B823" s="57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51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5.75" customHeight="1">
      <c r="A824" s="149"/>
      <c r="B824" s="57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51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5.75" customHeight="1">
      <c r="A825" s="149"/>
      <c r="B825" s="57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51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5.75" customHeight="1">
      <c r="A826" s="149"/>
      <c r="B826" s="57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51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5.75" customHeight="1">
      <c r="A827" s="149"/>
      <c r="B827" s="57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51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5.75" customHeight="1">
      <c r="A828" s="149"/>
      <c r="B828" s="57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51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5.75" customHeight="1">
      <c r="A829" s="149"/>
      <c r="B829" s="57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51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5.75" customHeight="1">
      <c r="A830" s="149"/>
      <c r="B830" s="57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51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5.75" customHeight="1">
      <c r="A831" s="149"/>
      <c r="B831" s="57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51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5.75" customHeight="1">
      <c r="A832" s="149"/>
      <c r="B832" s="57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51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5.75" customHeight="1">
      <c r="A833" s="149"/>
      <c r="B833" s="57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51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5.75" customHeight="1">
      <c r="A834" s="149"/>
      <c r="B834" s="57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51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5.75" customHeight="1">
      <c r="A835" s="149"/>
      <c r="B835" s="57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51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5.75" customHeight="1">
      <c r="A836" s="149"/>
      <c r="B836" s="57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51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5.75" customHeight="1">
      <c r="A837" s="149"/>
      <c r="B837" s="57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51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5.75" customHeight="1">
      <c r="A838" s="149"/>
      <c r="B838" s="57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51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5.75" customHeight="1">
      <c r="A839" s="149"/>
      <c r="B839" s="57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51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5.75" customHeight="1">
      <c r="A840" s="149"/>
      <c r="B840" s="57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51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5.75" customHeight="1">
      <c r="A841" s="149"/>
      <c r="B841" s="57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51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5.75" customHeight="1">
      <c r="A842" s="149"/>
      <c r="B842" s="57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51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5.75" customHeight="1">
      <c r="A843" s="149"/>
      <c r="B843" s="57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51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5.75" customHeight="1">
      <c r="A844" s="149"/>
      <c r="B844" s="57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51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5.75" customHeight="1">
      <c r="A845" s="149"/>
      <c r="B845" s="57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51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5.75" customHeight="1">
      <c r="A846" s="149"/>
      <c r="B846" s="57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51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5.75" customHeight="1">
      <c r="A847" s="149"/>
      <c r="B847" s="57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51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5.75" customHeight="1">
      <c r="A848" s="149"/>
      <c r="B848" s="57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51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5.75" customHeight="1">
      <c r="A849" s="149"/>
      <c r="B849" s="57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51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5.75" customHeight="1">
      <c r="A850" s="149"/>
      <c r="B850" s="57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51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5.75" customHeight="1">
      <c r="A851" s="149"/>
      <c r="B851" s="57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51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5.75" customHeight="1">
      <c r="A852" s="149"/>
      <c r="B852" s="57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51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5.75" customHeight="1">
      <c r="A853" s="149"/>
      <c r="B853" s="57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51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5.75" customHeight="1">
      <c r="A854" s="149"/>
      <c r="B854" s="57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51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5.75" customHeight="1">
      <c r="A855" s="149"/>
      <c r="B855" s="57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51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5.75" customHeight="1">
      <c r="A856" s="149"/>
      <c r="B856" s="57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51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5.75" customHeight="1">
      <c r="A857" s="149"/>
      <c r="B857" s="57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51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5.75" customHeight="1">
      <c r="A858" s="149"/>
      <c r="B858" s="57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51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5.75" customHeight="1">
      <c r="A859" s="149"/>
      <c r="B859" s="57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51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5.75" customHeight="1">
      <c r="A860" s="149"/>
      <c r="B860" s="57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51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5.75" customHeight="1">
      <c r="A861" s="149"/>
      <c r="B861" s="57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51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5.75" customHeight="1">
      <c r="A862" s="149"/>
      <c r="B862" s="57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51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5.75" customHeight="1">
      <c r="A863" s="149"/>
      <c r="B863" s="57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51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5.75" customHeight="1">
      <c r="A864" s="149"/>
      <c r="B864" s="57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51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5.75" customHeight="1">
      <c r="A865" s="149"/>
      <c r="B865" s="57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51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5.75" customHeight="1">
      <c r="A866" s="149"/>
      <c r="B866" s="57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51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5.75" customHeight="1">
      <c r="A867" s="149"/>
      <c r="B867" s="57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51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5.75" customHeight="1">
      <c r="A868" s="149"/>
      <c r="B868" s="57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51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5.75" customHeight="1">
      <c r="A869" s="149"/>
      <c r="B869" s="57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51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5.75" customHeight="1">
      <c r="A870" s="149"/>
      <c r="B870" s="57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51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5.75" customHeight="1">
      <c r="A871" s="149"/>
      <c r="B871" s="57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51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5.75" customHeight="1">
      <c r="A872" s="149"/>
      <c r="B872" s="57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51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5.75" customHeight="1">
      <c r="A873" s="149"/>
      <c r="B873" s="57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51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5.75" customHeight="1">
      <c r="A874" s="149"/>
      <c r="B874" s="57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51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5.75" customHeight="1">
      <c r="A875" s="149"/>
      <c r="B875" s="57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51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5.75" customHeight="1">
      <c r="A876" s="149"/>
      <c r="B876" s="57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51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5.75" customHeight="1">
      <c r="A877" s="149"/>
      <c r="B877" s="57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51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5.75" customHeight="1">
      <c r="A878" s="149"/>
      <c r="B878" s="57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51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5.75" customHeight="1">
      <c r="A879" s="149"/>
      <c r="B879" s="57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51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5.75" customHeight="1">
      <c r="A880" s="149"/>
      <c r="B880" s="57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51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5.75" customHeight="1">
      <c r="A881" s="149"/>
      <c r="B881" s="57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51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5.75" customHeight="1">
      <c r="A882" s="149"/>
      <c r="B882" s="57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51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5.75" customHeight="1">
      <c r="A883" s="149"/>
      <c r="B883" s="57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51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5.75" customHeight="1">
      <c r="A884" s="149"/>
      <c r="B884" s="57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51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5.75" customHeight="1">
      <c r="A885" s="149"/>
      <c r="B885" s="57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51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5.75" customHeight="1">
      <c r="A886" s="149"/>
      <c r="B886" s="57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51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5.75" customHeight="1">
      <c r="A887" s="149"/>
      <c r="B887" s="57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51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5.75" customHeight="1">
      <c r="A888" s="149"/>
      <c r="B888" s="57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51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5.75" customHeight="1">
      <c r="A889" s="149"/>
      <c r="B889" s="57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51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5.75" customHeight="1">
      <c r="A890" s="149"/>
      <c r="B890" s="57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51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5.75" customHeight="1">
      <c r="A891" s="149"/>
      <c r="B891" s="57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51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5.75" customHeight="1">
      <c r="A892" s="149"/>
      <c r="B892" s="57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51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5.75" customHeight="1">
      <c r="A893" s="149"/>
      <c r="B893" s="57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51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5.75" customHeight="1">
      <c r="A894" s="149"/>
      <c r="B894" s="57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51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5.75" customHeight="1">
      <c r="A895" s="149"/>
      <c r="B895" s="57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51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5.75" customHeight="1">
      <c r="A896" s="149"/>
      <c r="B896" s="57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51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5.75" customHeight="1">
      <c r="A897" s="149"/>
      <c r="B897" s="57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51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5.75" customHeight="1">
      <c r="A898" s="149"/>
      <c r="B898" s="57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51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ht="15.75" customHeight="1">
      <c r="A899" s="149"/>
      <c r="B899" s="57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51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ht="15.75" customHeight="1">
      <c r="A900" s="149"/>
      <c r="B900" s="57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51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ht="15.75" customHeight="1">
      <c r="A901" s="149"/>
      <c r="B901" s="57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51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ht="15.75" customHeight="1">
      <c r="A902" s="149"/>
      <c r="B902" s="57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51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ht="15.75" customHeight="1">
      <c r="A903" s="149"/>
      <c r="B903" s="57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51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ht="15.75" customHeight="1">
      <c r="A904" s="149"/>
      <c r="B904" s="57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51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ht="15.75" customHeight="1">
      <c r="A905" s="149"/>
      <c r="B905" s="57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51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ht="15.75" customHeight="1">
      <c r="A906" s="149"/>
      <c r="B906" s="57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51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ht="15.75" customHeight="1">
      <c r="A907" s="149"/>
      <c r="B907" s="57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51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ht="15.75" customHeight="1">
      <c r="A908" s="149"/>
      <c r="B908" s="57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51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ht="15.75" customHeight="1">
      <c r="A909" s="149"/>
      <c r="B909" s="57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51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15.75" customHeight="1">
      <c r="A910" s="149"/>
      <c r="B910" s="57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51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ht="15.75" customHeight="1">
      <c r="A911" s="149"/>
      <c r="B911" s="57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51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ht="15.75" customHeight="1">
      <c r="A912" s="149"/>
      <c r="B912" s="57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51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ht="15.75" customHeight="1">
      <c r="A913" s="149"/>
      <c r="B913" s="57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51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ht="15.75" customHeight="1">
      <c r="A914" s="149"/>
      <c r="B914" s="57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51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ht="15.75" customHeight="1">
      <c r="A915" s="149"/>
      <c r="B915" s="57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51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ht="15.75" customHeight="1">
      <c r="A916" s="149"/>
      <c r="B916" s="57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51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ht="15.75" customHeight="1">
      <c r="A917" s="149"/>
      <c r="B917" s="57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51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ht="15.75" customHeight="1">
      <c r="A918" s="149"/>
      <c r="B918" s="57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51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ht="15.75" customHeight="1">
      <c r="A919" s="149"/>
      <c r="B919" s="57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51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ht="15.75" customHeight="1">
      <c r="A920" s="149"/>
      <c r="B920" s="57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51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ht="15.75" customHeight="1">
      <c r="A921" s="149"/>
      <c r="B921" s="57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51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ht="15.75" customHeight="1">
      <c r="A922" s="149"/>
      <c r="B922" s="57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51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ht="15.75" customHeight="1">
      <c r="A923" s="149"/>
      <c r="B923" s="57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51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ht="15.75" customHeight="1">
      <c r="A924" s="149"/>
      <c r="B924" s="57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51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ht="15.75" customHeight="1">
      <c r="A925" s="149"/>
      <c r="B925" s="57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51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ht="15.75" customHeight="1">
      <c r="A926" s="149"/>
      <c r="B926" s="57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51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ht="15.75" customHeight="1">
      <c r="A927" s="149"/>
      <c r="B927" s="57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51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ht="15.75" customHeight="1">
      <c r="A928" s="149"/>
      <c r="B928" s="57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51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ht="15.75" customHeight="1">
      <c r="A929" s="149"/>
      <c r="B929" s="57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51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ht="15.75" customHeight="1">
      <c r="A930" s="149"/>
      <c r="B930" s="57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51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15.75" customHeight="1">
      <c r="A931" s="149"/>
      <c r="B931" s="57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51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ht="15.75" customHeight="1">
      <c r="A932" s="149"/>
      <c r="B932" s="57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51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ht="15.75" customHeight="1">
      <c r="A933" s="149"/>
      <c r="B933" s="57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51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15.75" customHeight="1">
      <c r="A934" s="149"/>
      <c r="B934" s="57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51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ht="15.75" customHeight="1">
      <c r="A935" s="149"/>
      <c r="B935" s="57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51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ht="15.75" customHeight="1">
      <c r="A936" s="149"/>
      <c r="B936" s="57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51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ht="15.75" customHeight="1">
      <c r="A937" s="149"/>
      <c r="B937" s="57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51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ht="15.75" customHeight="1">
      <c r="A938" s="149"/>
      <c r="B938" s="57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51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ht="15.75" customHeight="1">
      <c r="A939" s="149"/>
      <c r="B939" s="57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51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ht="15.75" customHeight="1">
      <c r="A940" s="149"/>
      <c r="B940" s="57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51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ht="15.75" customHeight="1">
      <c r="A941" s="149"/>
      <c r="B941" s="57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51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ht="15.75" customHeight="1">
      <c r="A942" s="149"/>
      <c r="B942" s="57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51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ht="15.75" customHeight="1">
      <c r="A943" s="149"/>
      <c r="B943" s="57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51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ht="15.75" customHeight="1">
      <c r="A944" s="149"/>
      <c r="B944" s="57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51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ht="15.75" customHeight="1">
      <c r="A945" s="149"/>
      <c r="B945" s="57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51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ht="15.75" customHeight="1">
      <c r="A946" s="149"/>
      <c r="B946" s="57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51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ht="15.75" customHeight="1">
      <c r="A947" s="149"/>
      <c r="B947" s="57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51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ht="15.75" customHeight="1">
      <c r="A948" s="149"/>
      <c r="B948" s="57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51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ht="15.75" customHeight="1">
      <c r="A949" s="149"/>
      <c r="B949" s="57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51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ht="15.75" customHeight="1">
      <c r="A950" s="149"/>
      <c r="B950" s="57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51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ht="15.75" customHeight="1">
      <c r="A951" s="149"/>
      <c r="B951" s="57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51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ht="15.75" customHeight="1">
      <c r="A952" s="149"/>
      <c r="B952" s="57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51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ht="15.75" customHeight="1">
      <c r="A953" s="149"/>
      <c r="B953" s="57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51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ht="15.75" customHeight="1">
      <c r="A954" s="149"/>
      <c r="B954" s="57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51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ht="15.75" customHeight="1">
      <c r="A955" s="149"/>
      <c r="B955" s="57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51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ht="15.75" customHeight="1">
      <c r="A956" s="149"/>
      <c r="B956" s="57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51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ht="15.75" customHeight="1">
      <c r="A957" s="149"/>
      <c r="B957" s="57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51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ht="15.75" customHeight="1">
      <c r="A958" s="149"/>
      <c r="B958" s="57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51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ht="15.75" customHeight="1">
      <c r="A959" s="149"/>
      <c r="B959" s="57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51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ht="15.75" customHeight="1">
      <c r="A960" s="149"/>
      <c r="B960" s="57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51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ht="15.75" customHeight="1">
      <c r="A961" s="149"/>
      <c r="B961" s="57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51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ht="15.75" customHeight="1">
      <c r="A962" s="149"/>
      <c r="B962" s="57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51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ht="15.75" customHeight="1">
      <c r="A963" s="149"/>
      <c r="B963" s="57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51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ht="15.75" customHeight="1">
      <c r="A964" s="149"/>
      <c r="B964" s="57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51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ht="15.75" customHeight="1">
      <c r="A965" s="149"/>
      <c r="B965" s="57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51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ht="15.75" customHeight="1">
      <c r="A966" s="149"/>
      <c r="B966" s="57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51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ht="15.75" customHeight="1">
      <c r="A967" s="149"/>
      <c r="B967" s="57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51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ht="15.75" customHeight="1">
      <c r="A968" s="149"/>
      <c r="B968" s="57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51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ht="15.75" customHeight="1">
      <c r="A969" s="149"/>
      <c r="B969" s="57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51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ht="15.75" customHeight="1">
      <c r="A970" s="149"/>
      <c r="B970" s="57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51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ht="15.75" customHeight="1">
      <c r="A971" s="149"/>
      <c r="B971" s="57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51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ht="15.75" customHeight="1">
      <c r="A972" s="149"/>
      <c r="B972" s="57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51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ht="15.75" customHeight="1">
      <c r="A973" s="149"/>
      <c r="B973" s="57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51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ht="15.75" customHeight="1">
      <c r="A974" s="149"/>
      <c r="B974" s="57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51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ht="15.75" customHeight="1">
      <c r="A975" s="149"/>
      <c r="B975" s="57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51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ht="15.75" customHeight="1">
      <c r="A976" s="149"/>
      <c r="B976" s="57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51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ht="15.75" customHeight="1">
      <c r="A977" s="149"/>
      <c r="B977" s="57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51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15.75" customHeight="1">
      <c r="A978" s="149"/>
      <c r="B978" s="57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51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ht="15.75" customHeight="1">
      <c r="A979" s="149"/>
      <c r="B979" s="57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51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ht="15.75" customHeight="1">
      <c r="A980" s="149"/>
      <c r="B980" s="57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51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ht="15.75" customHeight="1">
      <c r="A981" s="149"/>
      <c r="B981" s="57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51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ht="15.75" customHeight="1">
      <c r="A982" s="149"/>
      <c r="B982" s="57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51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ht="15.75" customHeight="1">
      <c r="A983" s="149"/>
      <c r="B983" s="57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51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ht="15.75" customHeight="1">
      <c r="A984" s="149"/>
      <c r="B984" s="57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51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ht="15.75" customHeight="1">
      <c r="A985" s="149"/>
      <c r="B985" s="57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51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ht="15.75" customHeight="1">
      <c r="A986" s="149"/>
      <c r="B986" s="57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51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ht="15.75" customHeight="1">
      <c r="A987" s="149"/>
      <c r="B987" s="57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51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ht="15.75" customHeight="1">
      <c r="A988" s="149"/>
      <c r="B988" s="57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51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ht="15.75" customHeight="1">
      <c r="A989" s="149"/>
      <c r="B989" s="57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51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ht="15.75" customHeight="1">
      <c r="A990" s="149"/>
      <c r="B990" s="57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51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ht="15.75" customHeight="1">
      <c r="A991" s="149"/>
      <c r="B991" s="57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51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ht="15.75" customHeight="1">
      <c r="A992" s="149"/>
      <c r="B992" s="57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51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ht="15.75" customHeight="1">
      <c r="A993" s="149"/>
      <c r="B993" s="57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51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ht="15.75" customHeight="1">
      <c r="A994" s="149"/>
      <c r="B994" s="57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51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ht="15.75" customHeight="1">
      <c r="A995" s="149"/>
      <c r="B995" s="57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51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ht="15.75" customHeight="1">
      <c r="A996" s="149"/>
      <c r="B996" s="57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51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ht="15.75" customHeight="1">
      <c r="A997" s="149"/>
      <c r="B997" s="57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51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ht="15.75" customHeight="1">
      <c r="A998" s="149"/>
      <c r="B998" s="57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51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ht="15.75" customHeight="1">
      <c r="A999" s="149"/>
      <c r="B999" s="57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51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ht="15.75" customHeight="1">
      <c r="A1000" s="149"/>
      <c r="B1000" s="57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51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</sheetData>
  <mergeCells count="12">
    <mergeCell ref="F18:F19"/>
    <mergeCell ref="G18:G19"/>
    <mergeCell ref="B125:C125"/>
    <mergeCell ref="H18:J19"/>
    <mergeCell ref="K18:K19"/>
    <mergeCell ref="B5:K5"/>
    <mergeCell ref="B16:B19"/>
    <mergeCell ref="C16:C19"/>
    <mergeCell ref="D16:K16"/>
    <mergeCell ref="D17:K17"/>
    <mergeCell ref="D18:D19"/>
    <mergeCell ref="E18:E19"/>
  </mergeCells>
  <printOptions/>
  <pageMargins bottom="0.75" footer="0.0" header="0.0" left="0.7" right="0.7" top="0.75"/>
  <pageSetup orientation="landscape" paperHeight="13.779527559055117in" paperWidth="18.937007874015748i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23.57"/>
    <col customWidth="1" min="4" max="4" width="21.57"/>
    <col customWidth="1" min="5" max="5" width="24.0"/>
    <col customWidth="1" min="6" max="6" width="20.29"/>
    <col customWidth="1" min="7" max="7" width="24.29"/>
    <col customWidth="1" min="8" max="9" width="23.43"/>
    <col customWidth="1" min="10" max="10" width="24.71"/>
    <col customWidth="1" min="11" max="26" width="8.0"/>
  </cols>
  <sheetData>
    <row r="1" ht="13.5" customHeight="1">
      <c r="A1" s="195"/>
      <c r="B1" s="196"/>
      <c r="C1" s="196"/>
      <c r="D1" s="196"/>
      <c r="E1" s="196"/>
      <c r="F1" s="196"/>
      <c r="G1" s="196"/>
      <c r="H1" s="196"/>
      <c r="I1" s="196"/>
      <c r="J1" s="197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3.5" customHeight="1">
      <c r="A2" s="195"/>
      <c r="B2" s="196"/>
      <c r="C2" s="196"/>
      <c r="D2" s="196"/>
      <c r="E2" s="196"/>
      <c r="F2" s="196"/>
      <c r="G2" s="196"/>
      <c r="H2" s="196"/>
      <c r="I2" s="196"/>
      <c r="J2" s="197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3.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3.5" customHeight="1">
      <c r="A4" s="195"/>
      <c r="B4" s="196"/>
      <c r="C4" s="196"/>
      <c r="D4" s="196"/>
      <c r="E4" s="196"/>
      <c r="F4" s="196"/>
      <c r="G4" s="196"/>
      <c r="H4" s="196"/>
      <c r="I4" s="196"/>
      <c r="J4" s="197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27.0" customHeight="1">
      <c r="A5" s="195" t="s">
        <v>329</v>
      </c>
      <c r="I5" s="195"/>
      <c r="J5" s="198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27.0" customHeight="1">
      <c r="A6" s="199"/>
      <c r="B6" s="199"/>
      <c r="C6" s="199"/>
      <c r="D6" s="199"/>
      <c r="E6" s="199"/>
      <c r="F6" s="199"/>
      <c r="G6" s="199"/>
      <c r="H6" s="199"/>
      <c r="I6" s="195"/>
      <c r="J6" s="197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15.75" customHeight="1">
      <c r="A7" s="200" t="s">
        <v>16</v>
      </c>
      <c r="B7" s="201" t="s">
        <v>330</v>
      </c>
      <c r="C7" s="202" t="s">
        <v>221</v>
      </c>
      <c r="D7" s="159"/>
      <c r="E7" s="159"/>
      <c r="F7" s="159"/>
      <c r="G7" s="159"/>
      <c r="H7" s="160"/>
      <c r="I7" s="203"/>
      <c r="J7" s="197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15.75" customHeight="1">
      <c r="A8" s="84"/>
      <c r="B8" s="84"/>
      <c r="C8" s="204" t="s">
        <v>222</v>
      </c>
      <c r="D8" s="164"/>
      <c r="E8" s="164"/>
      <c r="F8" s="164"/>
      <c r="G8" s="164"/>
      <c r="H8" s="165"/>
      <c r="I8" s="195"/>
      <c r="J8" s="197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5.75" customHeight="1">
      <c r="A9" s="84"/>
      <c r="B9" s="205" t="s">
        <v>331</v>
      </c>
      <c r="C9" s="206" t="s">
        <v>223</v>
      </c>
      <c r="D9" s="206" t="s">
        <v>332</v>
      </c>
      <c r="E9" s="206" t="s">
        <v>333</v>
      </c>
      <c r="F9" s="206" t="s">
        <v>226</v>
      </c>
      <c r="G9" s="206" t="s">
        <v>227</v>
      </c>
      <c r="H9" s="206" t="s">
        <v>30</v>
      </c>
      <c r="I9" s="207"/>
      <c r="J9" s="197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15.75" customHeight="1">
      <c r="A10" s="38"/>
      <c r="B10" s="38"/>
      <c r="C10" s="38"/>
      <c r="D10" s="38"/>
      <c r="E10" s="38"/>
      <c r="F10" s="38"/>
      <c r="G10" s="38"/>
      <c r="H10" s="38"/>
      <c r="I10" s="208"/>
      <c r="J10" s="197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24.0" customHeight="1">
      <c r="A11" s="209">
        <v>1.0</v>
      </c>
      <c r="B11" s="209">
        <v>2.0</v>
      </c>
      <c r="C11" s="210">
        <v>3.0</v>
      </c>
      <c r="D11" s="210">
        <v>4.0</v>
      </c>
      <c r="E11" s="210">
        <v>5.0</v>
      </c>
      <c r="F11" s="210">
        <v>6.0</v>
      </c>
      <c r="G11" s="210">
        <v>7.0</v>
      </c>
      <c r="H11" s="210">
        <v>8.0</v>
      </c>
      <c r="I11" s="211"/>
      <c r="J11" s="197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24.0" customHeight="1">
      <c r="A12" s="209" t="s">
        <v>50</v>
      </c>
      <c r="B12" s="212" t="s">
        <v>51</v>
      </c>
      <c r="C12" s="213"/>
      <c r="D12" s="214"/>
      <c r="E12" s="213"/>
      <c r="F12" s="213"/>
      <c r="G12" s="213"/>
      <c r="H12" s="213"/>
      <c r="I12" s="215"/>
      <c r="J12" s="197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24.0" customHeight="1">
      <c r="A13" s="209" t="s">
        <v>6</v>
      </c>
      <c r="B13" s="216" t="s">
        <v>52</v>
      </c>
      <c r="C13" s="213">
        <f>'rekap hitungan'!D23</f>
        <v>933300000</v>
      </c>
      <c r="D13" s="213">
        <f>'rekap hitungan'!E23</f>
        <v>10077696</v>
      </c>
      <c r="E13" s="213">
        <f>'rekap hitungan'!F23</f>
        <v>73959126</v>
      </c>
      <c r="F13" s="213">
        <f>'rekap hitungan'!G23</f>
        <v>155550000</v>
      </c>
      <c r="G13" s="213">
        <f>'rekap hitungan'!J23</f>
        <v>890919442</v>
      </c>
      <c r="H13" s="213">
        <f t="shared" ref="H13:H17" si="1">SUM(C13:G13)</f>
        <v>2063806264</v>
      </c>
      <c r="I13" s="215"/>
      <c r="J13" s="197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24.0" customHeight="1">
      <c r="A14" s="209" t="s">
        <v>14</v>
      </c>
      <c r="B14" s="216" t="s">
        <v>53</v>
      </c>
      <c r="C14" s="213">
        <f>'rekap hitungan'!D24</f>
        <v>759300000</v>
      </c>
      <c r="D14" s="213">
        <f>'rekap hitungan'!E24</f>
        <v>10077696</v>
      </c>
      <c r="E14" s="213">
        <f>'rekap hitungan'!F24</f>
        <v>63101526</v>
      </c>
      <c r="F14" s="213">
        <f>'rekap hitungan'!G24</f>
        <v>126550000</v>
      </c>
      <c r="G14" s="213">
        <f>'rekap hitungan'!J24</f>
        <v>823226824</v>
      </c>
      <c r="H14" s="213">
        <f t="shared" si="1"/>
        <v>1782256046</v>
      </c>
      <c r="I14" s="215"/>
      <c r="J14" s="197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24.0" customHeight="1">
      <c r="A15" s="209" t="s">
        <v>232</v>
      </c>
      <c r="B15" s="216" t="s">
        <v>54</v>
      </c>
      <c r="C15" s="213">
        <f>'rekap hitungan'!D25</f>
        <v>585300000</v>
      </c>
      <c r="D15" s="213">
        <f>'rekap hitungan'!E25</f>
        <v>10077696</v>
      </c>
      <c r="E15" s="213">
        <f>'rekap hitungan'!F25</f>
        <v>52243926</v>
      </c>
      <c r="F15" s="213">
        <f>'rekap hitungan'!G25</f>
        <v>97550000</v>
      </c>
      <c r="G15" s="213">
        <f>'rekap hitungan'!J25</f>
        <v>652329140</v>
      </c>
      <c r="H15" s="213">
        <f t="shared" si="1"/>
        <v>1397500762</v>
      </c>
      <c r="I15" s="215"/>
      <c r="J15" s="197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24.0" customHeight="1">
      <c r="A16" s="209" t="s">
        <v>233</v>
      </c>
      <c r="B16" s="216" t="s">
        <v>55</v>
      </c>
      <c r="C16" s="213">
        <f>'rekap hitungan'!D26</f>
        <v>585300000</v>
      </c>
      <c r="D16" s="213">
        <f>'rekap hitungan'!E26</f>
        <v>10077696</v>
      </c>
      <c r="E16" s="213">
        <f>'rekap hitungan'!F26</f>
        <v>52243926</v>
      </c>
      <c r="F16" s="213">
        <f>'rekap hitungan'!G26</f>
        <v>97550000</v>
      </c>
      <c r="G16" s="213">
        <f>'rekap hitungan'!J26</f>
        <v>641641099</v>
      </c>
      <c r="H16" s="213">
        <f t="shared" si="1"/>
        <v>1386812721</v>
      </c>
      <c r="I16" s="215"/>
      <c r="J16" s="197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24.0" customHeight="1">
      <c r="A17" s="209" t="s">
        <v>234</v>
      </c>
      <c r="B17" s="216" t="s">
        <v>56</v>
      </c>
      <c r="C17" s="213">
        <f>'rekap hitungan'!D27</f>
        <v>724500000</v>
      </c>
      <c r="D17" s="213">
        <f>'rekap hitungan'!E27</f>
        <v>10077696</v>
      </c>
      <c r="E17" s="213">
        <f>'rekap hitungan'!F27</f>
        <v>60930006</v>
      </c>
      <c r="F17" s="213">
        <f>'rekap hitungan'!G27</f>
        <v>120750000</v>
      </c>
      <c r="G17" s="213">
        <f>'rekap hitungan'!J27</f>
        <v>750112626</v>
      </c>
      <c r="H17" s="213">
        <f t="shared" si="1"/>
        <v>1666370328</v>
      </c>
      <c r="I17" s="215"/>
      <c r="J17" s="197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24.0" customHeight="1">
      <c r="A18" s="209" t="s">
        <v>57</v>
      </c>
      <c r="B18" s="216" t="s">
        <v>58</v>
      </c>
      <c r="C18" s="213"/>
      <c r="D18" s="217"/>
      <c r="E18" s="217"/>
      <c r="F18" s="217"/>
      <c r="G18" s="217"/>
      <c r="H18" s="217"/>
      <c r="I18" s="215"/>
      <c r="J18" s="197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24.0" customHeight="1">
      <c r="A19" s="209" t="s">
        <v>235</v>
      </c>
      <c r="B19" s="216" t="s">
        <v>59</v>
      </c>
      <c r="C19" s="213">
        <f>'rekap hitungan'!D29</f>
        <v>759300000</v>
      </c>
      <c r="D19" s="213">
        <f>'rekap hitungan'!E29</f>
        <v>10077696</v>
      </c>
      <c r="E19" s="213">
        <f>'rekap hitungan'!F29</f>
        <v>63101526</v>
      </c>
      <c r="F19" s="213">
        <f>'rekap hitungan'!G29</f>
        <v>126550000</v>
      </c>
      <c r="G19" s="213">
        <f>'rekap hitungan'!J29</f>
        <v>587711810</v>
      </c>
      <c r="H19" s="213">
        <f t="shared" ref="H19:H25" si="2">SUM(C19:G19)</f>
        <v>1546741032</v>
      </c>
      <c r="I19" s="215"/>
      <c r="J19" s="197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24.0" customHeight="1">
      <c r="A20" s="209" t="s">
        <v>236</v>
      </c>
      <c r="B20" s="216" t="s">
        <v>60</v>
      </c>
      <c r="C20" s="213">
        <f>'rekap hitungan'!D30</f>
        <v>828900000</v>
      </c>
      <c r="D20" s="213">
        <f>'rekap hitungan'!E30</f>
        <v>10077696</v>
      </c>
      <c r="E20" s="213">
        <f>'rekap hitungan'!F30</f>
        <v>67444566</v>
      </c>
      <c r="F20" s="213">
        <f>'rekap hitungan'!G30</f>
        <v>138150000</v>
      </c>
      <c r="G20" s="213">
        <f>'rekap hitungan'!J30</f>
        <v>677931989</v>
      </c>
      <c r="H20" s="213">
        <f t="shared" si="2"/>
        <v>1722504251</v>
      </c>
      <c r="I20" s="215"/>
      <c r="J20" s="197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24.0" customHeight="1">
      <c r="A21" s="209" t="s">
        <v>237</v>
      </c>
      <c r="B21" s="216" t="s">
        <v>61</v>
      </c>
      <c r="C21" s="213">
        <f>'rekap hitungan'!D31</f>
        <v>585300000</v>
      </c>
      <c r="D21" s="213">
        <f>'rekap hitungan'!E31</f>
        <v>10077696</v>
      </c>
      <c r="E21" s="213">
        <f>'rekap hitungan'!F31</f>
        <v>52243926</v>
      </c>
      <c r="F21" s="213">
        <f>'rekap hitungan'!G31</f>
        <v>97550000</v>
      </c>
      <c r="G21" s="213">
        <f>'rekap hitungan'!J31</f>
        <v>454637003</v>
      </c>
      <c r="H21" s="213">
        <f t="shared" si="2"/>
        <v>1199808625</v>
      </c>
      <c r="I21" s="215"/>
      <c r="J21" s="197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24.0" customHeight="1">
      <c r="A22" s="209" t="s">
        <v>238</v>
      </c>
      <c r="B22" s="216" t="s">
        <v>62</v>
      </c>
      <c r="C22" s="213">
        <f>'rekap hitungan'!D32</f>
        <v>585300000</v>
      </c>
      <c r="D22" s="213">
        <f>'rekap hitungan'!E32</f>
        <v>10077696</v>
      </c>
      <c r="E22" s="213">
        <f>'rekap hitungan'!F32</f>
        <v>52243926</v>
      </c>
      <c r="F22" s="213">
        <f>'rekap hitungan'!G32</f>
        <v>97550000</v>
      </c>
      <c r="G22" s="213">
        <f>'rekap hitungan'!J32</f>
        <v>553280244</v>
      </c>
      <c r="H22" s="213">
        <f t="shared" si="2"/>
        <v>1298451866</v>
      </c>
      <c r="I22" s="215"/>
      <c r="J22" s="197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24.0" customHeight="1">
      <c r="A23" s="209" t="s">
        <v>239</v>
      </c>
      <c r="B23" s="216" t="s">
        <v>63</v>
      </c>
      <c r="C23" s="213">
        <f>'rekap hitungan'!D33</f>
        <v>794100000</v>
      </c>
      <c r="D23" s="213">
        <f>'rekap hitungan'!E33</f>
        <v>10077696</v>
      </c>
      <c r="E23" s="213">
        <f>'rekap hitungan'!F33</f>
        <v>65273046</v>
      </c>
      <c r="F23" s="213">
        <f>'rekap hitungan'!G33</f>
        <v>132350000</v>
      </c>
      <c r="G23" s="213">
        <f>'rekap hitungan'!J33</f>
        <v>673341159</v>
      </c>
      <c r="H23" s="213">
        <f t="shared" si="2"/>
        <v>1675141901</v>
      </c>
      <c r="I23" s="215"/>
      <c r="J23" s="197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24.0" customHeight="1">
      <c r="A24" s="209" t="s">
        <v>240</v>
      </c>
      <c r="B24" s="216" t="s">
        <v>64</v>
      </c>
      <c r="C24" s="213">
        <f>'rekap hitungan'!D34</f>
        <v>585300000</v>
      </c>
      <c r="D24" s="213">
        <f>'rekap hitungan'!E34</f>
        <v>10077696</v>
      </c>
      <c r="E24" s="213">
        <f>'rekap hitungan'!F34</f>
        <v>52243926</v>
      </c>
      <c r="F24" s="213">
        <f>'rekap hitungan'!G34</f>
        <v>97550000</v>
      </c>
      <c r="G24" s="213">
        <f>'rekap hitungan'!J34</f>
        <v>673317611</v>
      </c>
      <c r="H24" s="213">
        <f t="shared" si="2"/>
        <v>1418489233</v>
      </c>
      <c r="I24" s="215"/>
      <c r="J24" s="197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24.0" customHeight="1">
      <c r="A25" s="209" t="s">
        <v>241</v>
      </c>
      <c r="B25" s="216" t="s">
        <v>65</v>
      </c>
      <c r="C25" s="213">
        <f>'rekap hitungan'!D35</f>
        <v>689700000</v>
      </c>
      <c r="D25" s="213">
        <f>'rekap hitungan'!E35</f>
        <v>10077696</v>
      </c>
      <c r="E25" s="213">
        <f>'rekap hitungan'!F35</f>
        <v>58758486</v>
      </c>
      <c r="F25" s="213">
        <f>'rekap hitungan'!G35</f>
        <v>114950000</v>
      </c>
      <c r="G25" s="213">
        <f>'rekap hitungan'!J35</f>
        <v>535025642</v>
      </c>
      <c r="H25" s="213">
        <f t="shared" si="2"/>
        <v>1408511824</v>
      </c>
      <c r="I25" s="215"/>
      <c r="J25" s="197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24.0" customHeight="1">
      <c r="A26" s="209" t="s">
        <v>66</v>
      </c>
      <c r="B26" s="216" t="s">
        <v>67</v>
      </c>
      <c r="C26" s="213"/>
      <c r="D26" s="217"/>
      <c r="E26" s="217"/>
      <c r="F26" s="217"/>
      <c r="G26" s="217"/>
      <c r="H26" s="217"/>
      <c r="I26" s="215"/>
      <c r="J26" s="197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24.0" customHeight="1">
      <c r="A27" s="209">
        <v>1.0</v>
      </c>
      <c r="B27" s="209">
        <v>2.0</v>
      </c>
      <c r="C27" s="210">
        <v>3.0</v>
      </c>
      <c r="D27" s="210">
        <v>4.0</v>
      </c>
      <c r="E27" s="210">
        <v>5.0</v>
      </c>
      <c r="F27" s="210">
        <v>6.0</v>
      </c>
      <c r="G27" s="210">
        <v>7.0</v>
      </c>
      <c r="H27" s="210">
        <v>8.0</v>
      </c>
      <c r="I27" s="215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24.0" customHeight="1">
      <c r="A28" s="209" t="s">
        <v>242</v>
      </c>
      <c r="B28" s="216" t="s">
        <v>243</v>
      </c>
      <c r="C28" s="213">
        <f>'rekap hitungan'!D37</f>
        <v>828900000</v>
      </c>
      <c r="D28" s="213">
        <f>'rekap hitungan'!E37</f>
        <v>10077696</v>
      </c>
      <c r="E28" s="213">
        <f>'rekap hitungan'!F37</f>
        <v>67444566</v>
      </c>
      <c r="F28" s="213">
        <f>'rekap hitungan'!G37</f>
        <v>138150000</v>
      </c>
      <c r="G28" s="213">
        <f>'rekap hitungan'!J37</f>
        <v>601002847</v>
      </c>
      <c r="H28" s="213">
        <f t="shared" ref="H28:H31" si="3">SUM(C28:G28)</f>
        <v>1645575109</v>
      </c>
      <c r="I28" s="215"/>
      <c r="J28" s="197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24.0" customHeight="1">
      <c r="A29" s="209" t="s">
        <v>244</v>
      </c>
      <c r="B29" s="216" t="s">
        <v>69</v>
      </c>
      <c r="C29" s="213">
        <f>'rekap hitungan'!D38</f>
        <v>759300000</v>
      </c>
      <c r="D29" s="213">
        <f>'rekap hitungan'!E38</f>
        <v>10077696</v>
      </c>
      <c r="E29" s="213">
        <f>'rekap hitungan'!F38</f>
        <v>63101526</v>
      </c>
      <c r="F29" s="213">
        <f>'rekap hitungan'!G38</f>
        <v>126550000</v>
      </c>
      <c r="G29" s="213">
        <f>'rekap hitungan'!J38</f>
        <v>636120813</v>
      </c>
      <c r="H29" s="213">
        <f t="shared" si="3"/>
        <v>1595150035</v>
      </c>
      <c r="I29" s="215"/>
      <c r="J29" s="197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24.0" customHeight="1">
      <c r="A30" s="209" t="s">
        <v>245</v>
      </c>
      <c r="B30" s="218" t="s">
        <v>70</v>
      </c>
      <c r="C30" s="213">
        <f>'rekap hitungan'!D39</f>
        <v>1037700000</v>
      </c>
      <c r="D30" s="213">
        <f>'rekap hitungan'!E39</f>
        <v>10077696</v>
      </c>
      <c r="E30" s="213">
        <f>'rekap hitungan'!F39</f>
        <v>80473686</v>
      </c>
      <c r="F30" s="213">
        <f>'rekap hitungan'!G39</f>
        <v>172950000</v>
      </c>
      <c r="G30" s="213">
        <f>'rekap hitungan'!J39</f>
        <v>813640508</v>
      </c>
      <c r="H30" s="213">
        <f t="shared" si="3"/>
        <v>2114841890</v>
      </c>
      <c r="I30" s="215"/>
      <c r="J30" s="197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24.0" customHeight="1">
      <c r="A31" s="209" t="s">
        <v>246</v>
      </c>
      <c r="B31" s="216" t="s">
        <v>71</v>
      </c>
      <c r="C31" s="213">
        <f>'rekap hitungan'!D40</f>
        <v>863700000</v>
      </c>
      <c r="D31" s="213">
        <f>'rekap hitungan'!E40</f>
        <v>10077696</v>
      </c>
      <c r="E31" s="213">
        <f>'rekap hitungan'!F40</f>
        <v>69616086</v>
      </c>
      <c r="F31" s="213">
        <f>'rekap hitungan'!G40</f>
        <v>143950000</v>
      </c>
      <c r="G31" s="213">
        <f>'rekap hitungan'!J40</f>
        <v>645713013</v>
      </c>
      <c r="H31" s="213">
        <f t="shared" si="3"/>
        <v>1733056795</v>
      </c>
      <c r="I31" s="215"/>
      <c r="J31" s="197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24.0" customHeight="1">
      <c r="A32" s="209" t="s">
        <v>72</v>
      </c>
      <c r="B32" s="219" t="s">
        <v>73</v>
      </c>
      <c r="C32" s="213"/>
      <c r="D32" s="217"/>
      <c r="E32" s="217"/>
      <c r="F32" s="217"/>
      <c r="G32" s="217"/>
      <c r="H32" s="217"/>
      <c r="I32" s="215"/>
      <c r="J32" s="197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24.0" customHeight="1">
      <c r="A33" s="209" t="s">
        <v>247</v>
      </c>
      <c r="B33" s="216" t="s">
        <v>74</v>
      </c>
      <c r="C33" s="213">
        <f>'rekap hitungan'!D42</f>
        <v>620100000</v>
      </c>
      <c r="D33" s="213">
        <f>'rekap hitungan'!E42</f>
        <v>10077696</v>
      </c>
      <c r="E33" s="213">
        <f>'rekap hitungan'!F42</f>
        <v>54415446</v>
      </c>
      <c r="F33" s="213">
        <f>'rekap hitungan'!G42</f>
        <v>103350000</v>
      </c>
      <c r="G33" s="213">
        <f>'rekap hitungan'!J42</f>
        <v>362525306</v>
      </c>
      <c r="H33" s="213">
        <f t="shared" ref="H33:H37" si="4">SUM(C33:G33)</f>
        <v>1150468448</v>
      </c>
      <c r="I33" s="215"/>
      <c r="J33" s="197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24.0" customHeight="1">
      <c r="A34" s="209" t="s">
        <v>248</v>
      </c>
      <c r="B34" s="216" t="s">
        <v>75</v>
      </c>
      <c r="C34" s="213">
        <f>'rekap hitungan'!D43</f>
        <v>863700000</v>
      </c>
      <c r="D34" s="213">
        <f>'rekap hitungan'!E43</f>
        <v>10077696</v>
      </c>
      <c r="E34" s="213">
        <f>'rekap hitungan'!F43</f>
        <v>69616086</v>
      </c>
      <c r="F34" s="213">
        <f>'rekap hitungan'!G43</f>
        <v>143950000</v>
      </c>
      <c r="G34" s="213">
        <f>'rekap hitungan'!J43</f>
        <v>634947163</v>
      </c>
      <c r="H34" s="213">
        <f t="shared" si="4"/>
        <v>1722290945</v>
      </c>
      <c r="I34" s="215"/>
      <c r="J34" s="197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24.0" customHeight="1">
      <c r="A35" s="209" t="s">
        <v>249</v>
      </c>
      <c r="B35" s="216" t="s">
        <v>76</v>
      </c>
      <c r="C35" s="213">
        <f>'rekap hitungan'!D44</f>
        <v>828900000</v>
      </c>
      <c r="D35" s="213">
        <f>'rekap hitungan'!E44</f>
        <v>10077696</v>
      </c>
      <c r="E35" s="213">
        <f>'rekap hitungan'!F44</f>
        <v>67444566</v>
      </c>
      <c r="F35" s="213">
        <f>'rekap hitungan'!G44</f>
        <v>138150000</v>
      </c>
      <c r="G35" s="213">
        <f>'rekap hitungan'!J44</f>
        <v>659941725</v>
      </c>
      <c r="H35" s="213">
        <f t="shared" si="4"/>
        <v>1704513987</v>
      </c>
      <c r="I35" s="215"/>
      <c r="J35" s="197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24.0" customHeight="1">
      <c r="A36" s="209" t="s">
        <v>250</v>
      </c>
      <c r="B36" s="216" t="s">
        <v>77</v>
      </c>
      <c r="C36" s="213">
        <f>'rekap hitungan'!D45</f>
        <v>724500000</v>
      </c>
      <c r="D36" s="213">
        <f>'rekap hitungan'!E45</f>
        <v>10077696</v>
      </c>
      <c r="E36" s="213">
        <f>'rekap hitungan'!F45</f>
        <v>60930006</v>
      </c>
      <c r="F36" s="213">
        <f>'rekap hitungan'!G45</f>
        <v>120750000</v>
      </c>
      <c r="G36" s="213">
        <f>'rekap hitungan'!J45</f>
        <v>527793542</v>
      </c>
      <c r="H36" s="213">
        <f t="shared" si="4"/>
        <v>1444051244</v>
      </c>
      <c r="I36" s="215"/>
      <c r="J36" s="197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24.0" customHeight="1">
      <c r="A37" s="209" t="s">
        <v>251</v>
      </c>
      <c r="B37" s="216" t="s">
        <v>78</v>
      </c>
      <c r="C37" s="213">
        <f>'rekap hitungan'!D46</f>
        <v>863700000</v>
      </c>
      <c r="D37" s="213">
        <f>'rekap hitungan'!E46</f>
        <v>10077696</v>
      </c>
      <c r="E37" s="213">
        <f>'rekap hitungan'!F46</f>
        <v>69616086</v>
      </c>
      <c r="F37" s="213">
        <f>'rekap hitungan'!G46</f>
        <v>143950000</v>
      </c>
      <c r="G37" s="213">
        <f>'rekap hitungan'!J46</f>
        <v>699401426</v>
      </c>
      <c r="H37" s="213">
        <f t="shared" si="4"/>
        <v>1786745208</v>
      </c>
      <c r="I37" s="215"/>
      <c r="J37" s="197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24.0" customHeight="1">
      <c r="A38" s="209" t="s">
        <v>79</v>
      </c>
      <c r="B38" s="219" t="s">
        <v>80</v>
      </c>
      <c r="C38" s="213"/>
      <c r="D38" s="217"/>
      <c r="E38" s="217"/>
      <c r="F38" s="217"/>
      <c r="G38" s="217"/>
      <c r="H38" s="217"/>
      <c r="I38" s="215"/>
      <c r="J38" s="197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24.0" customHeight="1">
      <c r="A39" s="209" t="s">
        <v>252</v>
      </c>
      <c r="B39" s="216" t="s">
        <v>81</v>
      </c>
      <c r="C39" s="213">
        <f>'rekap hitungan'!D48</f>
        <v>794100000</v>
      </c>
      <c r="D39" s="213">
        <f>'rekap hitungan'!E48</f>
        <v>10077696</v>
      </c>
      <c r="E39" s="213">
        <f>'rekap hitungan'!F48</f>
        <v>65273046</v>
      </c>
      <c r="F39" s="213">
        <f>'rekap hitungan'!G48</f>
        <v>132350000</v>
      </c>
      <c r="G39" s="213">
        <f>'rekap hitungan'!J48</f>
        <v>735990555</v>
      </c>
      <c r="H39" s="213">
        <f t="shared" ref="H39:H43" si="5">SUM(C39:G39)</f>
        <v>1737791297</v>
      </c>
      <c r="I39" s="215"/>
      <c r="J39" s="197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24.0" customHeight="1">
      <c r="A40" s="209" t="s">
        <v>253</v>
      </c>
      <c r="B40" s="216" t="s">
        <v>82</v>
      </c>
      <c r="C40" s="213">
        <f>'rekap hitungan'!D49</f>
        <v>863700000</v>
      </c>
      <c r="D40" s="213">
        <f>'rekap hitungan'!E49</f>
        <v>10077696</v>
      </c>
      <c r="E40" s="213">
        <f>'rekap hitungan'!F49</f>
        <v>69616086</v>
      </c>
      <c r="F40" s="213">
        <f>'rekap hitungan'!G49</f>
        <v>143950000</v>
      </c>
      <c r="G40" s="213">
        <f>'rekap hitungan'!J49</f>
        <v>713142572</v>
      </c>
      <c r="H40" s="213">
        <f t="shared" si="5"/>
        <v>1800486354</v>
      </c>
      <c r="I40" s="215"/>
      <c r="J40" s="197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24.0" customHeight="1">
      <c r="A41" s="209" t="s">
        <v>254</v>
      </c>
      <c r="B41" s="216" t="s">
        <v>83</v>
      </c>
      <c r="C41" s="213">
        <f>'rekap hitungan'!D50</f>
        <v>724500000</v>
      </c>
      <c r="D41" s="213">
        <f>'rekap hitungan'!E50</f>
        <v>10077696</v>
      </c>
      <c r="E41" s="213">
        <f>'rekap hitungan'!F50</f>
        <v>60930006</v>
      </c>
      <c r="F41" s="213">
        <f>'rekap hitungan'!G50</f>
        <v>120750000</v>
      </c>
      <c r="G41" s="213">
        <f>'rekap hitungan'!J50</f>
        <v>585910234</v>
      </c>
      <c r="H41" s="213">
        <f t="shared" si="5"/>
        <v>1502167936</v>
      </c>
      <c r="I41" s="215"/>
      <c r="J41" s="197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24.0" customHeight="1">
      <c r="A42" s="209" t="s">
        <v>255</v>
      </c>
      <c r="B42" s="216" t="s">
        <v>84</v>
      </c>
      <c r="C42" s="213">
        <f>'rekap hitungan'!D51</f>
        <v>759300000</v>
      </c>
      <c r="D42" s="213">
        <f>'rekap hitungan'!E51</f>
        <v>10077696</v>
      </c>
      <c r="E42" s="213">
        <f>'rekap hitungan'!F51</f>
        <v>63101526</v>
      </c>
      <c r="F42" s="213">
        <f>'rekap hitungan'!G51</f>
        <v>126550000</v>
      </c>
      <c r="G42" s="213">
        <f>'rekap hitungan'!J51</f>
        <v>753400824</v>
      </c>
      <c r="H42" s="213">
        <f t="shared" si="5"/>
        <v>1712430046</v>
      </c>
      <c r="I42" s="215"/>
      <c r="J42" s="197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24.0" customHeight="1">
      <c r="A43" s="209" t="s">
        <v>256</v>
      </c>
      <c r="B43" s="216" t="s">
        <v>85</v>
      </c>
      <c r="C43" s="213">
        <f>'rekap hitungan'!D52</f>
        <v>724500000</v>
      </c>
      <c r="D43" s="213">
        <f>'rekap hitungan'!E52</f>
        <v>10077696</v>
      </c>
      <c r="E43" s="213">
        <f>'rekap hitungan'!F52</f>
        <v>60930006</v>
      </c>
      <c r="F43" s="213">
        <f>'rekap hitungan'!G52</f>
        <v>120750000</v>
      </c>
      <c r="G43" s="213">
        <f>'rekap hitungan'!J52</f>
        <v>709698251</v>
      </c>
      <c r="H43" s="213">
        <f t="shared" si="5"/>
        <v>1625955953</v>
      </c>
      <c r="I43" s="215"/>
      <c r="J43" s="197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24.0" customHeight="1">
      <c r="A44" s="209" t="s">
        <v>86</v>
      </c>
      <c r="B44" s="219" t="s">
        <v>87</v>
      </c>
      <c r="C44" s="213"/>
      <c r="D44" s="217"/>
      <c r="E44" s="217"/>
      <c r="F44" s="217"/>
      <c r="G44" s="217"/>
      <c r="H44" s="217"/>
      <c r="I44" s="215"/>
      <c r="J44" s="197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24.0" customHeight="1">
      <c r="A45" s="209" t="s">
        <v>257</v>
      </c>
      <c r="B45" s="216" t="s">
        <v>88</v>
      </c>
      <c r="C45" s="213">
        <f>'rekap hitungan'!D54</f>
        <v>933300000</v>
      </c>
      <c r="D45" s="213">
        <f>'rekap hitungan'!E54</f>
        <v>10077696</v>
      </c>
      <c r="E45" s="213">
        <f>'rekap hitungan'!F54</f>
        <v>73959126</v>
      </c>
      <c r="F45" s="213">
        <f>'rekap hitungan'!G54</f>
        <v>155550000</v>
      </c>
      <c r="G45" s="213">
        <f>'rekap hitungan'!J54</f>
        <v>1046577985</v>
      </c>
      <c r="H45" s="213">
        <f t="shared" ref="H45:H48" si="6">SUM(C45:G45)</f>
        <v>2219464807</v>
      </c>
      <c r="I45" s="215"/>
      <c r="J45" s="197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4.0" customHeight="1">
      <c r="A46" s="209" t="s">
        <v>258</v>
      </c>
      <c r="B46" s="216" t="s">
        <v>89</v>
      </c>
      <c r="C46" s="213">
        <f>'rekap hitungan'!D55</f>
        <v>794100000</v>
      </c>
      <c r="D46" s="213">
        <f>'rekap hitungan'!E55</f>
        <v>10077696</v>
      </c>
      <c r="E46" s="213">
        <f>'rekap hitungan'!F55</f>
        <v>65273046</v>
      </c>
      <c r="F46" s="213">
        <f>'rekap hitungan'!G55</f>
        <v>132350000</v>
      </c>
      <c r="G46" s="213">
        <f>'rekap hitungan'!J55</f>
        <v>765253089</v>
      </c>
      <c r="H46" s="213">
        <f t="shared" si="6"/>
        <v>1767053831</v>
      </c>
      <c r="I46" s="215"/>
      <c r="J46" s="197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24.0" customHeight="1">
      <c r="A47" s="209" t="s">
        <v>259</v>
      </c>
      <c r="B47" s="216" t="s">
        <v>90</v>
      </c>
      <c r="C47" s="213">
        <f>'rekap hitungan'!D56</f>
        <v>724500000</v>
      </c>
      <c r="D47" s="213">
        <f>'rekap hitungan'!E56</f>
        <v>10077696</v>
      </c>
      <c r="E47" s="213">
        <f>'rekap hitungan'!F56</f>
        <v>60930006</v>
      </c>
      <c r="F47" s="213">
        <f>'rekap hitungan'!G56</f>
        <v>120750000</v>
      </c>
      <c r="G47" s="213">
        <f>'rekap hitungan'!J56</f>
        <v>697182231</v>
      </c>
      <c r="H47" s="213">
        <f t="shared" si="6"/>
        <v>1613439933</v>
      </c>
      <c r="I47" s="215"/>
      <c r="J47" s="197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24.0" customHeight="1">
      <c r="A48" s="209" t="s">
        <v>260</v>
      </c>
      <c r="B48" s="216" t="s">
        <v>91</v>
      </c>
      <c r="C48" s="213">
        <f>'rekap hitungan'!D57</f>
        <v>828900000</v>
      </c>
      <c r="D48" s="213">
        <f>'rekap hitungan'!E57</f>
        <v>10077696</v>
      </c>
      <c r="E48" s="213">
        <f>'rekap hitungan'!F57</f>
        <v>67444566</v>
      </c>
      <c r="F48" s="213">
        <f>'rekap hitungan'!G57</f>
        <v>138150000</v>
      </c>
      <c r="G48" s="213">
        <f>'rekap hitungan'!J57</f>
        <v>709344174</v>
      </c>
      <c r="H48" s="213">
        <f t="shared" si="6"/>
        <v>1753916436</v>
      </c>
      <c r="I48" s="215"/>
      <c r="J48" s="197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24.0" customHeight="1">
      <c r="A49" s="209">
        <v>1.0</v>
      </c>
      <c r="B49" s="209">
        <v>2.0</v>
      </c>
      <c r="C49" s="210">
        <v>3.0</v>
      </c>
      <c r="D49" s="210">
        <v>4.0</v>
      </c>
      <c r="E49" s="210">
        <v>5.0</v>
      </c>
      <c r="F49" s="210">
        <v>6.0</v>
      </c>
      <c r="G49" s="210">
        <v>7.0</v>
      </c>
      <c r="H49" s="210">
        <v>8.0</v>
      </c>
      <c r="I49" s="215"/>
      <c r="J49" s="197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24.0" customHeight="1">
      <c r="A50" s="209" t="s">
        <v>261</v>
      </c>
      <c r="B50" s="216" t="s">
        <v>92</v>
      </c>
      <c r="C50" s="213">
        <f>'rekap hitungan'!D58</f>
        <v>828900000</v>
      </c>
      <c r="D50" s="213">
        <f>'rekap hitungan'!E58</f>
        <v>10077696</v>
      </c>
      <c r="E50" s="213">
        <f>'rekap hitungan'!F58</f>
        <v>67444566</v>
      </c>
      <c r="F50" s="213">
        <f>'rekap hitungan'!G58</f>
        <v>138150000</v>
      </c>
      <c r="G50" s="213">
        <f>'rekap hitungan'!J58</f>
        <v>799354502</v>
      </c>
      <c r="H50" s="213">
        <f>SUM(C50:G50)</f>
        <v>1843926764</v>
      </c>
      <c r="I50" s="215"/>
      <c r="J50" s="197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24.0" customHeight="1">
      <c r="A51" s="209" t="s">
        <v>93</v>
      </c>
      <c r="B51" s="219" t="s">
        <v>94</v>
      </c>
      <c r="C51" s="213"/>
      <c r="D51" s="217"/>
      <c r="E51" s="217"/>
      <c r="F51" s="217"/>
      <c r="G51" s="217"/>
      <c r="H51" s="217"/>
      <c r="I51" s="215"/>
      <c r="J51" s="198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24.0" customHeight="1">
      <c r="A52" s="209" t="s">
        <v>262</v>
      </c>
      <c r="B52" s="216" t="s">
        <v>95</v>
      </c>
      <c r="C52" s="213">
        <f>'rekap hitungan'!D60</f>
        <v>1002900000</v>
      </c>
      <c r="D52" s="213">
        <f>'rekap hitungan'!E60</f>
        <v>10077696</v>
      </c>
      <c r="E52" s="213">
        <f>'rekap hitungan'!F60</f>
        <v>78302166</v>
      </c>
      <c r="F52" s="213">
        <f>'rekap hitungan'!G60</f>
        <v>167150000</v>
      </c>
      <c r="G52" s="213">
        <f>'rekap hitungan'!J60</f>
        <v>1081035298</v>
      </c>
      <c r="H52" s="213">
        <f t="shared" ref="H52:H54" si="7">SUM(C52:G52)</f>
        <v>2339465160</v>
      </c>
      <c r="I52" s="215"/>
      <c r="J52" s="197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24.0" customHeight="1">
      <c r="A53" s="209" t="s">
        <v>263</v>
      </c>
      <c r="B53" s="216" t="s">
        <v>96</v>
      </c>
      <c r="C53" s="213">
        <f>'rekap hitungan'!D61</f>
        <v>1002900000</v>
      </c>
      <c r="D53" s="213">
        <f>'rekap hitungan'!E61</f>
        <v>10077696</v>
      </c>
      <c r="E53" s="213">
        <f>'rekap hitungan'!F61</f>
        <v>78302166</v>
      </c>
      <c r="F53" s="213">
        <f>'rekap hitungan'!G61</f>
        <v>167150000</v>
      </c>
      <c r="G53" s="213">
        <f>'rekap hitungan'!J61</f>
        <v>1142959198</v>
      </c>
      <c r="H53" s="213">
        <f t="shared" si="7"/>
        <v>2401389060</v>
      </c>
      <c r="I53" s="215"/>
      <c r="J53" s="197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24.0" customHeight="1">
      <c r="A54" s="220" t="s">
        <v>264</v>
      </c>
      <c r="B54" s="221" t="s">
        <v>97</v>
      </c>
      <c r="C54" s="213">
        <f>'rekap hitungan'!D62</f>
        <v>933300000</v>
      </c>
      <c r="D54" s="213">
        <f>'rekap hitungan'!E62</f>
        <v>10077696</v>
      </c>
      <c r="E54" s="213">
        <f>'rekap hitungan'!F62</f>
        <v>73959126</v>
      </c>
      <c r="F54" s="213">
        <f>'rekap hitungan'!G62</f>
        <v>155550000</v>
      </c>
      <c r="G54" s="213">
        <f>'rekap hitungan'!J62</f>
        <v>1052149831</v>
      </c>
      <c r="H54" s="213">
        <f t="shared" si="7"/>
        <v>2225036653</v>
      </c>
      <c r="I54" s="222"/>
      <c r="J54" s="223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</row>
    <row r="55" ht="24.0" customHeight="1">
      <c r="A55" s="209" t="s">
        <v>98</v>
      </c>
      <c r="B55" s="219" t="s">
        <v>99</v>
      </c>
      <c r="C55" s="213"/>
      <c r="D55" s="217"/>
      <c r="E55" s="217"/>
      <c r="F55" s="217"/>
      <c r="G55" s="217"/>
      <c r="H55" s="217"/>
      <c r="I55" s="215"/>
      <c r="J55" s="197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24.0" customHeight="1">
      <c r="A56" s="209" t="s">
        <v>265</v>
      </c>
      <c r="B56" s="216" t="s">
        <v>100</v>
      </c>
      <c r="C56" s="213">
        <f>'rekap hitungan'!D64</f>
        <v>933300000</v>
      </c>
      <c r="D56" s="213">
        <f>'rekap hitungan'!E64</f>
        <v>10077696</v>
      </c>
      <c r="E56" s="213">
        <f>'rekap hitungan'!F64</f>
        <v>73959126</v>
      </c>
      <c r="F56" s="213">
        <f>'rekap hitungan'!G64</f>
        <v>155550000</v>
      </c>
      <c r="G56" s="213">
        <f>'rekap hitungan'!J64</f>
        <v>811731637</v>
      </c>
      <c r="H56" s="213">
        <f t="shared" ref="H56:H59" si="8">SUM(C56:G56)</f>
        <v>1984618459</v>
      </c>
      <c r="I56" s="215"/>
      <c r="J56" s="198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24.0" customHeight="1">
      <c r="A57" s="209" t="s">
        <v>266</v>
      </c>
      <c r="B57" s="216" t="s">
        <v>101</v>
      </c>
      <c r="C57" s="213">
        <f>'rekap hitungan'!D65</f>
        <v>794100000</v>
      </c>
      <c r="D57" s="213">
        <f>'rekap hitungan'!E65</f>
        <v>10077696</v>
      </c>
      <c r="E57" s="213">
        <f>'rekap hitungan'!F65</f>
        <v>65273046</v>
      </c>
      <c r="F57" s="213">
        <f>'rekap hitungan'!G65</f>
        <v>132350000</v>
      </c>
      <c r="G57" s="213">
        <f>'rekap hitungan'!J65</f>
        <v>703905747</v>
      </c>
      <c r="H57" s="213">
        <f t="shared" si="8"/>
        <v>1705706489</v>
      </c>
      <c r="I57" s="215"/>
      <c r="J57" s="197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24.0" customHeight="1">
      <c r="A58" s="209" t="s">
        <v>267</v>
      </c>
      <c r="B58" s="216" t="s">
        <v>102</v>
      </c>
      <c r="C58" s="213">
        <f>'rekap hitungan'!D66</f>
        <v>863700000</v>
      </c>
      <c r="D58" s="213">
        <f>'rekap hitungan'!E66</f>
        <v>10077696</v>
      </c>
      <c r="E58" s="213">
        <f>'rekap hitungan'!F66</f>
        <v>69616086</v>
      </c>
      <c r="F58" s="213">
        <f>'rekap hitungan'!G66</f>
        <v>143950000</v>
      </c>
      <c r="G58" s="213">
        <f>'rekap hitungan'!J66</f>
        <v>756623959</v>
      </c>
      <c r="H58" s="213">
        <f t="shared" si="8"/>
        <v>1843967741</v>
      </c>
      <c r="I58" s="215"/>
      <c r="J58" s="197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24.0" customHeight="1">
      <c r="A59" s="209" t="s">
        <v>268</v>
      </c>
      <c r="B59" s="216" t="s">
        <v>103</v>
      </c>
      <c r="C59" s="213">
        <f>'rekap hitungan'!D67</f>
        <v>654900000</v>
      </c>
      <c r="D59" s="213">
        <f>'rekap hitungan'!E67</f>
        <v>10077696</v>
      </c>
      <c r="E59" s="213">
        <f>'rekap hitungan'!F67</f>
        <v>56586966</v>
      </c>
      <c r="F59" s="213">
        <f>'rekap hitungan'!G67</f>
        <v>109150000</v>
      </c>
      <c r="G59" s="213">
        <f>'rekap hitungan'!J67</f>
        <v>640242064</v>
      </c>
      <c r="H59" s="213">
        <f t="shared" si="8"/>
        <v>1470956726</v>
      </c>
      <c r="I59" s="215"/>
      <c r="J59" s="197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24.0" customHeight="1">
      <c r="A60" s="209" t="s">
        <v>104</v>
      </c>
      <c r="B60" s="216" t="s">
        <v>105</v>
      </c>
      <c r="C60" s="213"/>
      <c r="D60" s="217"/>
      <c r="E60" s="217"/>
      <c r="F60" s="217"/>
      <c r="G60" s="217"/>
      <c r="H60" s="217"/>
      <c r="I60" s="215"/>
      <c r="J60" s="197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24.0" customHeight="1">
      <c r="A61" s="209" t="s">
        <v>269</v>
      </c>
      <c r="B61" s="216" t="s">
        <v>106</v>
      </c>
      <c r="C61" s="213">
        <f>'rekap hitungan'!D69</f>
        <v>933300000</v>
      </c>
      <c r="D61" s="213">
        <f>'rekap hitungan'!E69</f>
        <v>10077696</v>
      </c>
      <c r="E61" s="213">
        <f>'rekap hitungan'!F69</f>
        <v>73959126</v>
      </c>
      <c r="F61" s="213">
        <f>'rekap hitungan'!G69</f>
        <v>155550000</v>
      </c>
      <c r="G61" s="213">
        <f>'rekap hitungan'!J69</f>
        <v>873077025</v>
      </c>
      <c r="H61" s="213">
        <f t="shared" ref="H61:H66" si="9">SUM(C61:G61)</f>
        <v>2045963847</v>
      </c>
      <c r="I61" s="215"/>
      <c r="J61" s="198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24.0" customHeight="1">
      <c r="A62" s="209" t="s">
        <v>270</v>
      </c>
      <c r="B62" s="216" t="s">
        <v>107</v>
      </c>
      <c r="C62" s="213">
        <f>'rekap hitungan'!D70</f>
        <v>515700000</v>
      </c>
      <c r="D62" s="213">
        <f>'rekap hitungan'!E70</f>
        <v>10077696</v>
      </c>
      <c r="E62" s="213">
        <f>'rekap hitungan'!F70</f>
        <v>47900886</v>
      </c>
      <c r="F62" s="213">
        <f>'rekap hitungan'!G70</f>
        <v>85950000</v>
      </c>
      <c r="G62" s="213">
        <f>'rekap hitungan'!J70</f>
        <v>420402188</v>
      </c>
      <c r="H62" s="213">
        <f t="shared" si="9"/>
        <v>1080030770</v>
      </c>
      <c r="I62" s="215"/>
      <c r="J62" s="197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24.0" customHeight="1">
      <c r="A63" s="209" t="s">
        <v>271</v>
      </c>
      <c r="B63" s="216" t="s">
        <v>108</v>
      </c>
      <c r="C63" s="213">
        <f>'rekap hitungan'!D71</f>
        <v>550500000</v>
      </c>
      <c r="D63" s="213">
        <f>'rekap hitungan'!E71</f>
        <v>10077696</v>
      </c>
      <c r="E63" s="213">
        <f>'rekap hitungan'!F71</f>
        <v>50072406</v>
      </c>
      <c r="F63" s="213">
        <f>'rekap hitungan'!G71</f>
        <v>91750000</v>
      </c>
      <c r="G63" s="213">
        <f>'rekap hitungan'!J71</f>
        <v>500221575</v>
      </c>
      <c r="H63" s="213">
        <f t="shared" si="9"/>
        <v>1202621677</v>
      </c>
      <c r="I63" s="215"/>
      <c r="J63" s="197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24.0" customHeight="1">
      <c r="A64" s="209" t="s">
        <v>272</v>
      </c>
      <c r="B64" s="216" t="s">
        <v>109</v>
      </c>
      <c r="C64" s="213">
        <f>'rekap hitungan'!D72</f>
        <v>585300000</v>
      </c>
      <c r="D64" s="213">
        <f>'rekap hitungan'!E72</f>
        <v>10077696</v>
      </c>
      <c r="E64" s="213">
        <f>'rekap hitungan'!F72</f>
        <v>52243926</v>
      </c>
      <c r="F64" s="213">
        <f>'rekap hitungan'!G72</f>
        <v>97550000</v>
      </c>
      <c r="G64" s="213">
        <f>'rekap hitungan'!J72</f>
        <v>566198459</v>
      </c>
      <c r="H64" s="213">
        <f t="shared" si="9"/>
        <v>1311370081</v>
      </c>
      <c r="I64" s="215"/>
      <c r="J64" s="197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24.0" customHeight="1">
      <c r="A65" s="209" t="s">
        <v>273</v>
      </c>
      <c r="B65" s="216" t="s">
        <v>110</v>
      </c>
      <c r="C65" s="213">
        <f>'rekap hitungan'!D73</f>
        <v>863700000</v>
      </c>
      <c r="D65" s="213">
        <f>'rekap hitungan'!E73</f>
        <v>10077696</v>
      </c>
      <c r="E65" s="213">
        <f>'rekap hitungan'!F73</f>
        <v>69616086</v>
      </c>
      <c r="F65" s="213">
        <f>'rekap hitungan'!G73</f>
        <v>143950000</v>
      </c>
      <c r="G65" s="213">
        <f>'rekap hitungan'!J73</f>
        <v>798696978</v>
      </c>
      <c r="H65" s="213">
        <f t="shared" si="9"/>
        <v>1886040760</v>
      </c>
      <c r="I65" s="215"/>
      <c r="J65" s="198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24.0" customHeight="1">
      <c r="A66" s="209" t="s">
        <v>274</v>
      </c>
      <c r="B66" s="216" t="s">
        <v>111</v>
      </c>
      <c r="C66" s="213">
        <f>'rekap hitungan'!D74</f>
        <v>759300000</v>
      </c>
      <c r="D66" s="213">
        <f>'rekap hitungan'!E74</f>
        <v>10077696</v>
      </c>
      <c r="E66" s="213">
        <f>'rekap hitungan'!F74</f>
        <v>63101526</v>
      </c>
      <c r="F66" s="213">
        <f>'rekap hitungan'!G74</f>
        <v>126550000</v>
      </c>
      <c r="G66" s="213">
        <f>'rekap hitungan'!J74</f>
        <v>651865796</v>
      </c>
      <c r="H66" s="213">
        <f t="shared" si="9"/>
        <v>1610895018</v>
      </c>
      <c r="I66" s="215"/>
      <c r="J66" s="197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24.0" customHeight="1">
      <c r="A67" s="209" t="s">
        <v>112</v>
      </c>
      <c r="B67" s="219" t="s">
        <v>113</v>
      </c>
      <c r="C67" s="213"/>
      <c r="D67" s="217"/>
      <c r="E67" s="217"/>
      <c r="F67" s="217"/>
      <c r="G67" s="217"/>
      <c r="H67" s="217"/>
      <c r="I67" s="215"/>
      <c r="J67" s="197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24.0" customHeight="1">
      <c r="A68" s="209" t="s">
        <v>275</v>
      </c>
      <c r="B68" s="218" t="s">
        <v>114</v>
      </c>
      <c r="C68" s="213">
        <f>'rekap hitungan'!D76</f>
        <v>1037700000</v>
      </c>
      <c r="D68" s="213">
        <f>'rekap hitungan'!E76</f>
        <v>10077696</v>
      </c>
      <c r="E68" s="213">
        <f>'rekap hitungan'!F76</f>
        <v>80473686</v>
      </c>
      <c r="F68" s="213">
        <f>'rekap hitungan'!G76</f>
        <v>172950000</v>
      </c>
      <c r="G68" s="213">
        <f>'rekap hitungan'!J76</f>
        <v>1146432385</v>
      </c>
      <c r="H68" s="213">
        <f t="shared" ref="H68:H70" si="10">SUM(C68:G68)</f>
        <v>2447633767</v>
      </c>
      <c r="I68" s="215"/>
      <c r="J68" s="197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24.0" customHeight="1">
      <c r="A69" s="209" t="s">
        <v>276</v>
      </c>
      <c r="B69" s="218" t="s">
        <v>115</v>
      </c>
      <c r="C69" s="213">
        <f>'rekap hitungan'!D77</f>
        <v>898500000</v>
      </c>
      <c r="D69" s="213">
        <f>'rekap hitungan'!E77</f>
        <v>10077696</v>
      </c>
      <c r="E69" s="213">
        <f>'rekap hitungan'!F77</f>
        <v>71787606</v>
      </c>
      <c r="F69" s="213">
        <f>'rekap hitungan'!G77</f>
        <v>149750000</v>
      </c>
      <c r="G69" s="213">
        <f>'rekap hitungan'!J77</f>
        <v>826865574</v>
      </c>
      <c r="H69" s="213">
        <f t="shared" si="10"/>
        <v>1956980876</v>
      </c>
      <c r="I69" s="215"/>
      <c r="J69" s="197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24.0" customHeight="1">
      <c r="A70" s="209" t="s">
        <v>277</v>
      </c>
      <c r="B70" s="218" t="s">
        <v>116</v>
      </c>
      <c r="C70" s="213">
        <f>'rekap hitungan'!D78</f>
        <v>1072500000</v>
      </c>
      <c r="D70" s="213">
        <f>'rekap hitungan'!E78</f>
        <v>10077696</v>
      </c>
      <c r="E70" s="213">
        <f>'rekap hitungan'!F78</f>
        <v>82645206</v>
      </c>
      <c r="F70" s="213">
        <f>'rekap hitungan'!G78</f>
        <v>178750000</v>
      </c>
      <c r="G70" s="213">
        <f>'rekap hitungan'!J78</f>
        <v>911814320</v>
      </c>
      <c r="H70" s="213">
        <f t="shared" si="10"/>
        <v>2255787222</v>
      </c>
      <c r="I70" s="215"/>
      <c r="J70" s="197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24.0" customHeight="1">
      <c r="A71" s="209">
        <v>1.0</v>
      </c>
      <c r="B71" s="209">
        <v>2.0</v>
      </c>
      <c r="C71" s="210">
        <v>3.0</v>
      </c>
      <c r="D71" s="210">
        <v>4.0</v>
      </c>
      <c r="E71" s="210">
        <v>5.0</v>
      </c>
      <c r="F71" s="210">
        <v>6.0</v>
      </c>
      <c r="G71" s="210">
        <v>7.0</v>
      </c>
      <c r="H71" s="210">
        <v>8.0</v>
      </c>
      <c r="I71" s="215"/>
      <c r="J71" s="197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24.0" customHeight="1">
      <c r="A72" s="209" t="s">
        <v>278</v>
      </c>
      <c r="B72" s="216" t="s">
        <v>117</v>
      </c>
      <c r="C72" s="213">
        <f>'rekap hitungan'!D79</f>
        <v>1002900000</v>
      </c>
      <c r="D72" s="213">
        <f>'rekap hitungan'!E79</f>
        <v>10077696</v>
      </c>
      <c r="E72" s="213">
        <f>'rekap hitungan'!F79</f>
        <v>78302166</v>
      </c>
      <c r="F72" s="213">
        <f>'rekap hitungan'!G79</f>
        <v>167150000</v>
      </c>
      <c r="G72" s="213">
        <f>'rekap hitungan'!J79</f>
        <v>859577241</v>
      </c>
      <c r="H72" s="213">
        <f>SUM(C72:G72)</f>
        <v>2118007103</v>
      </c>
      <c r="I72" s="215"/>
      <c r="J72" s="197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24.0" customHeight="1">
      <c r="A73" s="209" t="s">
        <v>118</v>
      </c>
      <c r="B73" s="219" t="s">
        <v>119</v>
      </c>
      <c r="C73" s="213"/>
      <c r="D73" s="217"/>
      <c r="E73" s="217"/>
      <c r="F73" s="217"/>
      <c r="G73" s="217"/>
      <c r="H73" s="217"/>
      <c r="I73" s="215"/>
      <c r="J73" s="197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24.0" customHeight="1">
      <c r="A74" s="209" t="s">
        <v>279</v>
      </c>
      <c r="B74" s="216" t="s">
        <v>120</v>
      </c>
      <c r="C74" s="213">
        <f>'rekap hitungan'!D81</f>
        <v>689700000</v>
      </c>
      <c r="D74" s="213">
        <f>'rekap hitungan'!E81</f>
        <v>10077696</v>
      </c>
      <c r="E74" s="213">
        <f>'rekap hitungan'!F81</f>
        <v>58758486</v>
      </c>
      <c r="F74" s="213">
        <f>'rekap hitungan'!G81</f>
        <v>114950000</v>
      </c>
      <c r="G74" s="213">
        <f>'rekap hitungan'!J81</f>
        <v>561137074</v>
      </c>
      <c r="H74" s="213">
        <f t="shared" ref="H74:H78" si="11">SUM(C74:G74)</f>
        <v>1434623256</v>
      </c>
      <c r="I74" s="215"/>
      <c r="J74" s="197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24.0" customHeight="1">
      <c r="A75" s="209" t="s">
        <v>280</v>
      </c>
      <c r="B75" s="216" t="s">
        <v>121</v>
      </c>
      <c r="C75" s="213">
        <f>'rekap hitungan'!D82</f>
        <v>724500000</v>
      </c>
      <c r="D75" s="213">
        <f>'rekap hitungan'!E82</f>
        <v>10077696</v>
      </c>
      <c r="E75" s="213">
        <f>'rekap hitungan'!F82</f>
        <v>60930006</v>
      </c>
      <c r="F75" s="213">
        <f>'rekap hitungan'!G82</f>
        <v>120750000</v>
      </c>
      <c r="G75" s="213">
        <f>'rekap hitungan'!J82</f>
        <v>551779854</v>
      </c>
      <c r="H75" s="213">
        <f t="shared" si="11"/>
        <v>1468037556</v>
      </c>
      <c r="I75" s="215"/>
      <c r="J75" s="197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24.0" customHeight="1">
      <c r="A76" s="209" t="s">
        <v>281</v>
      </c>
      <c r="B76" s="216" t="s">
        <v>122</v>
      </c>
      <c r="C76" s="213">
        <f>'rekap hitungan'!D83</f>
        <v>968100000</v>
      </c>
      <c r="D76" s="213">
        <f>'rekap hitungan'!E83</f>
        <v>10077696</v>
      </c>
      <c r="E76" s="213">
        <f>'rekap hitungan'!F83</f>
        <v>76130646</v>
      </c>
      <c r="F76" s="213">
        <f>'rekap hitungan'!G83</f>
        <v>161350000</v>
      </c>
      <c r="G76" s="213">
        <f>'rekap hitungan'!J83</f>
        <v>638868732</v>
      </c>
      <c r="H76" s="213">
        <f t="shared" si="11"/>
        <v>1854527074</v>
      </c>
      <c r="I76" s="215"/>
      <c r="J76" s="197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24.0" customHeight="1">
      <c r="A77" s="209" t="s">
        <v>282</v>
      </c>
      <c r="B77" s="218" t="s">
        <v>123</v>
      </c>
      <c r="C77" s="213">
        <f>'rekap hitungan'!D84</f>
        <v>1176900000</v>
      </c>
      <c r="D77" s="213">
        <f>'rekap hitungan'!E84</f>
        <v>10077696</v>
      </c>
      <c r="E77" s="213">
        <f>'rekap hitungan'!F84</f>
        <v>89159766</v>
      </c>
      <c r="F77" s="213">
        <f>'rekap hitungan'!G84</f>
        <v>196150000</v>
      </c>
      <c r="G77" s="213">
        <f>'rekap hitungan'!J84</f>
        <v>1081115765</v>
      </c>
      <c r="H77" s="213">
        <f t="shared" si="11"/>
        <v>2553403227</v>
      </c>
      <c r="I77" s="215"/>
      <c r="J77" s="197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24.0" customHeight="1">
      <c r="A78" s="209" t="s">
        <v>283</v>
      </c>
      <c r="B78" s="216" t="s">
        <v>124</v>
      </c>
      <c r="C78" s="213">
        <f>'rekap hitungan'!D85</f>
        <v>828900000</v>
      </c>
      <c r="D78" s="213">
        <f>'rekap hitungan'!E85</f>
        <v>10077696</v>
      </c>
      <c r="E78" s="213">
        <f>'rekap hitungan'!F85</f>
        <v>67444566</v>
      </c>
      <c r="F78" s="213">
        <f>'rekap hitungan'!G85</f>
        <v>138150000</v>
      </c>
      <c r="G78" s="213">
        <f>'rekap hitungan'!J85</f>
        <v>628363703</v>
      </c>
      <c r="H78" s="213">
        <f t="shared" si="11"/>
        <v>1672935965</v>
      </c>
      <c r="I78" s="215"/>
      <c r="J78" s="197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24.0" customHeight="1">
      <c r="A79" s="209" t="s">
        <v>125</v>
      </c>
      <c r="B79" s="219" t="s">
        <v>126</v>
      </c>
      <c r="C79" s="213"/>
      <c r="D79" s="217"/>
      <c r="E79" s="217"/>
      <c r="F79" s="217"/>
      <c r="G79" s="217"/>
      <c r="H79" s="217"/>
      <c r="I79" s="215"/>
      <c r="J79" s="197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24.0" customHeight="1">
      <c r="A80" s="209" t="s">
        <v>284</v>
      </c>
      <c r="B80" s="216" t="s">
        <v>127</v>
      </c>
      <c r="C80" s="213">
        <f>'rekap hitungan'!D87</f>
        <v>863700000</v>
      </c>
      <c r="D80" s="213">
        <f>'rekap hitungan'!E87</f>
        <v>10077696</v>
      </c>
      <c r="E80" s="213">
        <f>'rekap hitungan'!F87</f>
        <v>69616086</v>
      </c>
      <c r="F80" s="213">
        <f>'rekap hitungan'!G87</f>
        <v>143950000</v>
      </c>
      <c r="G80" s="213">
        <f>'rekap hitungan'!J87</f>
        <v>767562815</v>
      </c>
      <c r="H80" s="213">
        <f t="shared" ref="H80:H85" si="12">SUM(C80:G80)</f>
        <v>1854906597</v>
      </c>
      <c r="I80" s="215"/>
      <c r="J80" s="197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24.0" customHeight="1">
      <c r="A81" s="209" t="s">
        <v>285</v>
      </c>
      <c r="B81" s="216" t="s">
        <v>128</v>
      </c>
      <c r="C81" s="213">
        <f>'rekap hitungan'!D88</f>
        <v>515700000</v>
      </c>
      <c r="D81" s="213">
        <f>'rekap hitungan'!E88</f>
        <v>10077696</v>
      </c>
      <c r="E81" s="213">
        <f>'rekap hitungan'!F88</f>
        <v>47900886</v>
      </c>
      <c r="F81" s="213">
        <f>'rekap hitungan'!G88</f>
        <v>85950000</v>
      </c>
      <c r="G81" s="213">
        <f>'rekap hitungan'!J88</f>
        <v>475433182</v>
      </c>
      <c r="H81" s="213">
        <f t="shared" si="12"/>
        <v>1135061764</v>
      </c>
      <c r="I81" s="215"/>
      <c r="J81" s="197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24.0" customHeight="1">
      <c r="A82" s="209" t="s">
        <v>286</v>
      </c>
      <c r="B82" s="216" t="s">
        <v>129</v>
      </c>
      <c r="C82" s="213">
        <f>'rekap hitungan'!D89</f>
        <v>898500000</v>
      </c>
      <c r="D82" s="213">
        <f>'rekap hitungan'!E89</f>
        <v>10077696</v>
      </c>
      <c r="E82" s="213">
        <f>'rekap hitungan'!F89</f>
        <v>71787606</v>
      </c>
      <c r="F82" s="213">
        <f>'rekap hitungan'!G89</f>
        <v>149750000</v>
      </c>
      <c r="G82" s="213">
        <f>'rekap hitungan'!J89</f>
        <v>774626447</v>
      </c>
      <c r="H82" s="213">
        <f t="shared" si="12"/>
        <v>1904741749</v>
      </c>
      <c r="I82" s="215"/>
      <c r="J82" s="197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24.0" customHeight="1">
      <c r="A83" s="209" t="s">
        <v>287</v>
      </c>
      <c r="B83" s="216" t="s">
        <v>130</v>
      </c>
      <c r="C83" s="213">
        <f>'rekap hitungan'!D90</f>
        <v>794100000</v>
      </c>
      <c r="D83" s="213">
        <f>'rekap hitungan'!E90</f>
        <v>10077696</v>
      </c>
      <c r="E83" s="213">
        <f>'rekap hitungan'!F90</f>
        <v>65273046</v>
      </c>
      <c r="F83" s="213">
        <f>'rekap hitungan'!G90</f>
        <v>132350000</v>
      </c>
      <c r="G83" s="213">
        <f>'rekap hitungan'!J90</f>
        <v>771793262</v>
      </c>
      <c r="H83" s="213">
        <f t="shared" si="12"/>
        <v>1773594004</v>
      </c>
      <c r="I83" s="215"/>
      <c r="J83" s="197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24.0" customHeight="1">
      <c r="A84" s="209" t="s">
        <v>288</v>
      </c>
      <c r="B84" s="216" t="s">
        <v>131</v>
      </c>
      <c r="C84" s="213">
        <f>'rekap hitungan'!D91</f>
        <v>933300000</v>
      </c>
      <c r="D84" s="213">
        <f>'rekap hitungan'!E91</f>
        <v>10077696</v>
      </c>
      <c r="E84" s="213">
        <f>'rekap hitungan'!F91</f>
        <v>73959126</v>
      </c>
      <c r="F84" s="213">
        <f>'rekap hitungan'!G91</f>
        <v>155550000</v>
      </c>
      <c r="G84" s="213">
        <f>'rekap hitungan'!J91</f>
        <v>892722171</v>
      </c>
      <c r="H84" s="213">
        <f t="shared" si="12"/>
        <v>2065608993</v>
      </c>
      <c r="I84" s="215"/>
      <c r="J84" s="197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24.0" customHeight="1">
      <c r="A85" s="209" t="s">
        <v>289</v>
      </c>
      <c r="B85" s="216" t="s">
        <v>132</v>
      </c>
      <c r="C85" s="213">
        <f>'rekap hitungan'!D92</f>
        <v>863700000</v>
      </c>
      <c r="D85" s="213">
        <f>'rekap hitungan'!E92</f>
        <v>10077696</v>
      </c>
      <c r="E85" s="213">
        <f>'rekap hitungan'!F92</f>
        <v>69616086</v>
      </c>
      <c r="F85" s="213">
        <f>'rekap hitungan'!G92</f>
        <v>143950000</v>
      </c>
      <c r="G85" s="213">
        <f>'rekap hitungan'!J92</f>
        <v>709544559</v>
      </c>
      <c r="H85" s="213">
        <f t="shared" si="12"/>
        <v>1796888341</v>
      </c>
      <c r="I85" s="215"/>
      <c r="J85" s="197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24.0" customHeight="1">
      <c r="A86" s="209" t="s">
        <v>133</v>
      </c>
      <c r="B86" s="219" t="s">
        <v>134</v>
      </c>
      <c r="C86" s="213"/>
      <c r="D86" s="217"/>
      <c r="E86" s="217"/>
      <c r="F86" s="217"/>
      <c r="G86" s="217"/>
      <c r="H86" s="217"/>
      <c r="I86" s="215"/>
      <c r="J86" s="197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24.0" customHeight="1">
      <c r="A87" s="209" t="s">
        <v>290</v>
      </c>
      <c r="B87" s="216" t="s">
        <v>135</v>
      </c>
      <c r="C87" s="213">
        <f>'rekap hitungan'!D94</f>
        <v>1002900000</v>
      </c>
      <c r="D87" s="213">
        <f>'rekap hitungan'!E94</f>
        <v>10077696</v>
      </c>
      <c r="E87" s="213">
        <f>'rekap hitungan'!F94</f>
        <v>78302166</v>
      </c>
      <c r="F87" s="213">
        <f>'rekap hitungan'!G94</f>
        <v>167150000</v>
      </c>
      <c r="G87" s="213">
        <f>'rekap hitungan'!J94</f>
        <v>846894998</v>
      </c>
      <c r="H87" s="213">
        <f t="shared" ref="H87:H91" si="13">SUM(C87:G87)</f>
        <v>2105324860</v>
      </c>
      <c r="I87" s="215"/>
      <c r="J87" s="197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24.0" customHeight="1">
      <c r="A88" s="209" t="s">
        <v>291</v>
      </c>
      <c r="B88" s="216" t="s">
        <v>136</v>
      </c>
      <c r="C88" s="213">
        <f>'rekap hitungan'!D95</f>
        <v>724500000</v>
      </c>
      <c r="D88" s="213">
        <f>'rekap hitungan'!E95</f>
        <v>10077696</v>
      </c>
      <c r="E88" s="213">
        <f>'rekap hitungan'!F95</f>
        <v>60930006</v>
      </c>
      <c r="F88" s="213">
        <f>'rekap hitungan'!G95</f>
        <v>120750000</v>
      </c>
      <c r="G88" s="213">
        <f>'rekap hitungan'!J95</f>
        <v>761966462</v>
      </c>
      <c r="H88" s="213">
        <f t="shared" si="13"/>
        <v>1678224164</v>
      </c>
      <c r="I88" s="215"/>
      <c r="J88" s="197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24.0" customHeight="1">
      <c r="A89" s="209" t="s">
        <v>292</v>
      </c>
      <c r="B89" s="216" t="s">
        <v>137</v>
      </c>
      <c r="C89" s="213">
        <f>'rekap hitungan'!D96</f>
        <v>828900000</v>
      </c>
      <c r="D89" s="213">
        <f>'rekap hitungan'!E96</f>
        <v>10077696</v>
      </c>
      <c r="E89" s="213">
        <f>'rekap hitungan'!F96</f>
        <v>67444566</v>
      </c>
      <c r="F89" s="213">
        <f>'rekap hitungan'!G96</f>
        <v>138150000</v>
      </c>
      <c r="G89" s="213">
        <f>'rekap hitungan'!J96</f>
        <v>705250875</v>
      </c>
      <c r="H89" s="213">
        <f t="shared" si="13"/>
        <v>1749823137</v>
      </c>
      <c r="I89" s="215"/>
      <c r="J89" s="197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24.0" customHeight="1">
      <c r="A90" s="209" t="s">
        <v>293</v>
      </c>
      <c r="B90" s="218" t="s">
        <v>138</v>
      </c>
      <c r="C90" s="213">
        <f>'rekap hitungan'!D97</f>
        <v>1072500000</v>
      </c>
      <c r="D90" s="213">
        <f>'rekap hitungan'!E97</f>
        <v>10077696</v>
      </c>
      <c r="E90" s="213">
        <f>'rekap hitungan'!F97</f>
        <v>82645206</v>
      </c>
      <c r="F90" s="213">
        <f>'rekap hitungan'!G97</f>
        <v>178750000</v>
      </c>
      <c r="G90" s="213">
        <f>'rekap hitungan'!J97</f>
        <v>819351064</v>
      </c>
      <c r="H90" s="213">
        <f t="shared" si="13"/>
        <v>2163323966</v>
      </c>
      <c r="I90" s="215"/>
      <c r="J90" s="197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24.0" customHeight="1">
      <c r="A91" s="209" t="s">
        <v>294</v>
      </c>
      <c r="B91" s="216" t="s">
        <v>139</v>
      </c>
      <c r="C91" s="213">
        <f>'rekap hitungan'!D98</f>
        <v>794100000</v>
      </c>
      <c r="D91" s="213">
        <f>'rekap hitungan'!E98</f>
        <v>10077696</v>
      </c>
      <c r="E91" s="213">
        <f>'rekap hitungan'!F98</f>
        <v>65273046</v>
      </c>
      <c r="F91" s="213">
        <f>'rekap hitungan'!G98</f>
        <v>132350000</v>
      </c>
      <c r="G91" s="213">
        <f>'rekap hitungan'!J98</f>
        <v>682415798</v>
      </c>
      <c r="H91" s="213">
        <f t="shared" si="13"/>
        <v>1684216540</v>
      </c>
      <c r="I91" s="215"/>
      <c r="J91" s="197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24.0" customHeight="1">
      <c r="A92" s="209" t="s">
        <v>140</v>
      </c>
      <c r="B92" s="216" t="s">
        <v>141</v>
      </c>
      <c r="C92" s="213"/>
      <c r="D92" s="217"/>
      <c r="E92" s="217"/>
      <c r="F92" s="217"/>
      <c r="G92" s="217"/>
      <c r="H92" s="217"/>
      <c r="I92" s="215"/>
      <c r="J92" s="197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24.0" customHeight="1">
      <c r="A93" s="209">
        <v>1.0</v>
      </c>
      <c r="B93" s="209">
        <v>2.0</v>
      </c>
      <c r="C93" s="210">
        <v>3.0</v>
      </c>
      <c r="D93" s="210">
        <v>4.0</v>
      </c>
      <c r="E93" s="210">
        <v>5.0</v>
      </c>
      <c r="F93" s="210">
        <v>6.0</v>
      </c>
      <c r="G93" s="210">
        <v>7.0</v>
      </c>
      <c r="H93" s="210">
        <v>8.0</v>
      </c>
      <c r="I93" s="215"/>
      <c r="J93" s="197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24.0" customHeight="1">
      <c r="A94" s="209" t="s">
        <v>295</v>
      </c>
      <c r="B94" s="216" t="s">
        <v>142</v>
      </c>
      <c r="C94" s="213">
        <f>'rekap hitungan'!D100</f>
        <v>794100000</v>
      </c>
      <c r="D94" s="213">
        <f>'rekap hitungan'!E100</f>
        <v>10077696</v>
      </c>
      <c r="E94" s="213">
        <f>'rekap hitungan'!F100</f>
        <v>65273046</v>
      </c>
      <c r="F94" s="213">
        <f>'rekap hitungan'!G100</f>
        <v>132350000</v>
      </c>
      <c r="G94" s="213">
        <f>'rekap hitungan'!J100</f>
        <v>596320519</v>
      </c>
      <c r="H94" s="213">
        <f t="shared" ref="H94:H101" si="14">SUM(C94:G94)</f>
        <v>1598121261</v>
      </c>
      <c r="I94" s="215"/>
      <c r="J94" s="197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24.0" customHeight="1">
      <c r="A95" s="209" t="s">
        <v>296</v>
      </c>
      <c r="B95" s="216" t="s">
        <v>143</v>
      </c>
      <c r="C95" s="213">
        <f>'rekap hitungan'!D101</f>
        <v>689700000</v>
      </c>
      <c r="D95" s="213">
        <f>'rekap hitungan'!E101</f>
        <v>10077696</v>
      </c>
      <c r="E95" s="213">
        <f>'rekap hitungan'!F101</f>
        <v>58758486</v>
      </c>
      <c r="F95" s="213">
        <f>'rekap hitungan'!G101</f>
        <v>114950000</v>
      </c>
      <c r="G95" s="213">
        <f>'rekap hitungan'!J101</f>
        <v>491453666</v>
      </c>
      <c r="H95" s="213">
        <f t="shared" si="14"/>
        <v>1364939848</v>
      </c>
      <c r="I95" s="215"/>
      <c r="J95" s="197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24.0" customHeight="1">
      <c r="A96" s="209" t="s">
        <v>297</v>
      </c>
      <c r="B96" s="216" t="s">
        <v>144</v>
      </c>
      <c r="C96" s="213">
        <f>'rekap hitungan'!D102</f>
        <v>654900000</v>
      </c>
      <c r="D96" s="213">
        <f>'rekap hitungan'!E102</f>
        <v>10077696</v>
      </c>
      <c r="E96" s="213">
        <f>'rekap hitungan'!F102</f>
        <v>56586966</v>
      </c>
      <c r="F96" s="213">
        <f>'rekap hitungan'!G102</f>
        <v>109150000</v>
      </c>
      <c r="G96" s="213">
        <f>'rekap hitungan'!J102</f>
        <v>463835642</v>
      </c>
      <c r="H96" s="213">
        <f t="shared" si="14"/>
        <v>1294550304</v>
      </c>
      <c r="I96" s="215"/>
      <c r="J96" s="197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24.0" customHeight="1">
      <c r="A97" s="209" t="s">
        <v>298</v>
      </c>
      <c r="B97" s="216" t="s">
        <v>145</v>
      </c>
      <c r="C97" s="213">
        <f>'rekap hitungan'!D103</f>
        <v>620100000</v>
      </c>
      <c r="D97" s="213">
        <f>'rekap hitungan'!E103</f>
        <v>10077696</v>
      </c>
      <c r="E97" s="213">
        <f>'rekap hitungan'!F103</f>
        <v>54415446</v>
      </c>
      <c r="F97" s="213">
        <f>'rekap hitungan'!G103</f>
        <v>103350000</v>
      </c>
      <c r="G97" s="213">
        <f>'rekap hitungan'!J103</f>
        <v>500412030</v>
      </c>
      <c r="H97" s="213">
        <f t="shared" si="14"/>
        <v>1288355172</v>
      </c>
      <c r="I97" s="215"/>
      <c r="J97" s="197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24.0" customHeight="1">
      <c r="A98" s="209" t="s">
        <v>299</v>
      </c>
      <c r="B98" s="216" t="s">
        <v>146</v>
      </c>
      <c r="C98" s="213">
        <f>'rekap hitungan'!D104</f>
        <v>759300000</v>
      </c>
      <c r="D98" s="213">
        <f>'rekap hitungan'!E104</f>
        <v>10077696</v>
      </c>
      <c r="E98" s="213">
        <f>'rekap hitungan'!F104</f>
        <v>63101526</v>
      </c>
      <c r="F98" s="213">
        <f>'rekap hitungan'!G104</f>
        <v>126550000</v>
      </c>
      <c r="G98" s="213">
        <f>'rekap hitungan'!J104</f>
        <v>518028513</v>
      </c>
      <c r="H98" s="213">
        <f t="shared" si="14"/>
        <v>1477057735</v>
      </c>
      <c r="I98" s="215"/>
      <c r="J98" s="197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24.0" customHeight="1">
      <c r="A99" s="209" t="s">
        <v>300</v>
      </c>
      <c r="B99" s="216" t="s">
        <v>147</v>
      </c>
      <c r="C99" s="213">
        <f>'rekap hitungan'!D105</f>
        <v>794100000</v>
      </c>
      <c r="D99" s="213">
        <f>'rekap hitungan'!E105</f>
        <v>10077696</v>
      </c>
      <c r="E99" s="213">
        <f>'rekap hitungan'!F105</f>
        <v>65273046</v>
      </c>
      <c r="F99" s="213">
        <f>'rekap hitungan'!G105</f>
        <v>132350000</v>
      </c>
      <c r="G99" s="213">
        <f>'rekap hitungan'!J105</f>
        <v>677423830</v>
      </c>
      <c r="H99" s="213">
        <f t="shared" si="14"/>
        <v>1679224572</v>
      </c>
      <c r="I99" s="215"/>
      <c r="J99" s="197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24.0" customHeight="1">
      <c r="A100" s="209" t="s">
        <v>301</v>
      </c>
      <c r="B100" s="216" t="s">
        <v>148</v>
      </c>
      <c r="C100" s="213">
        <f>'rekap hitungan'!D106</f>
        <v>654900000</v>
      </c>
      <c r="D100" s="213">
        <f>'rekap hitungan'!E106</f>
        <v>10077696</v>
      </c>
      <c r="E100" s="213">
        <f>'rekap hitungan'!F106</f>
        <v>56586966</v>
      </c>
      <c r="F100" s="213">
        <f>'rekap hitungan'!G106</f>
        <v>109150000</v>
      </c>
      <c r="G100" s="213">
        <f>'rekap hitungan'!J106</f>
        <v>509677108</v>
      </c>
      <c r="H100" s="213">
        <f t="shared" si="14"/>
        <v>1340391770</v>
      </c>
      <c r="I100" s="215"/>
      <c r="J100" s="197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24.0" customHeight="1">
      <c r="A101" s="209" t="s">
        <v>302</v>
      </c>
      <c r="B101" s="216" t="s">
        <v>149</v>
      </c>
      <c r="C101" s="213">
        <f>'rekap hitungan'!D107</f>
        <v>898500000</v>
      </c>
      <c r="D101" s="213">
        <f>'rekap hitungan'!E107</f>
        <v>10077696</v>
      </c>
      <c r="E101" s="213">
        <f>'rekap hitungan'!F107</f>
        <v>71787606</v>
      </c>
      <c r="F101" s="213">
        <f>'rekap hitungan'!G107</f>
        <v>149750000</v>
      </c>
      <c r="G101" s="213">
        <f>'rekap hitungan'!J107</f>
        <v>632477291</v>
      </c>
      <c r="H101" s="213">
        <f t="shared" si="14"/>
        <v>1762592593</v>
      </c>
      <c r="I101" s="215"/>
      <c r="J101" s="197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24.0" customHeight="1">
      <c r="A102" s="209" t="s">
        <v>150</v>
      </c>
      <c r="B102" s="216" t="s">
        <v>151</v>
      </c>
      <c r="C102" s="213"/>
      <c r="D102" s="217"/>
      <c r="E102" s="217"/>
      <c r="F102" s="217"/>
      <c r="G102" s="217"/>
      <c r="H102" s="217"/>
      <c r="I102" s="215"/>
      <c r="J102" s="197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24.0" customHeight="1">
      <c r="A103" s="209" t="s">
        <v>303</v>
      </c>
      <c r="B103" s="216" t="s">
        <v>152</v>
      </c>
      <c r="C103" s="213">
        <f>'rekap hitungan'!D109</f>
        <v>724500000</v>
      </c>
      <c r="D103" s="213">
        <f>'rekap hitungan'!E109</f>
        <v>10077696</v>
      </c>
      <c r="E103" s="213">
        <f>'rekap hitungan'!F109</f>
        <v>60930006</v>
      </c>
      <c r="F103" s="213">
        <f>'rekap hitungan'!G109</f>
        <v>120750000</v>
      </c>
      <c r="G103" s="213">
        <f>'rekap hitungan'!J109</f>
        <v>704107325</v>
      </c>
      <c r="H103" s="213">
        <f t="shared" ref="H103:H106" si="15">SUM(C103:G103)</f>
        <v>1620365027</v>
      </c>
      <c r="I103" s="215"/>
      <c r="J103" s="197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24.0" customHeight="1">
      <c r="A104" s="209" t="s">
        <v>304</v>
      </c>
      <c r="B104" s="216" t="s">
        <v>153</v>
      </c>
      <c r="C104" s="213">
        <f>'rekap hitungan'!D110</f>
        <v>863700000</v>
      </c>
      <c r="D104" s="213">
        <f>'rekap hitungan'!E110</f>
        <v>10077696</v>
      </c>
      <c r="E104" s="213">
        <f>'rekap hitungan'!F110</f>
        <v>69616086</v>
      </c>
      <c r="F104" s="213">
        <f>'rekap hitungan'!G110</f>
        <v>143950000</v>
      </c>
      <c r="G104" s="213">
        <f>'rekap hitungan'!J110</f>
        <v>692136728</v>
      </c>
      <c r="H104" s="213">
        <f t="shared" si="15"/>
        <v>1779480510</v>
      </c>
      <c r="I104" s="215"/>
      <c r="J104" s="197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24.0" customHeight="1">
      <c r="A105" s="209" t="s">
        <v>305</v>
      </c>
      <c r="B105" s="216" t="s">
        <v>154</v>
      </c>
      <c r="C105" s="213">
        <f>'rekap hitungan'!D111</f>
        <v>759300000</v>
      </c>
      <c r="D105" s="213">
        <f>'rekap hitungan'!E111</f>
        <v>10077696</v>
      </c>
      <c r="E105" s="213">
        <f>'rekap hitungan'!F111</f>
        <v>63101526</v>
      </c>
      <c r="F105" s="213">
        <f>'rekap hitungan'!G111</f>
        <v>126550000</v>
      </c>
      <c r="G105" s="213">
        <f>'rekap hitungan'!J111</f>
        <v>693515550</v>
      </c>
      <c r="H105" s="213">
        <f t="shared" si="15"/>
        <v>1652544772</v>
      </c>
      <c r="I105" s="215"/>
      <c r="J105" s="197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24.0" customHeight="1">
      <c r="A106" s="209" t="s">
        <v>306</v>
      </c>
      <c r="B106" s="216" t="s">
        <v>155</v>
      </c>
      <c r="C106" s="213">
        <f>'rekap hitungan'!D112</f>
        <v>759300000</v>
      </c>
      <c r="D106" s="213">
        <f>'rekap hitungan'!E112</f>
        <v>10077696</v>
      </c>
      <c r="E106" s="213">
        <f>'rekap hitungan'!F112</f>
        <v>63101526</v>
      </c>
      <c r="F106" s="213">
        <f>'rekap hitungan'!G112</f>
        <v>126550000</v>
      </c>
      <c r="G106" s="213">
        <f>'rekap hitungan'!J112</f>
        <v>882459833</v>
      </c>
      <c r="H106" s="213">
        <f t="shared" si="15"/>
        <v>1841489055</v>
      </c>
      <c r="I106" s="215"/>
      <c r="J106" s="197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24.0" customHeight="1">
      <c r="A107" s="209" t="s">
        <v>156</v>
      </c>
      <c r="B107" s="216" t="s">
        <v>157</v>
      </c>
      <c r="C107" s="213"/>
      <c r="D107" s="217"/>
      <c r="E107" s="217"/>
      <c r="F107" s="217"/>
      <c r="G107" s="217"/>
      <c r="H107" s="217"/>
      <c r="I107" s="215"/>
      <c r="J107" s="197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24.0" customHeight="1">
      <c r="A108" s="209" t="s">
        <v>307</v>
      </c>
      <c r="B108" s="216" t="s">
        <v>158</v>
      </c>
      <c r="C108" s="213">
        <f>'rekap hitungan'!D114</f>
        <v>863700000</v>
      </c>
      <c r="D108" s="213">
        <f>'rekap hitungan'!E114</f>
        <v>10077696</v>
      </c>
      <c r="E108" s="213">
        <f>'rekap hitungan'!F114</f>
        <v>69616086</v>
      </c>
      <c r="F108" s="213">
        <f>'rekap hitungan'!G114</f>
        <v>143950000</v>
      </c>
      <c r="G108" s="213">
        <f>'rekap hitungan'!J114</f>
        <v>788644429</v>
      </c>
      <c r="H108" s="213">
        <f t="shared" ref="H108:H112" si="16">SUM(C108:G108)</f>
        <v>1875988211</v>
      </c>
      <c r="I108" s="215"/>
      <c r="J108" s="197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24.0" customHeight="1">
      <c r="A109" s="209" t="s">
        <v>308</v>
      </c>
      <c r="B109" s="216" t="s">
        <v>159</v>
      </c>
      <c r="C109" s="213">
        <f>'rekap hitungan'!D115</f>
        <v>724500000</v>
      </c>
      <c r="D109" s="213">
        <f>'rekap hitungan'!E115</f>
        <v>10077696</v>
      </c>
      <c r="E109" s="213">
        <f>'rekap hitungan'!F115</f>
        <v>60930006</v>
      </c>
      <c r="F109" s="213">
        <f>'rekap hitungan'!G115</f>
        <v>120750000</v>
      </c>
      <c r="G109" s="213">
        <f>'rekap hitungan'!J115</f>
        <v>569136329</v>
      </c>
      <c r="H109" s="213">
        <f t="shared" si="16"/>
        <v>1485394031</v>
      </c>
      <c r="I109" s="215"/>
      <c r="J109" s="197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24.0" customHeight="1">
      <c r="A110" s="209" t="s">
        <v>309</v>
      </c>
      <c r="B110" s="216" t="s">
        <v>160</v>
      </c>
      <c r="C110" s="213">
        <f>'rekap hitungan'!D116</f>
        <v>689700000</v>
      </c>
      <c r="D110" s="213">
        <f>'rekap hitungan'!E116</f>
        <v>10077696</v>
      </c>
      <c r="E110" s="213">
        <f>'rekap hitungan'!F116</f>
        <v>58758486</v>
      </c>
      <c r="F110" s="213">
        <f>'rekap hitungan'!G116</f>
        <v>114950000</v>
      </c>
      <c r="G110" s="213">
        <f>'rekap hitungan'!J116</f>
        <v>507008003</v>
      </c>
      <c r="H110" s="213">
        <f t="shared" si="16"/>
        <v>1380494185</v>
      </c>
      <c r="I110" s="215"/>
      <c r="J110" s="197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24.0" customHeight="1">
      <c r="A111" s="209" t="s">
        <v>310</v>
      </c>
      <c r="B111" s="216" t="s">
        <v>161</v>
      </c>
      <c r="C111" s="213">
        <f>'rekap hitungan'!D117</f>
        <v>654900000</v>
      </c>
      <c r="D111" s="213">
        <f>'rekap hitungan'!E117</f>
        <v>10077696</v>
      </c>
      <c r="E111" s="213">
        <f>'rekap hitungan'!F117</f>
        <v>56586966</v>
      </c>
      <c r="F111" s="213">
        <f>'rekap hitungan'!G117</f>
        <v>109150000</v>
      </c>
      <c r="G111" s="213">
        <f>'rekap hitungan'!J117</f>
        <v>416281962</v>
      </c>
      <c r="H111" s="213">
        <f t="shared" si="16"/>
        <v>1246996624</v>
      </c>
      <c r="I111" s="215"/>
      <c r="J111" s="197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24.0" customHeight="1">
      <c r="A112" s="209" t="s">
        <v>311</v>
      </c>
      <c r="B112" s="216" t="s">
        <v>162</v>
      </c>
      <c r="C112" s="213">
        <f>'rekap hitungan'!D118</f>
        <v>724500000</v>
      </c>
      <c r="D112" s="213">
        <f>'rekap hitungan'!E118</f>
        <v>10077696</v>
      </c>
      <c r="E112" s="213">
        <f>'rekap hitungan'!F118</f>
        <v>60930006</v>
      </c>
      <c r="F112" s="213">
        <f>'rekap hitungan'!G118</f>
        <v>120750000</v>
      </c>
      <c r="G112" s="213">
        <f>'rekap hitungan'!J118</f>
        <v>715818541</v>
      </c>
      <c r="H112" s="213">
        <f t="shared" si="16"/>
        <v>1632076243</v>
      </c>
      <c r="I112" s="215"/>
      <c r="J112" s="197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24.0" customHeight="1">
      <c r="A113" s="209" t="s">
        <v>163</v>
      </c>
      <c r="B113" s="216" t="s">
        <v>164</v>
      </c>
      <c r="C113" s="213"/>
      <c r="D113" s="217"/>
      <c r="E113" s="217"/>
      <c r="F113" s="217"/>
      <c r="G113" s="217"/>
      <c r="H113" s="217"/>
      <c r="I113" s="215"/>
      <c r="J113" s="197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24.0" customHeight="1">
      <c r="A114" s="209" t="s">
        <v>312</v>
      </c>
      <c r="B114" s="218" t="s">
        <v>165</v>
      </c>
      <c r="C114" s="213">
        <f>'rekap hitungan'!D120</f>
        <v>1072500000</v>
      </c>
      <c r="D114" s="213">
        <f>'rekap hitungan'!E120</f>
        <v>10077696</v>
      </c>
      <c r="E114" s="213">
        <f>'rekap hitungan'!F120</f>
        <v>82645206</v>
      </c>
      <c r="F114" s="213">
        <f>'rekap hitungan'!G120</f>
        <v>178750000</v>
      </c>
      <c r="G114" s="213">
        <f>'rekap hitungan'!J120</f>
        <v>721902831</v>
      </c>
      <c r="H114" s="213">
        <f>SUM(C114:G114)</f>
        <v>2065875733</v>
      </c>
      <c r="I114" s="215"/>
      <c r="J114" s="197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24.0" customHeight="1">
      <c r="A115" s="209">
        <v>1.0</v>
      </c>
      <c r="B115" s="209">
        <v>2.0</v>
      </c>
      <c r="C115" s="210">
        <v>3.0</v>
      </c>
      <c r="D115" s="210">
        <v>4.0</v>
      </c>
      <c r="E115" s="210">
        <v>5.0</v>
      </c>
      <c r="F115" s="210">
        <v>6.0</v>
      </c>
      <c r="G115" s="210">
        <v>7.0</v>
      </c>
      <c r="H115" s="210">
        <v>8.0</v>
      </c>
      <c r="I115" s="215"/>
      <c r="J115" s="197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24.0" customHeight="1">
      <c r="A116" s="209" t="s">
        <v>313</v>
      </c>
      <c r="B116" s="218" t="s">
        <v>166</v>
      </c>
      <c r="C116" s="213">
        <f>'rekap hitungan'!D121</f>
        <v>1142100000</v>
      </c>
      <c r="D116" s="213">
        <f>'rekap hitungan'!E121</f>
        <v>10077696</v>
      </c>
      <c r="E116" s="213">
        <f>'rekap hitungan'!F121</f>
        <v>86988246</v>
      </c>
      <c r="F116" s="213">
        <f>'rekap hitungan'!G121</f>
        <v>190350000</v>
      </c>
      <c r="G116" s="213">
        <f>'rekap hitungan'!J121</f>
        <v>916888648</v>
      </c>
      <c r="H116" s="213">
        <f t="shared" ref="H116:H119" si="17">SUM(C116:G116)</f>
        <v>2346404590</v>
      </c>
      <c r="I116" s="215"/>
      <c r="J116" s="197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24.0" customHeight="1">
      <c r="A117" s="209" t="s">
        <v>314</v>
      </c>
      <c r="B117" s="216" t="s">
        <v>167</v>
      </c>
      <c r="C117" s="213">
        <f>'rekap hitungan'!D122</f>
        <v>654900000</v>
      </c>
      <c r="D117" s="213">
        <f>'rekap hitungan'!E122</f>
        <v>10077696</v>
      </c>
      <c r="E117" s="213">
        <f>'rekap hitungan'!F122</f>
        <v>56586966</v>
      </c>
      <c r="F117" s="213">
        <f>'rekap hitungan'!G122</f>
        <v>109150000</v>
      </c>
      <c r="G117" s="213">
        <f>'rekap hitungan'!J122</f>
        <v>489729622</v>
      </c>
      <c r="H117" s="213">
        <f t="shared" si="17"/>
        <v>1320444284</v>
      </c>
      <c r="I117" s="215"/>
      <c r="J117" s="197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24.0" customHeight="1">
      <c r="A118" s="209" t="s">
        <v>315</v>
      </c>
      <c r="B118" s="216" t="s">
        <v>168</v>
      </c>
      <c r="C118" s="213">
        <f>'rekap hitungan'!D123</f>
        <v>585300000</v>
      </c>
      <c r="D118" s="213">
        <f>'rekap hitungan'!E123</f>
        <v>10077696</v>
      </c>
      <c r="E118" s="213">
        <f>'rekap hitungan'!F123</f>
        <v>52243926</v>
      </c>
      <c r="F118" s="213">
        <f>'rekap hitungan'!G123</f>
        <v>97550000</v>
      </c>
      <c r="G118" s="213">
        <f>'rekap hitungan'!J123</f>
        <v>461017153</v>
      </c>
      <c r="H118" s="213">
        <f t="shared" si="17"/>
        <v>1206188775</v>
      </c>
      <c r="I118" s="215"/>
      <c r="J118" s="197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24.0" customHeight="1">
      <c r="A119" s="209" t="s">
        <v>316</v>
      </c>
      <c r="B119" s="216" t="s">
        <v>169</v>
      </c>
      <c r="C119" s="213">
        <f>'rekap hitungan'!D124</f>
        <v>620100000</v>
      </c>
      <c r="D119" s="213">
        <f>'rekap hitungan'!E124</f>
        <v>10077696</v>
      </c>
      <c r="E119" s="213">
        <f>'rekap hitungan'!F124</f>
        <v>54415446</v>
      </c>
      <c r="F119" s="213">
        <f>'rekap hitungan'!G124</f>
        <v>103350000</v>
      </c>
      <c r="G119" s="213">
        <f>'rekap hitungan'!J124</f>
        <v>538437896</v>
      </c>
      <c r="H119" s="213">
        <f t="shared" si="17"/>
        <v>1326381038</v>
      </c>
      <c r="I119" s="215"/>
      <c r="J119" s="197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24.0" customHeight="1">
      <c r="A120" s="225" t="s">
        <v>317</v>
      </c>
      <c r="B120" s="34"/>
      <c r="C120" s="213">
        <f t="shared" ref="C120:H120" si="18">SUM(C116:C119)+SUM(C94:C114)+SUM(C72:C91)+SUM(C50:C70)+SUM(C28:C48)+SUM(C13:C25)</f>
        <v>68571000000</v>
      </c>
      <c r="D120" s="213">
        <f t="shared" si="18"/>
        <v>866681856</v>
      </c>
      <c r="E120" s="213">
        <f t="shared" si="18"/>
        <v>5630854116</v>
      </c>
      <c r="F120" s="213">
        <f t="shared" si="18"/>
        <v>11428500000</v>
      </c>
      <c r="G120" s="213">
        <f t="shared" si="18"/>
        <v>59909754834</v>
      </c>
      <c r="H120" s="213">
        <f t="shared" si="18"/>
        <v>146406790806</v>
      </c>
      <c r="I120" s="22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9.5" customHeight="1">
      <c r="A121" s="227"/>
      <c r="B121" s="227"/>
      <c r="C121" s="215"/>
      <c r="D121" s="215"/>
      <c r="E121" s="215"/>
      <c r="F121" s="215"/>
      <c r="G121" s="215"/>
      <c r="H121" s="215"/>
      <c r="I121" s="215"/>
      <c r="J121" s="197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9.5" customHeight="1">
      <c r="A122" s="227"/>
      <c r="B122" s="227"/>
      <c r="C122" s="215"/>
      <c r="D122" s="215"/>
      <c r="E122" s="215"/>
      <c r="F122" s="215"/>
      <c r="G122" s="215" t="s">
        <v>334</v>
      </c>
      <c r="H122" s="215"/>
      <c r="I122" s="215"/>
      <c r="J122" s="197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9.5" customHeight="1">
      <c r="A123" s="227"/>
      <c r="B123" s="227"/>
      <c r="C123" s="215"/>
      <c r="D123" s="215"/>
      <c r="E123" s="215"/>
      <c r="F123" s="215"/>
      <c r="G123" s="215"/>
      <c r="H123" s="215"/>
      <c r="I123" s="215"/>
      <c r="J123" s="197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9.5" customHeight="1">
      <c r="A124" s="227"/>
      <c r="B124" s="227"/>
      <c r="C124" s="215"/>
      <c r="D124" s="215"/>
      <c r="E124" s="215"/>
      <c r="F124" s="215"/>
      <c r="G124" s="215"/>
      <c r="H124" s="215"/>
      <c r="I124" s="215"/>
      <c r="J124" s="197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9.5" customHeight="1">
      <c r="A125" s="227"/>
      <c r="B125" s="227"/>
      <c r="C125" s="215"/>
      <c r="D125" s="215"/>
      <c r="E125" s="215"/>
      <c r="F125" s="215"/>
      <c r="G125" s="215"/>
      <c r="H125" s="215"/>
      <c r="I125" s="215"/>
      <c r="J125" s="197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9.5" customHeight="1">
      <c r="A126" s="227"/>
      <c r="B126" s="227"/>
      <c r="C126" s="215"/>
      <c r="D126" s="215"/>
      <c r="E126" s="215"/>
      <c r="F126" s="215"/>
      <c r="G126" s="215" t="s">
        <v>335</v>
      </c>
      <c r="H126" s="215"/>
      <c r="I126" s="215"/>
      <c r="J126" s="197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9.5" customHeight="1">
      <c r="A127" s="227"/>
      <c r="B127" s="215"/>
      <c r="C127" s="196"/>
      <c r="D127" s="215"/>
      <c r="E127" s="215"/>
      <c r="F127" s="215"/>
      <c r="G127" s="215"/>
      <c r="H127" s="215"/>
      <c r="I127" s="215"/>
      <c r="J127" s="197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9.5" customHeight="1">
      <c r="A128" s="227"/>
      <c r="B128" s="215" t="s">
        <v>336</v>
      </c>
      <c r="C128" s="197">
        <f>'rekap hitungan'!K125</f>
        <v>146406790806</v>
      </c>
      <c r="D128" s="215">
        <f>C128-H120</f>
        <v>0</v>
      </c>
      <c r="E128" s="215"/>
      <c r="F128" s="215"/>
      <c r="G128" s="215"/>
      <c r="H128" s="215"/>
      <c r="I128" s="215"/>
      <c r="J128" s="197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9.5" customHeight="1">
      <c r="A129" s="227"/>
      <c r="B129" s="215"/>
      <c r="C129" s="197"/>
      <c r="D129" s="215"/>
      <c r="E129" s="215"/>
      <c r="F129" s="215"/>
      <c r="G129" s="215"/>
      <c r="H129" s="215"/>
      <c r="I129" s="215"/>
      <c r="J129" s="197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9.5" customHeight="1">
      <c r="A130" s="227"/>
      <c r="B130" s="215"/>
      <c r="C130" s="197"/>
      <c r="D130" s="215"/>
      <c r="E130" s="215"/>
      <c r="F130" s="215"/>
      <c r="G130" s="215"/>
      <c r="H130" s="215"/>
      <c r="I130" s="215"/>
      <c r="J130" s="197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9.5" customHeight="1">
      <c r="A131" s="227"/>
      <c r="B131" s="215" t="s">
        <v>322</v>
      </c>
      <c r="C131" s="197">
        <f>'rekap hitungan'!D125</f>
        <v>68571000000</v>
      </c>
      <c r="D131" s="215">
        <f>C120</f>
        <v>68571000000</v>
      </c>
      <c r="E131" s="215">
        <f t="shared" ref="E131:E135" si="19">C131-D131</f>
        <v>0</v>
      </c>
      <c r="F131" s="215"/>
      <c r="G131" s="215"/>
      <c r="H131" s="215"/>
      <c r="I131" s="215"/>
      <c r="J131" s="197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9.5" customHeight="1">
      <c r="A132" s="227"/>
      <c r="B132" s="215" t="s">
        <v>337</v>
      </c>
      <c r="C132" s="228">
        <f>'rekap hitungan'!E125</f>
        <v>866681856</v>
      </c>
      <c r="D132" s="215">
        <f>D120</f>
        <v>866681856</v>
      </c>
      <c r="E132" s="215">
        <f t="shared" si="19"/>
        <v>0</v>
      </c>
      <c r="F132" s="215"/>
      <c r="G132" s="215"/>
      <c r="H132" s="215"/>
      <c r="I132" s="215"/>
      <c r="J132" s="197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9.5" customHeight="1">
      <c r="A133" s="227"/>
      <c r="B133" s="215" t="s">
        <v>324</v>
      </c>
      <c r="C133" s="197">
        <f>'rekap hitungan'!F125</f>
        <v>5630854116</v>
      </c>
      <c r="D133" s="215">
        <f>E120</f>
        <v>5630854116</v>
      </c>
      <c r="E133" s="215">
        <f t="shared" si="19"/>
        <v>0</v>
      </c>
      <c r="F133" s="215"/>
      <c r="G133" s="215"/>
      <c r="H133" s="215"/>
      <c r="I133" s="215"/>
      <c r="J133" s="197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9.5" customHeight="1">
      <c r="A134" s="227"/>
      <c r="B134" s="215" t="s">
        <v>325</v>
      </c>
      <c r="C134" s="197">
        <f>'rekap hitungan'!G125</f>
        <v>11428500000</v>
      </c>
      <c r="D134" s="229">
        <f>F120</f>
        <v>11428500000</v>
      </c>
      <c r="E134" s="215">
        <f t="shared" si="19"/>
        <v>0</v>
      </c>
      <c r="F134" s="215"/>
      <c r="G134" s="215"/>
      <c r="H134" s="215"/>
      <c r="I134" s="215"/>
      <c r="J134" s="197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9.5" customHeight="1">
      <c r="A135" s="227"/>
      <c r="B135" s="230" t="s">
        <v>338</v>
      </c>
      <c r="C135" s="215">
        <f>'rekap hitungan'!J125</f>
        <v>59909754834</v>
      </c>
      <c r="D135" s="215">
        <f>G120</f>
        <v>59909754834</v>
      </c>
      <c r="E135" s="215">
        <f t="shared" si="19"/>
        <v>0</v>
      </c>
      <c r="F135" s="215"/>
      <c r="G135" s="215"/>
      <c r="H135" s="215"/>
      <c r="I135" s="215"/>
      <c r="J135" s="197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9.5" customHeight="1">
      <c r="A136" s="227"/>
      <c r="B136" s="227"/>
      <c r="C136" s="215"/>
      <c r="D136" s="215"/>
      <c r="E136" s="215"/>
      <c r="F136" s="215"/>
      <c r="G136" s="215"/>
      <c r="H136" s="215"/>
      <c r="I136" s="215"/>
      <c r="J136" s="197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3.5" customHeight="1">
      <c r="A137" s="195"/>
      <c r="B137" s="231"/>
      <c r="C137" s="215"/>
      <c r="D137" s="215"/>
      <c r="E137" s="215"/>
      <c r="F137" s="215"/>
      <c r="G137" s="215"/>
      <c r="H137" s="215"/>
      <c r="I137" s="215"/>
      <c r="J137" s="197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3.5" customHeight="1">
      <c r="A138" s="195"/>
      <c r="B138" s="196"/>
      <c r="C138" s="215"/>
      <c r="D138" s="215"/>
      <c r="E138" s="215"/>
      <c r="F138" s="215"/>
      <c r="G138" s="232"/>
      <c r="H138" s="215"/>
      <c r="I138" s="215"/>
      <c r="J138" s="197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3.5" customHeight="1">
      <c r="A139" s="195"/>
      <c r="B139" s="196"/>
      <c r="C139" s="215"/>
      <c r="D139" s="215"/>
      <c r="E139" s="215"/>
      <c r="F139" s="215"/>
      <c r="G139" s="232"/>
      <c r="H139" s="196"/>
      <c r="I139" s="196"/>
      <c r="J139" s="197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3.5" customHeight="1">
      <c r="A140" s="195"/>
      <c r="B140" s="196"/>
      <c r="C140" s="196"/>
      <c r="D140" s="197"/>
      <c r="E140" s="215"/>
      <c r="F140" s="215"/>
      <c r="G140" s="232"/>
      <c r="H140" s="215"/>
      <c r="I140" s="215"/>
      <c r="J140" s="197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3.5" customHeight="1">
      <c r="A141" s="195"/>
      <c r="B141" s="196"/>
      <c r="C141" s="215"/>
      <c r="D141" s="215"/>
      <c r="E141" s="215"/>
      <c r="F141" s="215"/>
      <c r="G141" s="232"/>
      <c r="H141" s="215"/>
      <c r="I141" s="215"/>
      <c r="J141" s="197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3.5" customHeight="1">
      <c r="A142" s="195"/>
      <c r="B142" s="196"/>
      <c r="C142" s="215"/>
      <c r="D142" s="196"/>
      <c r="E142" s="196"/>
      <c r="F142" s="196"/>
      <c r="G142" s="215"/>
      <c r="H142" s="215"/>
      <c r="I142" s="215"/>
      <c r="J142" s="197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3.5" customHeight="1">
      <c r="A143" s="195"/>
      <c r="B143" s="196"/>
      <c r="C143" s="215"/>
      <c r="D143" s="196"/>
      <c r="E143" s="196"/>
      <c r="F143" s="196"/>
      <c r="G143" s="215"/>
      <c r="H143" s="215"/>
      <c r="I143" s="215"/>
      <c r="J143" s="197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3.5" customHeight="1">
      <c r="A144" s="195"/>
      <c r="B144" s="196"/>
      <c r="C144" s="215"/>
      <c r="D144" s="196"/>
      <c r="E144" s="196"/>
      <c r="F144" s="196"/>
      <c r="G144" s="215"/>
      <c r="H144" s="215"/>
      <c r="I144" s="215"/>
      <c r="J144" s="197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3.5" customHeight="1">
      <c r="A145" s="195"/>
      <c r="B145" s="196"/>
      <c r="C145" s="215"/>
      <c r="D145" s="196"/>
      <c r="E145" s="196"/>
      <c r="F145" s="196"/>
      <c r="G145" s="215"/>
      <c r="H145" s="215"/>
      <c r="I145" s="215"/>
      <c r="J145" s="197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3.5" customHeight="1">
      <c r="A146" s="195"/>
      <c r="B146" s="196"/>
      <c r="C146" s="215"/>
      <c r="D146" s="196"/>
      <c r="E146" s="196"/>
      <c r="F146" s="196"/>
      <c r="G146" s="215"/>
      <c r="H146" s="215"/>
      <c r="I146" s="215"/>
      <c r="J146" s="197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3.5" customHeight="1">
      <c r="A147" s="195"/>
      <c r="B147" s="196"/>
      <c r="C147" s="215"/>
      <c r="D147" s="196"/>
      <c r="E147" s="196"/>
      <c r="F147" s="196"/>
      <c r="G147" s="215"/>
      <c r="H147" s="215"/>
      <c r="I147" s="215"/>
      <c r="J147" s="197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3.5" customHeight="1">
      <c r="A148" s="195"/>
      <c r="B148" s="196"/>
      <c r="C148" s="215"/>
      <c r="D148" s="196"/>
      <c r="E148" s="196"/>
      <c r="F148" s="196"/>
      <c r="G148" s="215"/>
      <c r="H148" s="215"/>
      <c r="I148" s="215"/>
      <c r="J148" s="197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3.5" customHeight="1">
      <c r="A149" s="195"/>
      <c r="B149" s="196"/>
      <c r="C149" s="215"/>
      <c r="D149" s="196"/>
      <c r="E149" s="196"/>
      <c r="F149" s="196"/>
      <c r="G149" s="215"/>
      <c r="H149" s="215"/>
      <c r="I149" s="215"/>
      <c r="J149" s="197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3.5" customHeight="1">
      <c r="A150" s="195"/>
      <c r="B150" s="196"/>
      <c r="C150" s="215"/>
      <c r="D150" s="196"/>
      <c r="E150" s="196"/>
      <c r="F150" s="196"/>
      <c r="G150" s="215"/>
      <c r="H150" s="215"/>
      <c r="I150" s="215"/>
      <c r="J150" s="197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3.5" customHeight="1">
      <c r="A151" s="195"/>
      <c r="B151" s="196"/>
      <c r="C151" s="215"/>
      <c r="D151" s="196"/>
      <c r="E151" s="196"/>
      <c r="F151" s="196"/>
      <c r="G151" s="215"/>
      <c r="H151" s="215"/>
      <c r="I151" s="215"/>
      <c r="J151" s="197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3.5" customHeight="1">
      <c r="A152" s="195"/>
      <c r="B152" s="196"/>
      <c r="C152" s="215"/>
      <c r="D152" s="196"/>
      <c r="E152" s="196"/>
      <c r="F152" s="196"/>
      <c r="G152" s="215"/>
      <c r="H152" s="215"/>
      <c r="I152" s="215"/>
      <c r="J152" s="197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3.5" customHeight="1">
      <c r="A153" s="195"/>
      <c r="B153" s="196"/>
      <c r="C153" s="215"/>
      <c r="D153" s="196"/>
      <c r="E153" s="196"/>
      <c r="F153" s="196"/>
      <c r="G153" s="215"/>
      <c r="H153" s="215"/>
      <c r="I153" s="215"/>
      <c r="J153" s="197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3.5" customHeight="1">
      <c r="A154" s="195"/>
      <c r="B154" s="196"/>
      <c r="C154" s="215"/>
      <c r="D154" s="196"/>
      <c r="E154" s="196"/>
      <c r="F154" s="196"/>
      <c r="G154" s="215"/>
      <c r="H154" s="215"/>
      <c r="I154" s="215"/>
      <c r="J154" s="197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3.5" customHeight="1">
      <c r="A155" s="195"/>
      <c r="B155" s="196"/>
      <c r="C155" s="215"/>
      <c r="D155" s="196"/>
      <c r="E155" s="196"/>
      <c r="F155" s="196"/>
      <c r="G155" s="215"/>
      <c r="H155" s="215"/>
      <c r="I155" s="215"/>
      <c r="J155" s="197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3.5" customHeight="1">
      <c r="A156" s="195"/>
      <c r="B156" s="196"/>
      <c r="C156" s="215"/>
      <c r="D156" s="196"/>
      <c r="E156" s="196"/>
      <c r="F156" s="196"/>
      <c r="G156" s="215"/>
      <c r="H156" s="215"/>
      <c r="I156" s="215"/>
      <c r="J156" s="197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3.5" customHeight="1">
      <c r="A157" s="195"/>
      <c r="B157" s="196"/>
      <c r="C157" s="215"/>
      <c r="D157" s="196"/>
      <c r="E157" s="196"/>
      <c r="F157" s="196"/>
      <c r="G157" s="215"/>
      <c r="H157" s="215"/>
      <c r="I157" s="215"/>
      <c r="J157" s="197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3.5" customHeight="1">
      <c r="A158" s="195"/>
      <c r="B158" s="196"/>
      <c r="C158" s="215"/>
      <c r="D158" s="196"/>
      <c r="E158" s="196"/>
      <c r="F158" s="196"/>
      <c r="G158" s="215"/>
      <c r="H158" s="215"/>
      <c r="I158" s="215"/>
      <c r="J158" s="197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3.5" customHeight="1">
      <c r="A159" s="195"/>
      <c r="B159" s="196"/>
      <c r="C159" s="215"/>
      <c r="D159" s="196"/>
      <c r="E159" s="196"/>
      <c r="F159" s="196"/>
      <c r="G159" s="215"/>
      <c r="H159" s="215"/>
      <c r="I159" s="215"/>
      <c r="J159" s="197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3.5" customHeight="1">
      <c r="A160" s="195"/>
      <c r="B160" s="196"/>
      <c r="C160" s="215"/>
      <c r="D160" s="196"/>
      <c r="E160" s="196"/>
      <c r="F160" s="196"/>
      <c r="G160" s="215"/>
      <c r="H160" s="215"/>
      <c r="I160" s="215"/>
      <c r="J160" s="197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3.5" customHeight="1">
      <c r="A161" s="195"/>
      <c r="B161" s="196"/>
      <c r="C161" s="215"/>
      <c r="D161" s="196"/>
      <c r="E161" s="196"/>
      <c r="F161" s="196"/>
      <c r="G161" s="215"/>
      <c r="H161" s="215"/>
      <c r="I161" s="215"/>
      <c r="J161" s="197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3.5" customHeight="1">
      <c r="A162" s="195"/>
      <c r="B162" s="196"/>
      <c r="C162" s="215"/>
      <c r="D162" s="196"/>
      <c r="E162" s="196"/>
      <c r="F162" s="196"/>
      <c r="G162" s="215"/>
      <c r="H162" s="215"/>
      <c r="I162" s="215"/>
      <c r="J162" s="197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3.5" customHeight="1">
      <c r="A163" s="195"/>
      <c r="B163" s="196"/>
      <c r="C163" s="215"/>
      <c r="D163" s="196"/>
      <c r="E163" s="196"/>
      <c r="F163" s="196"/>
      <c r="G163" s="215"/>
      <c r="H163" s="215"/>
      <c r="I163" s="215"/>
      <c r="J163" s="197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3.5" customHeight="1">
      <c r="A164" s="195"/>
      <c r="B164" s="196"/>
      <c r="C164" s="215"/>
      <c r="D164" s="196"/>
      <c r="E164" s="196"/>
      <c r="F164" s="196"/>
      <c r="G164" s="215"/>
      <c r="H164" s="215"/>
      <c r="I164" s="215"/>
      <c r="J164" s="197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3.5" customHeight="1">
      <c r="A165" s="195"/>
      <c r="B165" s="196"/>
      <c r="C165" s="215"/>
      <c r="D165" s="196"/>
      <c r="E165" s="196"/>
      <c r="F165" s="196"/>
      <c r="G165" s="215"/>
      <c r="H165" s="215"/>
      <c r="I165" s="215"/>
      <c r="J165" s="197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3.5" customHeight="1">
      <c r="A166" s="195"/>
      <c r="B166" s="196"/>
      <c r="C166" s="215"/>
      <c r="D166" s="196"/>
      <c r="E166" s="196"/>
      <c r="F166" s="196"/>
      <c r="G166" s="215"/>
      <c r="H166" s="215"/>
      <c r="I166" s="215"/>
      <c r="J166" s="197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3.5" customHeight="1">
      <c r="A167" s="195"/>
      <c r="B167" s="196"/>
      <c r="C167" s="215"/>
      <c r="D167" s="196"/>
      <c r="E167" s="196"/>
      <c r="F167" s="196"/>
      <c r="G167" s="215"/>
      <c r="H167" s="215"/>
      <c r="I167" s="215"/>
      <c r="J167" s="197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3.5" customHeight="1">
      <c r="A168" s="195"/>
      <c r="B168" s="196"/>
      <c r="C168" s="215"/>
      <c r="D168" s="196"/>
      <c r="E168" s="196"/>
      <c r="F168" s="196"/>
      <c r="G168" s="215"/>
      <c r="H168" s="215"/>
      <c r="I168" s="215"/>
      <c r="J168" s="197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3.5" customHeight="1">
      <c r="A169" s="195"/>
      <c r="B169" s="196"/>
      <c r="C169" s="215"/>
      <c r="D169" s="196"/>
      <c r="E169" s="196"/>
      <c r="F169" s="196"/>
      <c r="G169" s="215"/>
      <c r="H169" s="215"/>
      <c r="I169" s="215"/>
      <c r="J169" s="197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3.5" customHeight="1">
      <c r="A170" s="195"/>
      <c r="B170" s="196"/>
      <c r="C170" s="215"/>
      <c r="D170" s="196"/>
      <c r="E170" s="196"/>
      <c r="F170" s="196"/>
      <c r="G170" s="215"/>
      <c r="H170" s="215"/>
      <c r="I170" s="215"/>
      <c r="J170" s="197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3.5" customHeight="1">
      <c r="A171" s="195"/>
      <c r="B171" s="196"/>
      <c r="C171" s="215"/>
      <c r="D171" s="196"/>
      <c r="E171" s="196"/>
      <c r="F171" s="196"/>
      <c r="G171" s="215"/>
      <c r="H171" s="215"/>
      <c r="I171" s="215"/>
      <c r="J171" s="197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3.5" customHeight="1">
      <c r="A172" s="195"/>
      <c r="B172" s="196"/>
      <c r="C172" s="215"/>
      <c r="D172" s="196"/>
      <c r="E172" s="196"/>
      <c r="F172" s="196"/>
      <c r="G172" s="215"/>
      <c r="H172" s="215"/>
      <c r="I172" s="215"/>
      <c r="J172" s="197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3.5" customHeight="1">
      <c r="A173" s="195"/>
      <c r="B173" s="196"/>
      <c r="C173" s="215"/>
      <c r="D173" s="196"/>
      <c r="E173" s="196"/>
      <c r="F173" s="196"/>
      <c r="G173" s="215"/>
      <c r="H173" s="215"/>
      <c r="I173" s="215"/>
      <c r="J173" s="197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3.5" customHeight="1">
      <c r="A174" s="195"/>
      <c r="B174" s="196"/>
      <c r="C174" s="215"/>
      <c r="D174" s="196"/>
      <c r="E174" s="196"/>
      <c r="F174" s="196"/>
      <c r="G174" s="215"/>
      <c r="H174" s="215"/>
      <c r="I174" s="215"/>
      <c r="J174" s="197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3.5" customHeight="1">
      <c r="A175" s="195"/>
      <c r="B175" s="196"/>
      <c r="C175" s="215"/>
      <c r="D175" s="196"/>
      <c r="E175" s="196"/>
      <c r="F175" s="196"/>
      <c r="G175" s="215"/>
      <c r="H175" s="215"/>
      <c r="I175" s="215"/>
      <c r="J175" s="197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3.5" customHeight="1">
      <c r="A176" s="195"/>
      <c r="B176" s="196"/>
      <c r="C176" s="215"/>
      <c r="D176" s="196"/>
      <c r="E176" s="196"/>
      <c r="F176" s="196"/>
      <c r="G176" s="215"/>
      <c r="H176" s="215"/>
      <c r="I176" s="215"/>
      <c r="J176" s="197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3.5" customHeight="1">
      <c r="A177" s="195"/>
      <c r="B177" s="196"/>
      <c r="C177" s="215"/>
      <c r="D177" s="196"/>
      <c r="E177" s="196"/>
      <c r="F177" s="196"/>
      <c r="G177" s="215"/>
      <c r="H177" s="215"/>
      <c r="I177" s="215"/>
      <c r="J177" s="197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3.5" customHeight="1">
      <c r="A178" s="195"/>
      <c r="B178" s="196"/>
      <c r="C178" s="215"/>
      <c r="D178" s="196"/>
      <c r="E178" s="196"/>
      <c r="F178" s="196"/>
      <c r="G178" s="215"/>
      <c r="H178" s="215"/>
      <c r="I178" s="215"/>
      <c r="J178" s="197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3.5" customHeight="1">
      <c r="A179" s="195"/>
      <c r="B179" s="196"/>
      <c r="C179" s="215"/>
      <c r="D179" s="196"/>
      <c r="E179" s="196"/>
      <c r="F179" s="196"/>
      <c r="G179" s="215"/>
      <c r="H179" s="215"/>
      <c r="I179" s="215"/>
      <c r="J179" s="197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3.5" customHeight="1">
      <c r="A180" s="195"/>
      <c r="B180" s="196"/>
      <c r="C180" s="215"/>
      <c r="D180" s="196"/>
      <c r="E180" s="196"/>
      <c r="F180" s="196"/>
      <c r="G180" s="215"/>
      <c r="H180" s="215"/>
      <c r="I180" s="215"/>
      <c r="J180" s="197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3.5" customHeight="1">
      <c r="A181" s="195"/>
      <c r="B181" s="196"/>
      <c r="C181" s="215"/>
      <c r="D181" s="196"/>
      <c r="E181" s="196"/>
      <c r="F181" s="196"/>
      <c r="G181" s="215"/>
      <c r="H181" s="215"/>
      <c r="I181" s="215"/>
      <c r="J181" s="197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3.5" customHeight="1">
      <c r="A182" s="195"/>
      <c r="B182" s="196"/>
      <c r="C182" s="215"/>
      <c r="D182" s="196"/>
      <c r="E182" s="196"/>
      <c r="F182" s="196"/>
      <c r="G182" s="215"/>
      <c r="H182" s="215"/>
      <c r="I182" s="215"/>
      <c r="J182" s="197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3.5" customHeight="1">
      <c r="A183" s="195"/>
      <c r="B183" s="196"/>
      <c r="C183" s="215"/>
      <c r="D183" s="196"/>
      <c r="E183" s="196"/>
      <c r="F183" s="196"/>
      <c r="G183" s="215"/>
      <c r="H183" s="215"/>
      <c r="I183" s="215"/>
      <c r="J183" s="197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3.5" customHeight="1">
      <c r="A184" s="195"/>
      <c r="B184" s="196"/>
      <c r="C184" s="215"/>
      <c r="D184" s="196"/>
      <c r="E184" s="196"/>
      <c r="F184" s="196"/>
      <c r="G184" s="215"/>
      <c r="H184" s="215"/>
      <c r="I184" s="215"/>
      <c r="J184" s="197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3.5" customHeight="1">
      <c r="A185" s="195"/>
      <c r="B185" s="196"/>
      <c r="C185" s="215"/>
      <c r="D185" s="196"/>
      <c r="E185" s="196"/>
      <c r="F185" s="196"/>
      <c r="G185" s="215"/>
      <c r="H185" s="215"/>
      <c r="I185" s="215"/>
      <c r="J185" s="197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3.5" customHeight="1">
      <c r="A186" s="195"/>
      <c r="B186" s="196"/>
      <c r="C186" s="215"/>
      <c r="D186" s="196"/>
      <c r="E186" s="196"/>
      <c r="F186" s="196"/>
      <c r="G186" s="215"/>
      <c r="H186" s="215"/>
      <c r="I186" s="215"/>
      <c r="J186" s="197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3.5" customHeight="1">
      <c r="A187" s="195"/>
      <c r="B187" s="196"/>
      <c r="C187" s="215"/>
      <c r="D187" s="196"/>
      <c r="E187" s="196"/>
      <c r="F187" s="196"/>
      <c r="G187" s="215"/>
      <c r="H187" s="215"/>
      <c r="I187" s="215"/>
      <c r="J187" s="197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3.5" customHeight="1">
      <c r="A188" s="195"/>
      <c r="B188" s="196"/>
      <c r="C188" s="215"/>
      <c r="D188" s="196"/>
      <c r="E188" s="196"/>
      <c r="F188" s="196"/>
      <c r="G188" s="215"/>
      <c r="H188" s="215"/>
      <c r="I188" s="215"/>
      <c r="J188" s="197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3.5" customHeight="1">
      <c r="A189" s="195"/>
      <c r="B189" s="196"/>
      <c r="C189" s="215"/>
      <c r="D189" s="196"/>
      <c r="E189" s="196"/>
      <c r="F189" s="196"/>
      <c r="G189" s="215"/>
      <c r="H189" s="215"/>
      <c r="I189" s="215"/>
      <c r="J189" s="197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3.5" customHeight="1">
      <c r="A190" s="195"/>
      <c r="B190" s="196"/>
      <c r="C190" s="215"/>
      <c r="D190" s="196"/>
      <c r="E190" s="196"/>
      <c r="F190" s="196"/>
      <c r="G190" s="215"/>
      <c r="H190" s="215"/>
      <c r="I190" s="215"/>
      <c r="J190" s="197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3.5" customHeight="1">
      <c r="A191" s="195"/>
      <c r="B191" s="196"/>
      <c r="C191" s="215"/>
      <c r="D191" s="196"/>
      <c r="E191" s="196"/>
      <c r="F191" s="196"/>
      <c r="G191" s="215"/>
      <c r="H191" s="215"/>
      <c r="I191" s="215"/>
      <c r="J191" s="197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3.5" customHeight="1">
      <c r="A192" s="195"/>
      <c r="B192" s="196"/>
      <c r="C192" s="215"/>
      <c r="D192" s="196"/>
      <c r="E192" s="196"/>
      <c r="F192" s="196"/>
      <c r="G192" s="215"/>
      <c r="H192" s="215"/>
      <c r="I192" s="215"/>
      <c r="J192" s="197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3.5" customHeight="1">
      <c r="A193" s="195"/>
      <c r="B193" s="196"/>
      <c r="C193" s="215"/>
      <c r="D193" s="196"/>
      <c r="E193" s="196"/>
      <c r="F193" s="196"/>
      <c r="G193" s="215"/>
      <c r="H193" s="215"/>
      <c r="I193" s="215"/>
      <c r="J193" s="197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3.5" customHeight="1">
      <c r="A194" s="195"/>
      <c r="B194" s="196"/>
      <c r="C194" s="215"/>
      <c r="D194" s="196"/>
      <c r="E194" s="196"/>
      <c r="F194" s="196"/>
      <c r="G194" s="215"/>
      <c r="H194" s="215"/>
      <c r="I194" s="215"/>
      <c r="J194" s="197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3.5" customHeight="1">
      <c r="A195" s="195"/>
      <c r="B195" s="196"/>
      <c r="C195" s="215"/>
      <c r="D195" s="196"/>
      <c r="E195" s="196"/>
      <c r="F195" s="196"/>
      <c r="G195" s="215"/>
      <c r="H195" s="215"/>
      <c r="I195" s="215"/>
      <c r="J195" s="197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3.5" customHeight="1">
      <c r="A196" s="195"/>
      <c r="B196" s="196"/>
      <c r="C196" s="215"/>
      <c r="D196" s="196"/>
      <c r="E196" s="196"/>
      <c r="F196" s="196"/>
      <c r="G196" s="215"/>
      <c r="H196" s="215"/>
      <c r="I196" s="215"/>
      <c r="J196" s="197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3.5" customHeight="1">
      <c r="A197" s="195"/>
      <c r="B197" s="196"/>
      <c r="C197" s="215"/>
      <c r="D197" s="196"/>
      <c r="E197" s="196"/>
      <c r="F197" s="196"/>
      <c r="G197" s="215"/>
      <c r="H197" s="215"/>
      <c r="I197" s="215"/>
      <c r="J197" s="197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3.5" customHeight="1">
      <c r="A198" s="195"/>
      <c r="B198" s="196"/>
      <c r="C198" s="215"/>
      <c r="D198" s="196"/>
      <c r="E198" s="196"/>
      <c r="F198" s="196"/>
      <c r="G198" s="215"/>
      <c r="H198" s="215"/>
      <c r="I198" s="215"/>
      <c r="J198" s="197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3.5" customHeight="1">
      <c r="A199" s="195"/>
      <c r="B199" s="196"/>
      <c r="C199" s="215"/>
      <c r="D199" s="196"/>
      <c r="E199" s="196"/>
      <c r="F199" s="196"/>
      <c r="G199" s="215"/>
      <c r="H199" s="215"/>
      <c r="I199" s="215"/>
      <c r="J199" s="197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3.5" customHeight="1">
      <c r="A200" s="195"/>
      <c r="B200" s="196"/>
      <c r="C200" s="215"/>
      <c r="D200" s="196"/>
      <c r="E200" s="196"/>
      <c r="F200" s="196"/>
      <c r="G200" s="215"/>
      <c r="H200" s="215"/>
      <c r="I200" s="215"/>
      <c r="J200" s="197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3.5" customHeight="1">
      <c r="A201" s="195"/>
      <c r="B201" s="196"/>
      <c r="C201" s="215"/>
      <c r="D201" s="196"/>
      <c r="E201" s="196"/>
      <c r="F201" s="196"/>
      <c r="G201" s="215"/>
      <c r="H201" s="215"/>
      <c r="I201" s="215"/>
      <c r="J201" s="197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3.5" customHeight="1">
      <c r="A202" s="195"/>
      <c r="B202" s="196"/>
      <c r="C202" s="215"/>
      <c r="D202" s="196"/>
      <c r="E202" s="196"/>
      <c r="F202" s="196"/>
      <c r="G202" s="215"/>
      <c r="H202" s="215"/>
      <c r="I202" s="215"/>
      <c r="J202" s="197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3.5" customHeight="1">
      <c r="A203" s="195"/>
      <c r="B203" s="196"/>
      <c r="C203" s="215"/>
      <c r="D203" s="196"/>
      <c r="E203" s="196"/>
      <c r="F203" s="196"/>
      <c r="G203" s="215"/>
      <c r="H203" s="215"/>
      <c r="I203" s="215"/>
      <c r="J203" s="197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3.5" customHeight="1">
      <c r="A204" s="195"/>
      <c r="B204" s="196"/>
      <c r="C204" s="215"/>
      <c r="D204" s="196"/>
      <c r="E204" s="196"/>
      <c r="F204" s="196"/>
      <c r="G204" s="215"/>
      <c r="H204" s="215"/>
      <c r="I204" s="215"/>
      <c r="J204" s="197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3.5" customHeight="1">
      <c r="A205" s="195"/>
      <c r="B205" s="196"/>
      <c r="C205" s="215"/>
      <c r="D205" s="196"/>
      <c r="E205" s="196"/>
      <c r="F205" s="196"/>
      <c r="G205" s="215"/>
      <c r="H205" s="215"/>
      <c r="I205" s="215"/>
      <c r="J205" s="197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3.5" customHeight="1">
      <c r="A206" s="195"/>
      <c r="B206" s="196"/>
      <c r="C206" s="215"/>
      <c r="D206" s="196"/>
      <c r="E206" s="196"/>
      <c r="F206" s="196"/>
      <c r="G206" s="215"/>
      <c r="H206" s="215"/>
      <c r="I206" s="215"/>
      <c r="J206" s="197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3.5" customHeight="1">
      <c r="A207" s="195"/>
      <c r="B207" s="196"/>
      <c r="C207" s="215"/>
      <c r="D207" s="196"/>
      <c r="E207" s="196"/>
      <c r="F207" s="196"/>
      <c r="G207" s="215"/>
      <c r="H207" s="215"/>
      <c r="I207" s="215"/>
      <c r="J207" s="197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3.5" customHeight="1">
      <c r="A208" s="195"/>
      <c r="B208" s="196"/>
      <c r="C208" s="215"/>
      <c r="D208" s="196"/>
      <c r="E208" s="196"/>
      <c r="F208" s="196"/>
      <c r="G208" s="215"/>
      <c r="H208" s="215"/>
      <c r="I208" s="215"/>
      <c r="J208" s="197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3.5" customHeight="1">
      <c r="A209" s="195"/>
      <c r="B209" s="196"/>
      <c r="C209" s="215"/>
      <c r="D209" s="196"/>
      <c r="E209" s="196"/>
      <c r="F209" s="196"/>
      <c r="G209" s="215"/>
      <c r="H209" s="215"/>
      <c r="I209" s="215"/>
      <c r="J209" s="197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3.5" customHeight="1">
      <c r="A210" s="195"/>
      <c r="B210" s="196"/>
      <c r="C210" s="215"/>
      <c r="D210" s="196"/>
      <c r="E210" s="196"/>
      <c r="F210" s="196"/>
      <c r="G210" s="215"/>
      <c r="H210" s="215"/>
      <c r="I210" s="215"/>
      <c r="J210" s="197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3.5" customHeight="1">
      <c r="A211" s="195"/>
      <c r="B211" s="196"/>
      <c r="C211" s="215"/>
      <c r="D211" s="196"/>
      <c r="E211" s="196"/>
      <c r="F211" s="196"/>
      <c r="G211" s="215"/>
      <c r="H211" s="215"/>
      <c r="I211" s="215"/>
      <c r="J211" s="197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3.5" customHeight="1">
      <c r="A212" s="195"/>
      <c r="B212" s="196"/>
      <c r="C212" s="215"/>
      <c r="D212" s="196"/>
      <c r="E212" s="196"/>
      <c r="F212" s="196"/>
      <c r="G212" s="215"/>
      <c r="H212" s="215"/>
      <c r="I212" s="215"/>
      <c r="J212" s="197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3.5" customHeight="1">
      <c r="A213" s="195"/>
      <c r="B213" s="196"/>
      <c r="C213" s="215"/>
      <c r="D213" s="196"/>
      <c r="E213" s="196"/>
      <c r="F213" s="196"/>
      <c r="G213" s="215"/>
      <c r="H213" s="215"/>
      <c r="I213" s="215"/>
      <c r="J213" s="197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3.5" customHeight="1">
      <c r="A214" s="195"/>
      <c r="B214" s="196"/>
      <c r="C214" s="215"/>
      <c r="D214" s="196"/>
      <c r="E214" s="196"/>
      <c r="F214" s="196"/>
      <c r="G214" s="215"/>
      <c r="H214" s="215"/>
      <c r="I214" s="215"/>
      <c r="J214" s="197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3.5" customHeight="1">
      <c r="A215" s="195"/>
      <c r="B215" s="196"/>
      <c r="C215" s="215"/>
      <c r="D215" s="196"/>
      <c r="E215" s="196"/>
      <c r="F215" s="196"/>
      <c r="G215" s="215"/>
      <c r="H215" s="215"/>
      <c r="I215" s="215"/>
      <c r="J215" s="197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3.5" customHeight="1">
      <c r="A216" s="195"/>
      <c r="B216" s="196"/>
      <c r="C216" s="215"/>
      <c r="D216" s="196"/>
      <c r="E216" s="196"/>
      <c r="F216" s="196"/>
      <c r="G216" s="215"/>
      <c r="H216" s="215"/>
      <c r="I216" s="215"/>
      <c r="J216" s="197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3.5" customHeight="1">
      <c r="A217" s="195"/>
      <c r="B217" s="196"/>
      <c r="C217" s="215"/>
      <c r="D217" s="196"/>
      <c r="E217" s="196"/>
      <c r="F217" s="196"/>
      <c r="G217" s="215"/>
      <c r="H217" s="215"/>
      <c r="I217" s="215"/>
      <c r="J217" s="197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3.5" customHeight="1">
      <c r="A218" s="195"/>
      <c r="B218" s="196"/>
      <c r="C218" s="215"/>
      <c r="D218" s="196"/>
      <c r="E218" s="196"/>
      <c r="F218" s="196"/>
      <c r="G218" s="215"/>
      <c r="H218" s="215"/>
      <c r="I218" s="215"/>
      <c r="J218" s="197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3.5" customHeight="1">
      <c r="A219" s="195"/>
      <c r="B219" s="196"/>
      <c r="C219" s="215"/>
      <c r="D219" s="196"/>
      <c r="E219" s="196"/>
      <c r="F219" s="196"/>
      <c r="G219" s="215"/>
      <c r="H219" s="215"/>
      <c r="I219" s="215"/>
      <c r="J219" s="197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3.5" customHeight="1">
      <c r="A220" s="195"/>
      <c r="B220" s="196"/>
      <c r="C220" s="215"/>
      <c r="D220" s="196"/>
      <c r="E220" s="196"/>
      <c r="F220" s="196"/>
      <c r="G220" s="215"/>
      <c r="H220" s="215"/>
      <c r="I220" s="215"/>
      <c r="J220" s="197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3.5" customHeight="1">
      <c r="A221" s="195"/>
      <c r="B221" s="196"/>
      <c r="C221" s="215"/>
      <c r="D221" s="196"/>
      <c r="E221" s="196"/>
      <c r="F221" s="196"/>
      <c r="G221" s="215"/>
      <c r="H221" s="215"/>
      <c r="I221" s="215"/>
      <c r="J221" s="197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3.5" customHeight="1">
      <c r="A222" s="195"/>
      <c r="B222" s="196"/>
      <c r="C222" s="215"/>
      <c r="D222" s="196"/>
      <c r="E222" s="196"/>
      <c r="F222" s="196"/>
      <c r="G222" s="215"/>
      <c r="H222" s="215"/>
      <c r="I222" s="215"/>
      <c r="J222" s="197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3.5" customHeight="1">
      <c r="A223" s="195"/>
      <c r="B223" s="196"/>
      <c r="C223" s="215"/>
      <c r="D223" s="196"/>
      <c r="E223" s="196"/>
      <c r="F223" s="196"/>
      <c r="G223" s="215"/>
      <c r="H223" s="215"/>
      <c r="I223" s="215"/>
      <c r="J223" s="197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3.5" customHeight="1">
      <c r="A224" s="195"/>
      <c r="B224" s="196"/>
      <c r="C224" s="215"/>
      <c r="D224" s="196"/>
      <c r="E224" s="196"/>
      <c r="F224" s="196"/>
      <c r="G224" s="215"/>
      <c r="H224" s="215"/>
      <c r="I224" s="215"/>
      <c r="J224" s="197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3.5" customHeight="1">
      <c r="A225" s="195"/>
      <c r="B225" s="196"/>
      <c r="C225" s="215"/>
      <c r="D225" s="196"/>
      <c r="E225" s="196"/>
      <c r="F225" s="196"/>
      <c r="G225" s="215"/>
      <c r="H225" s="215"/>
      <c r="I225" s="215"/>
      <c r="J225" s="197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3.5" customHeight="1">
      <c r="A226" s="195"/>
      <c r="B226" s="196"/>
      <c r="C226" s="215"/>
      <c r="D226" s="196"/>
      <c r="E226" s="196"/>
      <c r="F226" s="196"/>
      <c r="G226" s="215"/>
      <c r="H226" s="215"/>
      <c r="I226" s="215"/>
      <c r="J226" s="197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3.5" customHeight="1">
      <c r="A227" s="195"/>
      <c r="B227" s="196"/>
      <c r="C227" s="215"/>
      <c r="D227" s="196"/>
      <c r="E227" s="196"/>
      <c r="F227" s="196"/>
      <c r="G227" s="215"/>
      <c r="H227" s="215"/>
      <c r="I227" s="215"/>
      <c r="J227" s="197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3.5" customHeight="1">
      <c r="A228" s="195"/>
      <c r="B228" s="196"/>
      <c r="C228" s="215"/>
      <c r="D228" s="196"/>
      <c r="E228" s="196"/>
      <c r="F228" s="196"/>
      <c r="G228" s="215"/>
      <c r="H228" s="215"/>
      <c r="I228" s="215"/>
      <c r="J228" s="197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3.5" customHeight="1">
      <c r="A229" s="195"/>
      <c r="B229" s="196"/>
      <c r="C229" s="215"/>
      <c r="D229" s="196"/>
      <c r="E229" s="196"/>
      <c r="F229" s="196"/>
      <c r="G229" s="215"/>
      <c r="H229" s="215"/>
      <c r="I229" s="215"/>
      <c r="J229" s="197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3.5" customHeight="1">
      <c r="A230" s="195"/>
      <c r="B230" s="196"/>
      <c r="C230" s="215"/>
      <c r="D230" s="196"/>
      <c r="E230" s="196"/>
      <c r="F230" s="196"/>
      <c r="G230" s="215"/>
      <c r="H230" s="215"/>
      <c r="I230" s="215"/>
      <c r="J230" s="197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3.5" customHeight="1">
      <c r="A231" s="195"/>
      <c r="B231" s="196"/>
      <c r="C231" s="215"/>
      <c r="D231" s="196"/>
      <c r="E231" s="196"/>
      <c r="F231" s="196"/>
      <c r="G231" s="215"/>
      <c r="H231" s="215"/>
      <c r="I231" s="215"/>
      <c r="J231" s="197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3.5" customHeight="1">
      <c r="A232" s="195"/>
      <c r="B232" s="196"/>
      <c r="C232" s="215"/>
      <c r="D232" s="196"/>
      <c r="E232" s="196"/>
      <c r="F232" s="196"/>
      <c r="G232" s="215"/>
      <c r="H232" s="215"/>
      <c r="I232" s="215"/>
      <c r="J232" s="197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3.5" customHeight="1">
      <c r="A233" s="195"/>
      <c r="B233" s="196"/>
      <c r="C233" s="215"/>
      <c r="D233" s="196"/>
      <c r="E233" s="196"/>
      <c r="F233" s="196"/>
      <c r="G233" s="215"/>
      <c r="H233" s="215"/>
      <c r="I233" s="215"/>
      <c r="J233" s="197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3.5" customHeight="1">
      <c r="A234" s="195"/>
      <c r="B234" s="196"/>
      <c r="C234" s="215"/>
      <c r="D234" s="196"/>
      <c r="E234" s="196"/>
      <c r="F234" s="196"/>
      <c r="G234" s="215"/>
      <c r="H234" s="215"/>
      <c r="I234" s="215"/>
      <c r="J234" s="197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3.5" customHeight="1">
      <c r="A235" s="195"/>
      <c r="B235" s="196"/>
      <c r="C235" s="215"/>
      <c r="D235" s="196"/>
      <c r="E235" s="196"/>
      <c r="F235" s="196"/>
      <c r="G235" s="215"/>
      <c r="H235" s="215"/>
      <c r="I235" s="215"/>
      <c r="J235" s="197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3.5" customHeight="1">
      <c r="A236" s="195"/>
      <c r="B236" s="196"/>
      <c r="C236" s="215"/>
      <c r="D236" s="196"/>
      <c r="E236" s="196"/>
      <c r="F236" s="196"/>
      <c r="G236" s="215"/>
      <c r="H236" s="215"/>
      <c r="I236" s="215"/>
      <c r="J236" s="197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3.5" customHeight="1">
      <c r="A237" s="195"/>
      <c r="B237" s="196"/>
      <c r="C237" s="215"/>
      <c r="D237" s="196"/>
      <c r="E237" s="196"/>
      <c r="F237" s="196"/>
      <c r="G237" s="215"/>
      <c r="H237" s="215"/>
      <c r="I237" s="215"/>
      <c r="J237" s="197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3.5" customHeight="1">
      <c r="A238" s="195"/>
      <c r="B238" s="196"/>
      <c r="C238" s="215"/>
      <c r="D238" s="196"/>
      <c r="E238" s="196"/>
      <c r="F238" s="196"/>
      <c r="G238" s="215"/>
      <c r="H238" s="215"/>
      <c r="I238" s="215"/>
      <c r="J238" s="197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3.5" customHeight="1">
      <c r="A239" s="195"/>
      <c r="B239" s="196"/>
      <c r="C239" s="215"/>
      <c r="D239" s="196"/>
      <c r="E239" s="196"/>
      <c r="F239" s="196"/>
      <c r="G239" s="215"/>
      <c r="H239" s="215"/>
      <c r="I239" s="215"/>
      <c r="J239" s="197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3.5" customHeight="1">
      <c r="A240" s="195"/>
      <c r="B240" s="196"/>
      <c r="C240" s="215"/>
      <c r="D240" s="196"/>
      <c r="E240" s="196"/>
      <c r="F240" s="196"/>
      <c r="G240" s="215"/>
      <c r="H240" s="215"/>
      <c r="I240" s="215"/>
      <c r="J240" s="197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3.5" customHeight="1">
      <c r="A241" s="195"/>
      <c r="B241" s="196"/>
      <c r="C241" s="215"/>
      <c r="D241" s="196"/>
      <c r="E241" s="196"/>
      <c r="F241" s="196"/>
      <c r="G241" s="215"/>
      <c r="H241" s="215"/>
      <c r="I241" s="215"/>
      <c r="J241" s="197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3.5" customHeight="1">
      <c r="A242" s="195"/>
      <c r="B242" s="196"/>
      <c r="C242" s="215"/>
      <c r="D242" s="196"/>
      <c r="E242" s="196"/>
      <c r="F242" s="196"/>
      <c r="G242" s="215"/>
      <c r="H242" s="215"/>
      <c r="I242" s="215"/>
      <c r="J242" s="197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3.5" customHeight="1">
      <c r="A243" s="195"/>
      <c r="B243" s="196"/>
      <c r="C243" s="215"/>
      <c r="D243" s="196"/>
      <c r="E243" s="196"/>
      <c r="F243" s="196"/>
      <c r="G243" s="215"/>
      <c r="H243" s="215"/>
      <c r="I243" s="215"/>
      <c r="J243" s="197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3.5" customHeight="1">
      <c r="A244" s="195"/>
      <c r="B244" s="196"/>
      <c r="C244" s="215"/>
      <c r="D244" s="196"/>
      <c r="E244" s="196"/>
      <c r="F244" s="196"/>
      <c r="G244" s="215"/>
      <c r="H244" s="215"/>
      <c r="I244" s="215"/>
      <c r="J244" s="197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3.5" customHeight="1">
      <c r="A245" s="195"/>
      <c r="B245" s="196"/>
      <c r="C245" s="215"/>
      <c r="D245" s="196"/>
      <c r="E245" s="196"/>
      <c r="F245" s="196"/>
      <c r="G245" s="215"/>
      <c r="H245" s="215"/>
      <c r="I245" s="215"/>
      <c r="J245" s="197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3.5" customHeight="1">
      <c r="A246" s="195"/>
      <c r="B246" s="196"/>
      <c r="C246" s="215"/>
      <c r="D246" s="196"/>
      <c r="E246" s="196"/>
      <c r="F246" s="196"/>
      <c r="G246" s="215"/>
      <c r="H246" s="215"/>
      <c r="I246" s="215"/>
      <c r="J246" s="197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3.5" customHeight="1">
      <c r="A247" s="195"/>
      <c r="B247" s="196"/>
      <c r="C247" s="215"/>
      <c r="D247" s="196"/>
      <c r="E247" s="196"/>
      <c r="F247" s="196"/>
      <c r="G247" s="215"/>
      <c r="H247" s="215"/>
      <c r="I247" s="215"/>
      <c r="J247" s="197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3.5" customHeight="1">
      <c r="A248" s="195"/>
      <c r="B248" s="196"/>
      <c r="C248" s="215"/>
      <c r="D248" s="196"/>
      <c r="E248" s="196"/>
      <c r="F248" s="196"/>
      <c r="G248" s="215"/>
      <c r="H248" s="215"/>
      <c r="I248" s="215"/>
      <c r="J248" s="197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3.5" customHeight="1">
      <c r="A249" s="195"/>
      <c r="B249" s="196"/>
      <c r="C249" s="215"/>
      <c r="D249" s="196"/>
      <c r="E249" s="196"/>
      <c r="F249" s="196"/>
      <c r="G249" s="215"/>
      <c r="H249" s="215"/>
      <c r="I249" s="215"/>
      <c r="J249" s="197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3.5" customHeight="1">
      <c r="A250" s="195"/>
      <c r="B250" s="196"/>
      <c r="C250" s="215"/>
      <c r="D250" s="196"/>
      <c r="E250" s="196"/>
      <c r="F250" s="196"/>
      <c r="G250" s="215"/>
      <c r="H250" s="215"/>
      <c r="I250" s="215"/>
      <c r="J250" s="197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3.5" customHeight="1">
      <c r="A251" s="195"/>
      <c r="B251" s="196"/>
      <c r="C251" s="215"/>
      <c r="D251" s="196"/>
      <c r="E251" s="196"/>
      <c r="F251" s="196"/>
      <c r="G251" s="215"/>
      <c r="H251" s="215"/>
      <c r="I251" s="215"/>
      <c r="J251" s="197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3.5" customHeight="1">
      <c r="A252" s="195"/>
      <c r="B252" s="196"/>
      <c r="C252" s="215"/>
      <c r="D252" s="196"/>
      <c r="E252" s="196"/>
      <c r="F252" s="196"/>
      <c r="G252" s="215"/>
      <c r="H252" s="215"/>
      <c r="I252" s="215"/>
      <c r="J252" s="197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3.5" customHeight="1">
      <c r="A253" s="195"/>
      <c r="B253" s="196"/>
      <c r="C253" s="215"/>
      <c r="D253" s="196"/>
      <c r="E253" s="196"/>
      <c r="F253" s="196"/>
      <c r="G253" s="215"/>
      <c r="H253" s="215"/>
      <c r="I253" s="215"/>
      <c r="J253" s="197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3.5" customHeight="1">
      <c r="A254" s="195"/>
      <c r="B254" s="196"/>
      <c r="C254" s="215"/>
      <c r="D254" s="196"/>
      <c r="E254" s="196"/>
      <c r="F254" s="196"/>
      <c r="G254" s="215"/>
      <c r="H254" s="215"/>
      <c r="I254" s="215"/>
      <c r="J254" s="197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3.5" customHeight="1">
      <c r="A255" s="195"/>
      <c r="B255" s="196"/>
      <c r="C255" s="215"/>
      <c r="D255" s="196"/>
      <c r="E255" s="196"/>
      <c r="F255" s="196"/>
      <c r="G255" s="215"/>
      <c r="H255" s="215"/>
      <c r="I255" s="215"/>
      <c r="J255" s="197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3.5" customHeight="1">
      <c r="A256" s="195"/>
      <c r="B256" s="196"/>
      <c r="C256" s="215"/>
      <c r="D256" s="196"/>
      <c r="E256" s="196"/>
      <c r="F256" s="196"/>
      <c r="G256" s="215"/>
      <c r="H256" s="215"/>
      <c r="I256" s="215"/>
      <c r="J256" s="197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3.5" customHeight="1">
      <c r="A257" s="195"/>
      <c r="B257" s="196"/>
      <c r="C257" s="215"/>
      <c r="D257" s="196"/>
      <c r="E257" s="196"/>
      <c r="F257" s="196"/>
      <c r="G257" s="215"/>
      <c r="H257" s="215"/>
      <c r="I257" s="215"/>
      <c r="J257" s="197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3.5" customHeight="1">
      <c r="A258" s="195"/>
      <c r="B258" s="196"/>
      <c r="C258" s="215"/>
      <c r="D258" s="196"/>
      <c r="E258" s="196"/>
      <c r="F258" s="196"/>
      <c r="G258" s="215"/>
      <c r="H258" s="215"/>
      <c r="I258" s="215"/>
      <c r="J258" s="197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3.5" customHeight="1">
      <c r="A259" s="195"/>
      <c r="B259" s="196"/>
      <c r="C259" s="215"/>
      <c r="D259" s="196"/>
      <c r="E259" s="196"/>
      <c r="F259" s="196"/>
      <c r="G259" s="215"/>
      <c r="H259" s="215"/>
      <c r="I259" s="215"/>
      <c r="J259" s="197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3.5" customHeight="1">
      <c r="A260" s="195"/>
      <c r="B260" s="196"/>
      <c r="C260" s="215"/>
      <c r="D260" s="196"/>
      <c r="E260" s="196"/>
      <c r="F260" s="196"/>
      <c r="G260" s="215"/>
      <c r="H260" s="215"/>
      <c r="I260" s="215"/>
      <c r="J260" s="197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3.5" customHeight="1">
      <c r="A261" s="195"/>
      <c r="B261" s="196"/>
      <c r="C261" s="215"/>
      <c r="D261" s="196"/>
      <c r="E261" s="196"/>
      <c r="F261" s="196"/>
      <c r="G261" s="215"/>
      <c r="H261" s="215"/>
      <c r="I261" s="215"/>
      <c r="J261" s="197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3.5" customHeight="1">
      <c r="A262" s="195"/>
      <c r="B262" s="196"/>
      <c r="C262" s="215"/>
      <c r="D262" s="196"/>
      <c r="E262" s="196"/>
      <c r="F262" s="196"/>
      <c r="G262" s="215"/>
      <c r="H262" s="215"/>
      <c r="I262" s="215"/>
      <c r="J262" s="197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3.5" customHeight="1">
      <c r="A263" s="195"/>
      <c r="B263" s="196"/>
      <c r="C263" s="215"/>
      <c r="D263" s="196"/>
      <c r="E263" s="196"/>
      <c r="F263" s="196"/>
      <c r="G263" s="215"/>
      <c r="H263" s="215"/>
      <c r="I263" s="215"/>
      <c r="J263" s="197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3.5" customHeight="1">
      <c r="A264" s="195"/>
      <c r="B264" s="196"/>
      <c r="C264" s="215"/>
      <c r="D264" s="196"/>
      <c r="E264" s="196"/>
      <c r="F264" s="196"/>
      <c r="G264" s="215"/>
      <c r="H264" s="215"/>
      <c r="I264" s="215"/>
      <c r="J264" s="197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3.5" customHeight="1">
      <c r="A265" s="195"/>
      <c r="B265" s="196"/>
      <c r="C265" s="215"/>
      <c r="D265" s="196"/>
      <c r="E265" s="196"/>
      <c r="F265" s="196"/>
      <c r="G265" s="215"/>
      <c r="H265" s="215"/>
      <c r="I265" s="215"/>
      <c r="J265" s="197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3.5" customHeight="1">
      <c r="A266" s="195"/>
      <c r="B266" s="196"/>
      <c r="C266" s="215"/>
      <c r="D266" s="196"/>
      <c r="E266" s="196"/>
      <c r="F266" s="196"/>
      <c r="G266" s="215"/>
      <c r="H266" s="215"/>
      <c r="I266" s="215"/>
      <c r="J266" s="197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3.5" customHeight="1">
      <c r="A267" s="195"/>
      <c r="B267" s="196"/>
      <c r="C267" s="215"/>
      <c r="D267" s="196"/>
      <c r="E267" s="196"/>
      <c r="F267" s="196"/>
      <c r="G267" s="215"/>
      <c r="H267" s="215"/>
      <c r="I267" s="215"/>
      <c r="J267" s="197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3.5" customHeight="1">
      <c r="A268" s="195"/>
      <c r="B268" s="196"/>
      <c r="C268" s="215"/>
      <c r="D268" s="196"/>
      <c r="E268" s="196"/>
      <c r="F268" s="196"/>
      <c r="G268" s="215"/>
      <c r="H268" s="215"/>
      <c r="I268" s="215"/>
      <c r="J268" s="197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3.5" customHeight="1">
      <c r="A269" s="195"/>
      <c r="B269" s="196"/>
      <c r="C269" s="215"/>
      <c r="D269" s="196"/>
      <c r="E269" s="196"/>
      <c r="F269" s="196"/>
      <c r="G269" s="215"/>
      <c r="H269" s="215"/>
      <c r="I269" s="215"/>
      <c r="J269" s="197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3.5" customHeight="1">
      <c r="A270" s="195"/>
      <c r="B270" s="196"/>
      <c r="C270" s="215"/>
      <c r="D270" s="196"/>
      <c r="E270" s="196"/>
      <c r="F270" s="196"/>
      <c r="G270" s="215"/>
      <c r="H270" s="215"/>
      <c r="I270" s="215"/>
      <c r="J270" s="197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3.5" customHeight="1">
      <c r="A271" s="195"/>
      <c r="B271" s="196"/>
      <c r="C271" s="215"/>
      <c r="D271" s="196"/>
      <c r="E271" s="196"/>
      <c r="F271" s="196"/>
      <c r="G271" s="215"/>
      <c r="H271" s="215"/>
      <c r="I271" s="215"/>
      <c r="J271" s="197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3.5" customHeight="1">
      <c r="A272" s="195"/>
      <c r="B272" s="196"/>
      <c r="C272" s="215"/>
      <c r="D272" s="196"/>
      <c r="E272" s="196"/>
      <c r="F272" s="196"/>
      <c r="G272" s="215"/>
      <c r="H272" s="215"/>
      <c r="I272" s="215"/>
      <c r="J272" s="197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3.5" customHeight="1">
      <c r="A273" s="195"/>
      <c r="B273" s="196"/>
      <c r="C273" s="215"/>
      <c r="D273" s="196"/>
      <c r="E273" s="196"/>
      <c r="F273" s="196"/>
      <c r="G273" s="215"/>
      <c r="H273" s="215"/>
      <c r="I273" s="215"/>
      <c r="J273" s="197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3.5" customHeight="1">
      <c r="A274" s="195"/>
      <c r="B274" s="196"/>
      <c r="C274" s="215"/>
      <c r="D274" s="196"/>
      <c r="E274" s="196"/>
      <c r="F274" s="196"/>
      <c r="G274" s="215"/>
      <c r="H274" s="215"/>
      <c r="I274" s="215"/>
      <c r="J274" s="197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3.5" customHeight="1">
      <c r="A275" s="195"/>
      <c r="B275" s="196"/>
      <c r="C275" s="215"/>
      <c r="D275" s="196"/>
      <c r="E275" s="196"/>
      <c r="F275" s="196"/>
      <c r="G275" s="215"/>
      <c r="H275" s="215"/>
      <c r="I275" s="215"/>
      <c r="J275" s="197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3.5" customHeight="1">
      <c r="A276" s="195"/>
      <c r="B276" s="196"/>
      <c r="C276" s="215"/>
      <c r="D276" s="196"/>
      <c r="E276" s="196"/>
      <c r="F276" s="196"/>
      <c r="G276" s="215"/>
      <c r="H276" s="215"/>
      <c r="I276" s="215"/>
      <c r="J276" s="197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3.5" customHeight="1">
      <c r="A277" s="195"/>
      <c r="B277" s="196"/>
      <c r="C277" s="215"/>
      <c r="D277" s="196"/>
      <c r="E277" s="196"/>
      <c r="F277" s="196"/>
      <c r="G277" s="215"/>
      <c r="H277" s="215"/>
      <c r="I277" s="215"/>
      <c r="J277" s="197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3.5" customHeight="1">
      <c r="A278" s="195"/>
      <c r="B278" s="196"/>
      <c r="C278" s="215"/>
      <c r="D278" s="196"/>
      <c r="E278" s="196"/>
      <c r="F278" s="196"/>
      <c r="G278" s="215"/>
      <c r="H278" s="215"/>
      <c r="I278" s="215"/>
      <c r="J278" s="197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3.5" customHeight="1">
      <c r="A279" s="195"/>
      <c r="B279" s="196"/>
      <c r="C279" s="215"/>
      <c r="D279" s="196"/>
      <c r="E279" s="196"/>
      <c r="F279" s="196"/>
      <c r="G279" s="215"/>
      <c r="H279" s="215"/>
      <c r="I279" s="215"/>
      <c r="J279" s="197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3.5" customHeight="1">
      <c r="A280" s="195"/>
      <c r="B280" s="196"/>
      <c r="C280" s="215"/>
      <c r="D280" s="196"/>
      <c r="E280" s="196"/>
      <c r="F280" s="196"/>
      <c r="G280" s="215"/>
      <c r="H280" s="215"/>
      <c r="I280" s="215"/>
      <c r="J280" s="197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3.5" customHeight="1">
      <c r="A281" s="195"/>
      <c r="B281" s="196"/>
      <c r="C281" s="215"/>
      <c r="D281" s="196"/>
      <c r="E281" s="196"/>
      <c r="F281" s="196"/>
      <c r="G281" s="215"/>
      <c r="H281" s="215"/>
      <c r="I281" s="215"/>
      <c r="J281" s="197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3.5" customHeight="1">
      <c r="A282" s="195"/>
      <c r="B282" s="196"/>
      <c r="C282" s="215"/>
      <c r="D282" s="196"/>
      <c r="E282" s="196"/>
      <c r="F282" s="196"/>
      <c r="G282" s="215"/>
      <c r="H282" s="215"/>
      <c r="I282" s="215"/>
      <c r="J282" s="197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3.5" customHeight="1">
      <c r="A283" s="195"/>
      <c r="B283" s="196"/>
      <c r="C283" s="215"/>
      <c r="D283" s="196"/>
      <c r="E283" s="196"/>
      <c r="F283" s="196"/>
      <c r="G283" s="215"/>
      <c r="H283" s="215"/>
      <c r="I283" s="215"/>
      <c r="J283" s="197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3.5" customHeight="1">
      <c r="A284" s="195"/>
      <c r="B284" s="196"/>
      <c r="C284" s="215"/>
      <c r="D284" s="196"/>
      <c r="E284" s="196"/>
      <c r="F284" s="196"/>
      <c r="G284" s="215"/>
      <c r="H284" s="215"/>
      <c r="I284" s="215"/>
      <c r="J284" s="197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3.5" customHeight="1">
      <c r="A285" s="195"/>
      <c r="B285" s="196"/>
      <c r="C285" s="215"/>
      <c r="D285" s="196"/>
      <c r="E285" s="196"/>
      <c r="F285" s="196"/>
      <c r="G285" s="215"/>
      <c r="H285" s="215"/>
      <c r="I285" s="215"/>
      <c r="J285" s="197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3.5" customHeight="1">
      <c r="A286" s="195"/>
      <c r="B286" s="196"/>
      <c r="C286" s="215"/>
      <c r="D286" s="196"/>
      <c r="E286" s="196"/>
      <c r="F286" s="196"/>
      <c r="G286" s="215"/>
      <c r="H286" s="215"/>
      <c r="I286" s="215"/>
      <c r="J286" s="197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3.5" customHeight="1">
      <c r="A287" s="195"/>
      <c r="B287" s="196"/>
      <c r="C287" s="215"/>
      <c r="D287" s="196"/>
      <c r="E287" s="196"/>
      <c r="F287" s="196"/>
      <c r="G287" s="215"/>
      <c r="H287" s="215"/>
      <c r="I287" s="215"/>
      <c r="J287" s="197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3.5" customHeight="1">
      <c r="A288" s="195"/>
      <c r="B288" s="196"/>
      <c r="C288" s="215"/>
      <c r="D288" s="196"/>
      <c r="E288" s="196"/>
      <c r="F288" s="196"/>
      <c r="G288" s="215"/>
      <c r="H288" s="215"/>
      <c r="I288" s="215"/>
      <c r="J288" s="197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3.5" customHeight="1">
      <c r="A289" s="195"/>
      <c r="B289" s="196"/>
      <c r="C289" s="215"/>
      <c r="D289" s="196"/>
      <c r="E289" s="196"/>
      <c r="F289" s="196"/>
      <c r="G289" s="215"/>
      <c r="H289" s="215"/>
      <c r="I289" s="215"/>
      <c r="J289" s="197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3.5" customHeight="1">
      <c r="A290" s="195"/>
      <c r="B290" s="196"/>
      <c r="C290" s="215"/>
      <c r="D290" s="196"/>
      <c r="E290" s="196"/>
      <c r="F290" s="196"/>
      <c r="G290" s="215"/>
      <c r="H290" s="215"/>
      <c r="I290" s="215"/>
      <c r="J290" s="197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3.5" customHeight="1">
      <c r="A291" s="195"/>
      <c r="B291" s="196"/>
      <c r="C291" s="215"/>
      <c r="D291" s="196"/>
      <c r="E291" s="196"/>
      <c r="F291" s="196"/>
      <c r="G291" s="215"/>
      <c r="H291" s="215"/>
      <c r="I291" s="215"/>
      <c r="J291" s="197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3.5" customHeight="1">
      <c r="A292" s="195"/>
      <c r="B292" s="196"/>
      <c r="C292" s="215"/>
      <c r="D292" s="196"/>
      <c r="E292" s="196"/>
      <c r="F292" s="196"/>
      <c r="G292" s="215"/>
      <c r="H292" s="215"/>
      <c r="I292" s="215"/>
      <c r="J292" s="197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3.5" customHeight="1">
      <c r="A293" s="195"/>
      <c r="B293" s="196"/>
      <c r="C293" s="215"/>
      <c r="D293" s="196"/>
      <c r="E293" s="196"/>
      <c r="F293" s="196"/>
      <c r="G293" s="215"/>
      <c r="H293" s="215"/>
      <c r="I293" s="215"/>
      <c r="J293" s="197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3.5" customHeight="1">
      <c r="A294" s="195"/>
      <c r="B294" s="196"/>
      <c r="C294" s="215"/>
      <c r="D294" s="196"/>
      <c r="E294" s="196"/>
      <c r="F294" s="196"/>
      <c r="G294" s="215"/>
      <c r="H294" s="215"/>
      <c r="I294" s="215"/>
      <c r="J294" s="197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3.5" customHeight="1">
      <c r="A295" s="195"/>
      <c r="B295" s="196"/>
      <c r="C295" s="215"/>
      <c r="D295" s="196"/>
      <c r="E295" s="196"/>
      <c r="F295" s="196"/>
      <c r="G295" s="215"/>
      <c r="H295" s="215"/>
      <c r="I295" s="215"/>
      <c r="J295" s="197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3.5" customHeight="1">
      <c r="A296" s="195"/>
      <c r="B296" s="196"/>
      <c r="C296" s="215"/>
      <c r="D296" s="196"/>
      <c r="E296" s="196"/>
      <c r="F296" s="196"/>
      <c r="G296" s="215"/>
      <c r="H296" s="215"/>
      <c r="I296" s="215"/>
      <c r="J296" s="197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3.5" customHeight="1">
      <c r="A297" s="195"/>
      <c r="B297" s="196"/>
      <c r="C297" s="215"/>
      <c r="D297" s="196"/>
      <c r="E297" s="196"/>
      <c r="F297" s="196"/>
      <c r="G297" s="215"/>
      <c r="H297" s="215"/>
      <c r="I297" s="215"/>
      <c r="J297" s="197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3.5" customHeight="1">
      <c r="A298" s="195"/>
      <c r="B298" s="196"/>
      <c r="C298" s="215"/>
      <c r="D298" s="196"/>
      <c r="E298" s="196"/>
      <c r="F298" s="196"/>
      <c r="G298" s="215"/>
      <c r="H298" s="215"/>
      <c r="I298" s="215"/>
      <c r="J298" s="197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3.5" customHeight="1">
      <c r="A299" s="195"/>
      <c r="B299" s="196"/>
      <c r="C299" s="215"/>
      <c r="D299" s="196"/>
      <c r="E299" s="196"/>
      <c r="F299" s="196"/>
      <c r="G299" s="215"/>
      <c r="H299" s="215"/>
      <c r="I299" s="215"/>
      <c r="J299" s="197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3.5" customHeight="1">
      <c r="A300" s="195"/>
      <c r="B300" s="196"/>
      <c r="C300" s="215"/>
      <c r="D300" s="196"/>
      <c r="E300" s="196"/>
      <c r="F300" s="196"/>
      <c r="G300" s="215"/>
      <c r="H300" s="215"/>
      <c r="I300" s="215"/>
      <c r="J300" s="197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3.5" customHeight="1">
      <c r="A301" s="195"/>
      <c r="B301" s="196"/>
      <c r="C301" s="215"/>
      <c r="D301" s="196"/>
      <c r="E301" s="196"/>
      <c r="F301" s="196"/>
      <c r="G301" s="215"/>
      <c r="H301" s="215"/>
      <c r="I301" s="215"/>
      <c r="J301" s="197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3.5" customHeight="1">
      <c r="A302" s="195"/>
      <c r="B302" s="196"/>
      <c r="C302" s="215"/>
      <c r="D302" s="196"/>
      <c r="E302" s="196"/>
      <c r="F302" s="196"/>
      <c r="G302" s="215"/>
      <c r="H302" s="215"/>
      <c r="I302" s="215"/>
      <c r="J302" s="197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3.5" customHeight="1">
      <c r="A303" s="195"/>
      <c r="B303" s="196"/>
      <c r="C303" s="215"/>
      <c r="D303" s="196"/>
      <c r="E303" s="196"/>
      <c r="F303" s="196"/>
      <c r="G303" s="215"/>
      <c r="H303" s="215"/>
      <c r="I303" s="215"/>
      <c r="J303" s="197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3.5" customHeight="1">
      <c r="A304" s="195"/>
      <c r="B304" s="196"/>
      <c r="C304" s="215"/>
      <c r="D304" s="196"/>
      <c r="E304" s="196"/>
      <c r="F304" s="196"/>
      <c r="G304" s="215"/>
      <c r="H304" s="215"/>
      <c r="I304" s="215"/>
      <c r="J304" s="197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3.5" customHeight="1">
      <c r="A305" s="195"/>
      <c r="B305" s="196"/>
      <c r="C305" s="215"/>
      <c r="D305" s="196"/>
      <c r="E305" s="196"/>
      <c r="F305" s="196"/>
      <c r="G305" s="215"/>
      <c r="H305" s="215"/>
      <c r="I305" s="215"/>
      <c r="J305" s="197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3.5" customHeight="1">
      <c r="A306" s="195"/>
      <c r="B306" s="196"/>
      <c r="C306" s="215"/>
      <c r="D306" s="196"/>
      <c r="E306" s="196"/>
      <c r="F306" s="196"/>
      <c r="G306" s="215"/>
      <c r="H306" s="215"/>
      <c r="I306" s="215"/>
      <c r="J306" s="197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3.5" customHeight="1">
      <c r="A307" s="195"/>
      <c r="B307" s="196"/>
      <c r="C307" s="215"/>
      <c r="D307" s="196"/>
      <c r="E307" s="196"/>
      <c r="F307" s="196"/>
      <c r="G307" s="215"/>
      <c r="H307" s="215"/>
      <c r="I307" s="215"/>
      <c r="J307" s="197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3.5" customHeight="1">
      <c r="A308" s="195"/>
      <c r="B308" s="196"/>
      <c r="C308" s="215"/>
      <c r="D308" s="196"/>
      <c r="E308" s="196"/>
      <c r="F308" s="196"/>
      <c r="G308" s="215"/>
      <c r="H308" s="215"/>
      <c r="I308" s="215"/>
      <c r="J308" s="197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3.5" customHeight="1">
      <c r="A309" s="195"/>
      <c r="B309" s="196"/>
      <c r="C309" s="215"/>
      <c r="D309" s="196"/>
      <c r="E309" s="196"/>
      <c r="F309" s="196"/>
      <c r="G309" s="215"/>
      <c r="H309" s="215"/>
      <c r="I309" s="215"/>
      <c r="J309" s="197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3.5" customHeight="1">
      <c r="A310" s="195"/>
      <c r="B310" s="196"/>
      <c r="C310" s="215"/>
      <c r="D310" s="196"/>
      <c r="E310" s="196"/>
      <c r="F310" s="196"/>
      <c r="G310" s="215"/>
      <c r="H310" s="215"/>
      <c r="I310" s="215"/>
      <c r="J310" s="197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3.5" customHeight="1">
      <c r="A311" s="195"/>
      <c r="B311" s="196"/>
      <c r="C311" s="215"/>
      <c r="D311" s="196"/>
      <c r="E311" s="196"/>
      <c r="F311" s="196"/>
      <c r="G311" s="215"/>
      <c r="H311" s="215"/>
      <c r="I311" s="215"/>
      <c r="J311" s="197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3.5" customHeight="1">
      <c r="A312" s="195"/>
      <c r="B312" s="196"/>
      <c r="C312" s="215"/>
      <c r="D312" s="196"/>
      <c r="E312" s="196"/>
      <c r="F312" s="196"/>
      <c r="G312" s="215"/>
      <c r="H312" s="215"/>
      <c r="I312" s="215"/>
      <c r="J312" s="197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3.5" customHeight="1">
      <c r="A313" s="195"/>
      <c r="B313" s="196"/>
      <c r="C313" s="215"/>
      <c r="D313" s="196"/>
      <c r="E313" s="196"/>
      <c r="F313" s="196"/>
      <c r="G313" s="215"/>
      <c r="H313" s="215"/>
      <c r="I313" s="215"/>
      <c r="J313" s="197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3.5" customHeight="1">
      <c r="A314" s="195"/>
      <c r="B314" s="196"/>
      <c r="C314" s="215"/>
      <c r="D314" s="196"/>
      <c r="E314" s="196"/>
      <c r="F314" s="196"/>
      <c r="G314" s="215"/>
      <c r="H314" s="215"/>
      <c r="I314" s="215"/>
      <c r="J314" s="197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3.5" customHeight="1">
      <c r="A315" s="195"/>
      <c r="B315" s="196"/>
      <c r="C315" s="215"/>
      <c r="D315" s="196"/>
      <c r="E315" s="196"/>
      <c r="F315" s="196"/>
      <c r="G315" s="215"/>
      <c r="H315" s="215"/>
      <c r="I315" s="215"/>
      <c r="J315" s="197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3.5" customHeight="1">
      <c r="A316" s="195"/>
      <c r="B316" s="196"/>
      <c r="C316" s="215"/>
      <c r="D316" s="196"/>
      <c r="E316" s="196"/>
      <c r="F316" s="196"/>
      <c r="G316" s="215"/>
      <c r="H316" s="215"/>
      <c r="I316" s="215"/>
      <c r="J316" s="197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3.5" customHeight="1">
      <c r="A317" s="195"/>
      <c r="B317" s="196"/>
      <c r="C317" s="215"/>
      <c r="D317" s="196"/>
      <c r="E317" s="196"/>
      <c r="F317" s="196"/>
      <c r="G317" s="215"/>
      <c r="H317" s="215"/>
      <c r="I317" s="215"/>
      <c r="J317" s="197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3.5" customHeight="1">
      <c r="A318" s="195"/>
      <c r="B318" s="196"/>
      <c r="C318" s="215"/>
      <c r="D318" s="215"/>
      <c r="E318" s="215"/>
      <c r="F318" s="215"/>
      <c r="G318" s="215"/>
      <c r="H318" s="215"/>
      <c r="I318" s="215"/>
      <c r="J318" s="197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3.5" customHeight="1">
      <c r="A319" s="195"/>
      <c r="B319" s="196"/>
      <c r="C319" s="215"/>
      <c r="D319" s="215"/>
      <c r="E319" s="215"/>
      <c r="F319" s="215"/>
      <c r="G319" s="215"/>
      <c r="H319" s="215"/>
      <c r="I319" s="215"/>
      <c r="J319" s="197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3.5" customHeight="1">
      <c r="A320" s="195"/>
      <c r="B320" s="196"/>
      <c r="C320" s="215"/>
      <c r="D320" s="215"/>
      <c r="E320" s="215"/>
      <c r="F320" s="215"/>
      <c r="G320" s="215"/>
      <c r="H320" s="215"/>
      <c r="I320" s="215"/>
      <c r="J320" s="197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3.5" customHeight="1">
      <c r="A321" s="195"/>
      <c r="B321" s="196"/>
      <c r="C321" s="215"/>
      <c r="D321" s="215"/>
      <c r="E321" s="215"/>
      <c r="F321" s="215"/>
      <c r="G321" s="215"/>
      <c r="H321" s="215"/>
      <c r="I321" s="215"/>
      <c r="J321" s="197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3.5" customHeight="1">
      <c r="A322" s="195"/>
      <c r="B322" s="196"/>
      <c r="C322" s="215"/>
      <c r="D322" s="215"/>
      <c r="E322" s="215"/>
      <c r="F322" s="215"/>
      <c r="G322" s="215"/>
      <c r="H322" s="215"/>
      <c r="I322" s="215"/>
      <c r="J322" s="197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3.5" customHeight="1">
      <c r="A323" s="195"/>
      <c r="B323" s="196"/>
      <c r="C323" s="215"/>
      <c r="D323" s="215"/>
      <c r="E323" s="215"/>
      <c r="F323" s="215"/>
      <c r="G323" s="215"/>
      <c r="H323" s="215"/>
      <c r="I323" s="215"/>
      <c r="J323" s="197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3.5" customHeight="1">
      <c r="A324" s="195"/>
      <c r="B324" s="196"/>
      <c r="C324" s="215"/>
      <c r="D324" s="215"/>
      <c r="E324" s="215"/>
      <c r="F324" s="215"/>
      <c r="G324" s="215"/>
      <c r="H324" s="215"/>
      <c r="I324" s="215"/>
      <c r="J324" s="197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3.5" customHeight="1">
      <c r="A325" s="195"/>
      <c r="B325" s="196"/>
      <c r="C325" s="215"/>
      <c r="D325" s="215"/>
      <c r="E325" s="215"/>
      <c r="F325" s="215"/>
      <c r="G325" s="215"/>
      <c r="H325" s="215"/>
      <c r="I325" s="215"/>
      <c r="J325" s="197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3.5" customHeight="1">
      <c r="A326" s="195"/>
      <c r="B326" s="196"/>
      <c r="C326" s="215"/>
      <c r="D326" s="215"/>
      <c r="E326" s="215"/>
      <c r="F326" s="215"/>
      <c r="G326" s="215"/>
      <c r="H326" s="215"/>
      <c r="I326" s="215"/>
      <c r="J326" s="197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3.5" customHeight="1">
      <c r="A327" s="195"/>
      <c r="B327" s="196"/>
      <c r="C327" s="215"/>
      <c r="D327" s="215"/>
      <c r="E327" s="215"/>
      <c r="F327" s="215"/>
      <c r="G327" s="215"/>
      <c r="H327" s="215"/>
      <c r="I327" s="215"/>
      <c r="J327" s="197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3.5" customHeight="1">
      <c r="A328" s="195"/>
      <c r="B328" s="196"/>
      <c r="C328" s="215"/>
      <c r="D328" s="215"/>
      <c r="E328" s="215"/>
      <c r="F328" s="215"/>
      <c r="G328" s="215"/>
      <c r="H328" s="215"/>
      <c r="I328" s="215"/>
      <c r="J328" s="197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3.5" customHeight="1">
      <c r="A329" s="195"/>
      <c r="B329" s="196"/>
      <c r="C329" s="215"/>
      <c r="D329" s="215"/>
      <c r="E329" s="215"/>
      <c r="F329" s="215"/>
      <c r="G329" s="215"/>
      <c r="H329" s="215"/>
      <c r="I329" s="215"/>
      <c r="J329" s="197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3.5" customHeight="1">
      <c r="A330" s="195"/>
      <c r="B330" s="196"/>
      <c r="C330" s="215"/>
      <c r="D330" s="215"/>
      <c r="E330" s="215"/>
      <c r="F330" s="215"/>
      <c r="G330" s="215"/>
      <c r="H330" s="215"/>
      <c r="I330" s="215"/>
      <c r="J330" s="197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3.5" customHeight="1">
      <c r="A331" s="195"/>
      <c r="B331" s="196"/>
      <c r="C331" s="215"/>
      <c r="D331" s="215"/>
      <c r="E331" s="215"/>
      <c r="F331" s="215"/>
      <c r="G331" s="215"/>
      <c r="H331" s="215"/>
      <c r="I331" s="215"/>
      <c r="J331" s="197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3.5" customHeight="1">
      <c r="A332" s="195"/>
      <c r="B332" s="196"/>
      <c r="C332" s="215"/>
      <c r="D332" s="215"/>
      <c r="E332" s="215"/>
      <c r="F332" s="215"/>
      <c r="G332" s="215"/>
      <c r="H332" s="215"/>
      <c r="I332" s="215"/>
      <c r="J332" s="197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3.5" customHeight="1">
      <c r="A333" s="195"/>
      <c r="B333" s="196"/>
      <c r="C333" s="215"/>
      <c r="D333" s="215"/>
      <c r="E333" s="215"/>
      <c r="F333" s="215"/>
      <c r="G333" s="215"/>
      <c r="H333" s="215"/>
      <c r="I333" s="215"/>
      <c r="J333" s="197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3.5" customHeight="1">
      <c r="A334" s="195"/>
      <c r="B334" s="196"/>
      <c r="C334" s="215"/>
      <c r="D334" s="215"/>
      <c r="E334" s="215"/>
      <c r="F334" s="215"/>
      <c r="G334" s="215"/>
      <c r="H334" s="215"/>
      <c r="I334" s="215"/>
      <c r="J334" s="197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3.5" customHeight="1">
      <c r="A335" s="195"/>
      <c r="B335" s="196"/>
      <c r="C335" s="215"/>
      <c r="D335" s="215"/>
      <c r="E335" s="215"/>
      <c r="F335" s="215"/>
      <c r="G335" s="215"/>
      <c r="H335" s="215"/>
      <c r="I335" s="215"/>
      <c r="J335" s="197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3.5" customHeight="1">
      <c r="A336" s="195"/>
      <c r="B336" s="196"/>
      <c r="C336" s="196"/>
      <c r="D336" s="196"/>
      <c r="E336" s="196"/>
      <c r="F336" s="196"/>
      <c r="G336" s="196"/>
      <c r="H336" s="196"/>
      <c r="I336" s="196"/>
      <c r="J336" s="197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3.5" customHeight="1">
      <c r="A337" s="195"/>
      <c r="B337" s="196"/>
      <c r="C337" s="196"/>
      <c r="D337" s="196"/>
      <c r="E337" s="196"/>
      <c r="F337" s="196"/>
      <c r="G337" s="196"/>
      <c r="H337" s="196"/>
      <c r="I337" s="196"/>
      <c r="J337" s="197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3.5" customHeight="1">
      <c r="A338" s="195"/>
      <c r="B338" s="196"/>
      <c r="C338" s="196"/>
      <c r="D338" s="196"/>
      <c r="E338" s="196"/>
      <c r="F338" s="196"/>
      <c r="G338" s="196"/>
      <c r="H338" s="196"/>
      <c r="I338" s="196"/>
      <c r="J338" s="197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3.5" customHeight="1">
      <c r="A339" s="195"/>
      <c r="B339" s="196"/>
      <c r="C339" s="196"/>
      <c r="D339" s="196"/>
      <c r="E339" s="196"/>
      <c r="F339" s="196"/>
      <c r="G339" s="196"/>
      <c r="H339" s="196"/>
      <c r="I339" s="196"/>
      <c r="J339" s="197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3.5" customHeight="1">
      <c r="A340" s="195"/>
      <c r="B340" s="196"/>
      <c r="C340" s="196"/>
      <c r="D340" s="196"/>
      <c r="E340" s="196"/>
      <c r="F340" s="196"/>
      <c r="G340" s="196"/>
      <c r="H340" s="196"/>
      <c r="I340" s="196"/>
      <c r="J340" s="197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3.5" customHeight="1">
      <c r="A341" s="195"/>
      <c r="B341" s="196"/>
      <c r="C341" s="196"/>
      <c r="D341" s="196"/>
      <c r="E341" s="196"/>
      <c r="F341" s="196"/>
      <c r="G341" s="196"/>
      <c r="H341" s="196"/>
      <c r="I341" s="196"/>
      <c r="J341" s="197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3.5" customHeight="1">
      <c r="A342" s="195"/>
      <c r="B342" s="196"/>
      <c r="C342" s="196"/>
      <c r="D342" s="196"/>
      <c r="E342" s="196"/>
      <c r="F342" s="196"/>
      <c r="G342" s="196"/>
      <c r="H342" s="196"/>
      <c r="I342" s="196"/>
      <c r="J342" s="197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3.5" customHeight="1">
      <c r="A343" s="195"/>
      <c r="B343" s="196"/>
      <c r="C343" s="196"/>
      <c r="D343" s="196"/>
      <c r="E343" s="196"/>
      <c r="F343" s="196"/>
      <c r="G343" s="196"/>
      <c r="H343" s="196"/>
      <c r="I343" s="196"/>
      <c r="J343" s="197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3.5" customHeight="1">
      <c r="A344" s="195"/>
      <c r="B344" s="196"/>
      <c r="C344" s="196"/>
      <c r="D344" s="196"/>
      <c r="E344" s="196"/>
      <c r="F344" s="196"/>
      <c r="G344" s="196"/>
      <c r="H344" s="196"/>
      <c r="I344" s="196"/>
      <c r="J344" s="197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3.5" customHeight="1">
      <c r="A345" s="195"/>
      <c r="B345" s="196"/>
      <c r="C345" s="196"/>
      <c r="D345" s="196"/>
      <c r="E345" s="196"/>
      <c r="F345" s="196"/>
      <c r="G345" s="196"/>
      <c r="H345" s="196"/>
      <c r="I345" s="196"/>
      <c r="J345" s="197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3.5" customHeight="1">
      <c r="A346" s="195"/>
      <c r="B346" s="196"/>
      <c r="C346" s="196"/>
      <c r="D346" s="196"/>
      <c r="E346" s="196"/>
      <c r="F346" s="196"/>
      <c r="G346" s="196"/>
      <c r="H346" s="196"/>
      <c r="I346" s="196"/>
      <c r="J346" s="197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3.5" customHeight="1">
      <c r="A347" s="195"/>
      <c r="B347" s="196"/>
      <c r="C347" s="196"/>
      <c r="D347" s="196"/>
      <c r="E347" s="196"/>
      <c r="F347" s="196"/>
      <c r="G347" s="196"/>
      <c r="H347" s="196"/>
      <c r="I347" s="196"/>
      <c r="J347" s="197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3.5" customHeight="1">
      <c r="A348" s="195"/>
      <c r="B348" s="196"/>
      <c r="C348" s="196"/>
      <c r="D348" s="196"/>
      <c r="E348" s="196"/>
      <c r="F348" s="196"/>
      <c r="G348" s="196"/>
      <c r="H348" s="196"/>
      <c r="I348" s="196"/>
      <c r="J348" s="197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3.5" customHeight="1">
      <c r="A349" s="195"/>
      <c r="B349" s="196"/>
      <c r="C349" s="196"/>
      <c r="D349" s="196"/>
      <c r="E349" s="196"/>
      <c r="F349" s="196"/>
      <c r="G349" s="196"/>
      <c r="H349" s="196"/>
      <c r="I349" s="196"/>
      <c r="J349" s="197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3.5" customHeight="1">
      <c r="A350" s="195"/>
      <c r="B350" s="196"/>
      <c r="C350" s="196"/>
      <c r="D350" s="196"/>
      <c r="E350" s="196"/>
      <c r="F350" s="196"/>
      <c r="G350" s="196"/>
      <c r="H350" s="196"/>
      <c r="I350" s="196"/>
      <c r="J350" s="197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3.5" customHeight="1">
      <c r="A351" s="195"/>
      <c r="B351" s="196"/>
      <c r="C351" s="196"/>
      <c r="D351" s="196"/>
      <c r="E351" s="196"/>
      <c r="F351" s="196"/>
      <c r="G351" s="196"/>
      <c r="H351" s="196"/>
      <c r="I351" s="196"/>
      <c r="J351" s="197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3.5" customHeight="1">
      <c r="A352" s="195"/>
      <c r="B352" s="196"/>
      <c r="C352" s="196"/>
      <c r="D352" s="196"/>
      <c r="E352" s="196"/>
      <c r="F352" s="196"/>
      <c r="G352" s="196"/>
      <c r="H352" s="196"/>
      <c r="I352" s="196"/>
      <c r="J352" s="197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3.5" customHeight="1">
      <c r="A353" s="195"/>
      <c r="B353" s="196"/>
      <c r="C353" s="196"/>
      <c r="D353" s="196"/>
      <c r="E353" s="196"/>
      <c r="F353" s="196"/>
      <c r="G353" s="196"/>
      <c r="H353" s="196"/>
      <c r="I353" s="196"/>
      <c r="J353" s="197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3.5" customHeight="1">
      <c r="A354" s="195"/>
      <c r="B354" s="196"/>
      <c r="C354" s="196"/>
      <c r="D354" s="196"/>
      <c r="E354" s="196"/>
      <c r="F354" s="196"/>
      <c r="G354" s="196"/>
      <c r="H354" s="196"/>
      <c r="I354" s="196"/>
      <c r="J354" s="197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3.5" customHeight="1">
      <c r="A355" s="195"/>
      <c r="B355" s="196"/>
      <c r="C355" s="196"/>
      <c r="D355" s="196"/>
      <c r="E355" s="196"/>
      <c r="F355" s="196"/>
      <c r="G355" s="196"/>
      <c r="H355" s="196"/>
      <c r="I355" s="196"/>
      <c r="J355" s="197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3.5" customHeight="1">
      <c r="A356" s="195"/>
      <c r="B356" s="196"/>
      <c r="C356" s="196"/>
      <c r="D356" s="196"/>
      <c r="E356" s="196"/>
      <c r="F356" s="196"/>
      <c r="G356" s="196"/>
      <c r="H356" s="196"/>
      <c r="I356" s="196"/>
      <c r="J356" s="197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3.5" customHeight="1">
      <c r="A357" s="195"/>
      <c r="B357" s="196"/>
      <c r="C357" s="196"/>
      <c r="D357" s="196"/>
      <c r="E357" s="196"/>
      <c r="F357" s="196"/>
      <c r="G357" s="196"/>
      <c r="H357" s="196"/>
      <c r="I357" s="196"/>
      <c r="J357" s="197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3.5" customHeight="1">
      <c r="A358" s="195"/>
      <c r="B358" s="196"/>
      <c r="C358" s="196"/>
      <c r="D358" s="196"/>
      <c r="E358" s="196"/>
      <c r="F358" s="196"/>
      <c r="G358" s="196"/>
      <c r="H358" s="196"/>
      <c r="I358" s="196"/>
      <c r="J358" s="197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3.5" customHeight="1">
      <c r="A359" s="195"/>
      <c r="B359" s="196"/>
      <c r="C359" s="196"/>
      <c r="D359" s="196"/>
      <c r="E359" s="196"/>
      <c r="F359" s="196"/>
      <c r="G359" s="196"/>
      <c r="H359" s="196"/>
      <c r="I359" s="196"/>
      <c r="J359" s="197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3.5" customHeight="1">
      <c r="A360" s="195"/>
      <c r="B360" s="196"/>
      <c r="C360" s="196"/>
      <c r="D360" s="196"/>
      <c r="E360" s="196"/>
      <c r="F360" s="196"/>
      <c r="G360" s="196"/>
      <c r="H360" s="196"/>
      <c r="I360" s="196"/>
      <c r="J360" s="197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3.5" customHeight="1">
      <c r="A361" s="195"/>
      <c r="B361" s="196"/>
      <c r="C361" s="196"/>
      <c r="D361" s="196"/>
      <c r="E361" s="196"/>
      <c r="F361" s="196"/>
      <c r="G361" s="196"/>
      <c r="H361" s="196"/>
      <c r="I361" s="196"/>
      <c r="J361" s="197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3.5" customHeight="1">
      <c r="A362" s="195"/>
      <c r="B362" s="196"/>
      <c r="C362" s="196"/>
      <c r="D362" s="196"/>
      <c r="E362" s="196"/>
      <c r="F362" s="196"/>
      <c r="G362" s="196"/>
      <c r="H362" s="196"/>
      <c r="I362" s="196"/>
      <c r="J362" s="197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3.5" customHeight="1">
      <c r="A363" s="195"/>
      <c r="B363" s="196"/>
      <c r="C363" s="196"/>
      <c r="D363" s="196"/>
      <c r="E363" s="196"/>
      <c r="F363" s="196"/>
      <c r="G363" s="196"/>
      <c r="H363" s="196"/>
      <c r="I363" s="196"/>
      <c r="J363" s="197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3.5" customHeight="1">
      <c r="A364" s="195"/>
      <c r="B364" s="196"/>
      <c r="C364" s="196"/>
      <c r="D364" s="196"/>
      <c r="E364" s="196"/>
      <c r="F364" s="196"/>
      <c r="G364" s="196"/>
      <c r="H364" s="196"/>
      <c r="I364" s="196"/>
      <c r="J364" s="197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3.5" customHeight="1">
      <c r="A365" s="195"/>
      <c r="B365" s="196"/>
      <c r="C365" s="196"/>
      <c r="D365" s="196"/>
      <c r="E365" s="196"/>
      <c r="F365" s="196"/>
      <c r="G365" s="196"/>
      <c r="H365" s="196"/>
      <c r="I365" s="196"/>
      <c r="J365" s="197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3.5" customHeight="1">
      <c r="A366" s="195"/>
      <c r="B366" s="196"/>
      <c r="C366" s="196"/>
      <c r="D366" s="196"/>
      <c r="E366" s="196"/>
      <c r="F366" s="196"/>
      <c r="G366" s="196"/>
      <c r="H366" s="196"/>
      <c r="I366" s="196"/>
      <c r="J366" s="197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3.5" customHeight="1">
      <c r="A367" s="195"/>
      <c r="B367" s="196"/>
      <c r="C367" s="196"/>
      <c r="D367" s="196"/>
      <c r="E367" s="196"/>
      <c r="F367" s="196"/>
      <c r="G367" s="196"/>
      <c r="H367" s="196"/>
      <c r="I367" s="196"/>
      <c r="J367" s="197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3.5" customHeight="1">
      <c r="A368" s="195"/>
      <c r="B368" s="196"/>
      <c r="C368" s="196"/>
      <c r="D368" s="196"/>
      <c r="E368" s="196"/>
      <c r="F368" s="196"/>
      <c r="G368" s="196"/>
      <c r="H368" s="196"/>
      <c r="I368" s="196"/>
      <c r="J368" s="197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3.5" customHeight="1">
      <c r="A369" s="195"/>
      <c r="B369" s="196"/>
      <c r="C369" s="196"/>
      <c r="D369" s="196"/>
      <c r="E369" s="196"/>
      <c r="F369" s="196"/>
      <c r="G369" s="196"/>
      <c r="H369" s="196"/>
      <c r="I369" s="196"/>
      <c r="J369" s="197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3.5" customHeight="1">
      <c r="A370" s="195"/>
      <c r="B370" s="196"/>
      <c r="C370" s="196"/>
      <c r="D370" s="196"/>
      <c r="E370" s="196"/>
      <c r="F370" s="196"/>
      <c r="G370" s="196"/>
      <c r="H370" s="196"/>
      <c r="I370" s="196"/>
      <c r="J370" s="197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3.5" customHeight="1">
      <c r="A371" s="195"/>
      <c r="B371" s="196"/>
      <c r="C371" s="196"/>
      <c r="D371" s="196"/>
      <c r="E371" s="196"/>
      <c r="F371" s="196"/>
      <c r="G371" s="196"/>
      <c r="H371" s="196"/>
      <c r="I371" s="196"/>
      <c r="J371" s="197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3.5" customHeight="1">
      <c r="A372" s="195"/>
      <c r="B372" s="196"/>
      <c r="C372" s="196"/>
      <c r="D372" s="196"/>
      <c r="E372" s="196"/>
      <c r="F372" s="196"/>
      <c r="G372" s="196"/>
      <c r="H372" s="196"/>
      <c r="I372" s="196"/>
      <c r="J372" s="197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3.5" customHeight="1">
      <c r="A373" s="195"/>
      <c r="B373" s="196"/>
      <c r="C373" s="196"/>
      <c r="D373" s="196"/>
      <c r="E373" s="196"/>
      <c r="F373" s="196"/>
      <c r="G373" s="196"/>
      <c r="H373" s="196"/>
      <c r="I373" s="196"/>
      <c r="J373" s="197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3.5" customHeight="1">
      <c r="A374" s="195"/>
      <c r="B374" s="196"/>
      <c r="C374" s="196"/>
      <c r="D374" s="196"/>
      <c r="E374" s="196"/>
      <c r="F374" s="196"/>
      <c r="G374" s="196"/>
      <c r="H374" s="196"/>
      <c r="I374" s="196"/>
      <c r="J374" s="197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3.5" customHeight="1">
      <c r="A375" s="195"/>
      <c r="B375" s="196"/>
      <c r="C375" s="196"/>
      <c r="D375" s="196"/>
      <c r="E375" s="196"/>
      <c r="F375" s="196"/>
      <c r="G375" s="196"/>
      <c r="H375" s="196"/>
      <c r="I375" s="196"/>
      <c r="J375" s="197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3.5" customHeight="1">
      <c r="A376" s="195"/>
      <c r="B376" s="196"/>
      <c r="C376" s="196"/>
      <c r="D376" s="196"/>
      <c r="E376" s="196"/>
      <c r="F376" s="196"/>
      <c r="G376" s="196"/>
      <c r="H376" s="196"/>
      <c r="I376" s="196"/>
      <c r="J376" s="197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3.5" customHeight="1">
      <c r="A377" s="195"/>
      <c r="B377" s="196"/>
      <c r="C377" s="196"/>
      <c r="D377" s="196"/>
      <c r="E377" s="196"/>
      <c r="F377" s="196"/>
      <c r="G377" s="196"/>
      <c r="H377" s="196"/>
      <c r="I377" s="196"/>
      <c r="J377" s="197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3.5" customHeight="1">
      <c r="A378" s="195"/>
      <c r="B378" s="196"/>
      <c r="C378" s="196"/>
      <c r="D378" s="196"/>
      <c r="E378" s="196"/>
      <c r="F378" s="196"/>
      <c r="G378" s="196"/>
      <c r="H378" s="196"/>
      <c r="I378" s="196"/>
      <c r="J378" s="197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3.5" customHeight="1">
      <c r="A379" s="195"/>
      <c r="B379" s="196"/>
      <c r="C379" s="196"/>
      <c r="D379" s="196"/>
      <c r="E379" s="196"/>
      <c r="F379" s="196"/>
      <c r="G379" s="196"/>
      <c r="H379" s="196"/>
      <c r="I379" s="196"/>
      <c r="J379" s="197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3.5" customHeight="1">
      <c r="A380" s="195"/>
      <c r="B380" s="196"/>
      <c r="C380" s="196"/>
      <c r="D380" s="196"/>
      <c r="E380" s="196"/>
      <c r="F380" s="196"/>
      <c r="G380" s="196"/>
      <c r="H380" s="196"/>
      <c r="I380" s="196"/>
      <c r="J380" s="197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3.5" customHeight="1">
      <c r="A381" s="195"/>
      <c r="B381" s="196"/>
      <c r="C381" s="196"/>
      <c r="D381" s="196"/>
      <c r="E381" s="196"/>
      <c r="F381" s="196"/>
      <c r="G381" s="196"/>
      <c r="H381" s="196"/>
      <c r="I381" s="196"/>
      <c r="J381" s="197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3.5" customHeight="1">
      <c r="A382" s="195"/>
      <c r="B382" s="196"/>
      <c r="C382" s="196"/>
      <c r="D382" s="196"/>
      <c r="E382" s="196"/>
      <c r="F382" s="196"/>
      <c r="G382" s="196"/>
      <c r="H382" s="196"/>
      <c r="I382" s="196"/>
      <c r="J382" s="197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3.5" customHeight="1">
      <c r="A383" s="195"/>
      <c r="B383" s="196"/>
      <c r="C383" s="196"/>
      <c r="D383" s="196"/>
      <c r="E383" s="196"/>
      <c r="F383" s="196"/>
      <c r="G383" s="196"/>
      <c r="H383" s="196"/>
      <c r="I383" s="196"/>
      <c r="J383" s="197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3.5" customHeight="1">
      <c r="A384" s="195"/>
      <c r="B384" s="196"/>
      <c r="C384" s="196"/>
      <c r="D384" s="196"/>
      <c r="E384" s="196"/>
      <c r="F384" s="196"/>
      <c r="G384" s="196"/>
      <c r="H384" s="196"/>
      <c r="I384" s="196"/>
      <c r="J384" s="197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3.5" customHeight="1">
      <c r="A385" s="195"/>
      <c r="B385" s="196"/>
      <c r="C385" s="196"/>
      <c r="D385" s="196"/>
      <c r="E385" s="196"/>
      <c r="F385" s="196"/>
      <c r="G385" s="196"/>
      <c r="H385" s="196"/>
      <c r="I385" s="196"/>
      <c r="J385" s="197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3.5" customHeight="1">
      <c r="A386" s="195"/>
      <c r="B386" s="196"/>
      <c r="C386" s="196"/>
      <c r="D386" s="196"/>
      <c r="E386" s="196"/>
      <c r="F386" s="196"/>
      <c r="G386" s="196"/>
      <c r="H386" s="196"/>
      <c r="I386" s="196"/>
      <c r="J386" s="197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3.5" customHeight="1">
      <c r="A387" s="195"/>
      <c r="B387" s="196"/>
      <c r="C387" s="196"/>
      <c r="D387" s="196"/>
      <c r="E387" s="196"/>
      <c r="F387" s="196"/>
      <c r="G387" s="196"/>
      <c r="H387" s="196"/>
      <c r="I387" s="196"/>
      <c r="J387" s="197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3.5" customHeight="1">
      <c r="A388" s="195"/>
      <c r="B388" s="196"/>
      <c r="C388" s="196"/>
      <c r="D388" s="196"/>
      <c r="E388" s="196"/>
      <c r="F388" s="196"/>
      <c r="G388" s="196"/>
      <c r="H388" s="196"/>
      <c r="I388" s="196"/>
      <c r="J388" s="197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3.5" customHeight="1">
      <c r="A389" s="195"/>
      <c r="B389" s="196"/>
      <c r="C389" s="196"/>
      <c r="D389" s="196"/>
      <c r="E389" s="196"/>
      <c r="F389" s="196"/>
      <c r="G389" s="196"/>
      <c r="H389" s="196"/>
      <c r="I389" s="196"/>
      <c r="J389" s="197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3.5" customHeight="1">
      <c r="A390" s="195"/>
      <c r="B390" s="196"/>
      <c r="C390" s="196"/>
      <c r="D390" s="196"/>
      <c r="E390" s="196"/>
      <c r="F390" s="196"/>
      <c r="G390" s="196"/>
      <c r="H390" s="196"/>
      <c r="I390" s="196"/>
      <c r="J390" s="197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3.5" customHeight="1">
      <c r="A391" s="195"/>
      <c r="B391" s="196"/>
      <c r="C391" s="196"/>
      <c r="D391" s="196"/>
      <c r="E391" s="196"/>
      <c r="F391" s="196"/>
      <c r="G391" s="196"/>
      <c r="H391" s="196"/>
      <c r="I391" s="196"/>
      <c r="J391" s="197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3.5" customHeight="1">
      <c r="A392" s="195"/>
      <c r="B392" s="196"/>
      <c r="C392" s="196"/>
      <c r="D392" s="196"/>
      <c r="E392" s="196"/>
      <c r="F392" s="196"/>
      <c r="G392" s="196"/>
      <c r="H392" s="196"/>
      <c r="I392" s="196"/>
      <c r="J392" s="197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3.5" customHeight="1">
      <c r="A393" s="195"/>
      <c r="B393" s="196"/>
      <c r="C393" s="196"/>
      <c r="D393" s="196"/>
      <c r="E393" s="196"/>
      <c r="F393" s="196"/>
      <c r="G393" s="196"/>
      <c r="H393" s="196"/>
      <c r="I393" s="196"/>
      <c r="J393" s="197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3.5" customHeight="1">
      <c r="A394" s="195"/>
      <c r="B394" s="196"/>
      <c r="C394" s="196"/>
      <c r="D394" s="196"/>
      <c r="E394" s="196"/>
      <c r="F394" s="196"/>
      <c r="G394" s="196"/>
      <c r="H394" s="196"/>
      <c r="I394" s="196"/>
      <c r="J394" s="197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3.5" customHeight="1">
      <c r="A395" s="195"/>
      <c r="B395" s="196"/>
      <c r="C395" s="196"/>
      <c r="D395" s="196"/>
      <c r="E395" s="196"/>
      <c r="F395" s="196"/>
      <c r="G395" s="196"/>
      <c r="H395" s="196"/>
      <c r="I395" s="196"/>
      <c r="J395" s="197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3.5" customHeight="1">
      <c r="A396" s="195"/>
      <c r="B396" s="196"/>
      <c r="C396" s="196"/>
      <c r="D396" s="196"/>
      <c r="E396" s="196"/>
      <c r="F396" s="196"/>
      <c r="G396" s="196"/>
      <c r="H396" s="196"/>
      <c r="I396" s="196"/>
      <c r="J396" s="197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3.5" customHeight="1">
      <c r="A397" s="195"/>
      <c r="B397" s="196"/>
      <c r="C397" s="196"/>
      <c r="D397" s="196"/>
      <c r="E397" s="196"/>
      <c r="F397" s="196"/>
      <c r="G397" s="196"/>
      <c r="H397" s="196"/>
      <c r="I397" s="196"/>
      <c r="J397" s="197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3.5" customHeight="1">
      <c r="A398" s="195"/>
      <c r="B398" s="196"/>
      <c r="C398" s="196"/>
      <c r="D398" s="196"/>
      <c r="E398" s="196"/>
      <c r="F398" s="196"/>
      <c r="G398" s="196"/>
      <c r="H398" s="196"/>
      <c r="I398" s="196"/>
      <c r="J398" s="197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3.5" customHeight="1">
      <c r="A399" s="195"/>
      <c r="B399" s="196"/>
      <c r="C399" s="196"/>
      <c r="D399" s="196"/>
      <c r="E399" s="196"/>
      <c r="F399" s="196"/>
      <c r="G399" s="196"/>
      <c r="H399" s="196"/>
      <c r="I399" s="196"/>
      <c r="J399" s="197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3.5" customHeight="1">
      <c r="A400" s="195"/>
      <c r="B400" s="196"/>
      <c r="C400" s="196"/>
      <c r="D400" s="196"/>
      <c r="E400" s="196"/>
      <c r="F400" s="196"/>
      <c r="G400" s="196"/>
      <c r="H400" s="196"/>
      <c r="I400" s="196"/>
      <c r="J400" s="197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3.5" customHeight="1">
      <c r="A401" s="195"/>
      <c r="B401" s="196"/>
      <c r="C401" s="196"/>
      <c r="D401" s="196"/>
      <c r="E401" s="196"/>
      <c r="F401" s="196"/>
      <c r="G401" s="196"/>
      <c r="H401" s="196"/>
      <c r="I401" s="196"/>
      <c r="J401" s="197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3.5" customHeight="1">
      <c r="A402" s="195"/>
      <c r="B402" s="196"/>
      <c r="C402" s="196"/>
      <c r="D402" s="196"/>
      <c r="E402" s="196"/>
      <c r="F402" s="196"/>
      <c r="G402" s="196"/>
      <c r="H402" s="196"/>
      <c r="I402" s="196"/>
      <c r="J402" s="197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3.5" customHeight="1">
      <c r="A403" s="195"/>
      <c r="B403" s="196"/>
      <c r="C403" s="196"/>
      <c r="D403" s="196"/>
      <c r="E403" s="196"/>
      <c r="F403" s="196"/>
      <c r="G403" s="196"/>
      <c r="H403" s="196"/>
      <c r="I403" s="196"/>
      <c r="J403" s="197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3.5" customHeight="1">
      <c r="A404" s="195"/>
      <c r="B404" s="196"/>
      <c r="C404" s="196"/>
      <c r="D404" s="196"/>
      <c r="E404" s="196"/>
      <c r="F404" s="196"/>
      <c r="G404" s="196"/>
      <c r="H404" s="196"/>
      <c r="I404" s="196"/>
      <c r="J404" s="197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3.5" customHeight="1">
      <c r="A405" s="195"/>
      <c r="B405" s="196"/>
      <c r="C405" s="196"/>
      <c r="D405" s="196"/>
      <c r="E405" s="196"/>
      <c r="F405" s="196"/>
      <c r="G405" s="196"/>
      <c r="H405" s="196"/>
      <c r="I405" s="196"/>
      <c r="J405" s="197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3.5" customHeight="1">
      <c r="A406" s="195"/>
      <c r="B406" s="196"/>
      <c r="C406" s="196"/>
      <c r="D406" s="196"/>
      <c r="E406" s="196"/>
      <c r="F406" s="196"/>
      <c r="G406" s="196"/>
      <c r="H406" s="196"/>
      <c r="I406" s="196"/>
      <c r="J406" s="197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3.5" customHeight="1">
      <c r="A407" s="195"/>
      <c r="B407" s="196"/>
      <c r="C407" s="196"/>
      <c r="D407" s="196"/>
      <c r="E407" s="196"/>
      <c r="F407" s="196"/>
      <c r="G407" s="196"/>
      <c r="H407" s="196"/>
      <c r="I407" s="196"/>
      <c r="J407" s="197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3.5" customHeight="1">
      <c r="A408" s="195"/>
      <c r="B408" s="196"/>
      <c r="C408" s="196"/>
      <c r="D408" s="196"/>
      <c r="E408" s="196"/>
      <c r="F408" s="196"/>
      <c r="G408" s="196"/>
      <c r="H408" s="196"/>
      <c r="I408" s="196"/>
      <c r="J408" s="197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3.5" customHeight="1">
      <c r="A409" s="195"/>
      <c r="B409" s="196"/>
      <c r="C409" s="196"/>
      <c r="D409" s="196"/>
      <c r="E409" s="196"/>
      <c r="F409" s="196"/>
      <c r="G409" s="196"/>
      <c r="H409" s="196"/>
      <c r="I409" s="196"/>
      <c r="J409" s="197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3.5" customHeight="1">
      <c r="A410" s="195"/>
      <c r="B410" s="196"/>
      <c r="C410" s="196"/>
      <c r="D410" s="196"/>
      <c r="E410" s="196"/>
      <c r="F410" s="196"/>
      <c r="G410" s="196"/>
      <c r="H410" s="196"/>
      <c r="I410" s="196"/>
      <c r="J410" s="197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3.5" customHeight="1">
      <c r="A411" s="195"/>
      <c r="B411" s="196"/>
      <c r="C411" s="196"/>
      <c r="D411" s="196"/>
      <c r="E411" s="196"/>
      <c r="F411" s="196"/>
      <c r="G411" s="196"/>
      <c r="H411" s="196"/>
      <c r="I411" s="196"/>
      <c r="J411" s="197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3.5" customHeight="1">
      <c r="A412" s="195"/>
      <c r="B412" s="196"/>
      <c r="C412" s="196"/>
      <c r="D412" s="196"/>
      <c r="E412" s="196"/>
      <c r="F412" s="196"/>
      <c r="G412" s="196"/>
      <c r="H412" s="196"/>
      <c r="I412" s="196"/>
      <c r="J412" s="197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3.5" customHeight="1">
      <c r="A413" s="195"/>
      <c r="B413" s="196"/>
      <c r="C413" s="196"/>
      <c r="D413" s="196"/>
      <c r="E413" s="196"/>
      <c r="F413" s="196"/>
      <c r="G413" s="196"/>
      <c r="H413" s="196"/>
      <c r="I413" s="196"/>
      <c r="J413" s="197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3.5" customHeight="1">
      <c r="A414" s="195"/>
      <c r="B414" s="196"/>
      <c r="C414" s="196"/>
      <c r="D414" s="196"/>
      <c r="E414" s="196"/>
      <c r="F414" s="196"/>
      <c r="G414" s="196"/>
      <c r="H414" s="196"/>
      <c r="I414" s="196"/>
      <c r="J414" s="197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3.5" customHeight="1">
      <c r="A415" s="195"/>
      <c r="B415" s="196"/>
      <c r="C415" s="196"/>
      <c r="D415" s="196"/>
      <c r="E415" s="196"/>
      <c r="F415" s="196"/>
      <c r="G415" s="196"/>
      <c r="H415" s="196"/>
      <c r="I415" s="196"/>
      <c r="J415" s="197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3.5" customHeight="1">
      <c r="A416" s="195"/>
      <c r="B416" s="196"/>
      <c r="C416" s="196"/>
      <c r="D416" s="196"/>
      <c r="E416" s="196"/>
      <c r="F416" s="196"/>
      <c r="G416" s="196"/>
      <c r="H416" s="196"/>
      <c r="I416" s="196"/>
      <c r="J416" s="197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3.5" customHeight="1">
      <c r="A417" s="195"/>
      <c r="B417" s="196"/>
      <c r="C417" s="196"/>
      <c r="D417" s="196"/>
      <c r="E417" s="196"/>
      <c r="F417" s="196"/>
      <c r="G417" s="196"/>
      <c r="H417" s="196"/>
      <c r="I417" s="196"/>
      <c r="J417" s="197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3.5" customHeight="1">
      <c r="A418" s="195"/>
      <c r="B418" s="196"/>
      <c r="C418" s="196"/>
      <c r="D418" s="196"/>
      <c r="E418" s="196"/>
      <c r="F418" s="196"/>
      <c r="G418" s="196"/>
      <c r="H418" s="196"/>
      <c r="I418" s="196"/>
      <c r="J418" s="197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3.5" customHeight="1">
      <c r="A419" s="195"/>
      <c r="B419" s="196"/>
      <c r="C419" s="196"/>
      <c r="D419" s="196"/>
      <c r="E419" s="196"/>
      <c r="F419" s="196"/>
      <c r="G419" s="196"/>
      <c r="H419" s="196"/>
      <c r="I419" s="196"/>
      <c r="J419" s="197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3.5" customHeight="1">
      <c r="A420" s="195"/>
      <c r="B420" s="196"/>
      <c r="C420" s="196"/>
      <c r="D420" s="196"/>
      <c r="E420" s="196"/>
      <c r="F420" s="196"/>
      <c r="G420" s="196"/>
      <c r="H420" s="196"/>
      <c r="I420" s="196"/>
      <c r="J420" s="197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3.5" customHeight="1">
      <c r="A421" s="195"/>
      <c r="B421" s="196"/>
      <c r="C421" s="196"/>
      <c r="D421" s="196"/>
      <c r="E421" s="196"/>
      <c r="F421" s="196"/>
      <c r="G421" s="196"/>
      <c r="H421" s="196"/>
      <c r="I421" s="196"/>
      <c r="J421" s="197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3.5" customHeight="1">
      <c r="A422" s="195"/>
      <c r="B422" s="196"/>
      <c r="C422" s="196"/>
      <c r="D422" s="196"/>
      <c r="E422" s="196"/>
      <c r="F422" s="196"/>
      <c r="G422" s="196"/>
      <c r="H422" s="196"/>
      <c r="I422" s="196"/>
      <c r="J422" s="197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3.5" customHeight="1">
      <c r="A423" s="195"/>
      <c r="B423" s="196"/>
      <c r="C423" s="196"/>
      <c r="D423" s="196"/>
      <c r="E423" s="196"/>
      <c r="F423" s="196"/>
      <c r="G423" s="196"/>
      <c r="H423" s="196"/>
      <c r="I423" s="196"/>
      <c r="J423" s="197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3.5" customHeight="1">
      <c r="A424" s="195"/>
      <c r="B424" s="196"/>
      <c r="C424" s="196"/>
      <c r="D424" s="196"/>
      <c r="E424" s="196"/>
      <c r="F424" s="196"/>
      <c r="G424" s="196"/>
      <c r="H424" s="196"/>
      <c r="I424" s="196"/>
      <c r="J424" s="197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3.5" customHeight="1">
      <c r="A425" s="195"/>
      <c r="B425" s="196"/>
      <c r="C425" s="196"/>
      <c r="D425" s="196"/>
      <c r="E425" s="196"/>
      <c r="F425" s="196"/>
      <c r="G425" s="196"/>
      <c r="H425" s="196"/>
      <c r="I425" s="196"/>
      <c r="J425" s="197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3.5" customHeight="1">
      <c r="A426" s="195"/>
      <c r="B426" s="196"/>
      <c r="C426" s="196"/>
      <c r="D426" s="196"/>
      <c r="E426" s="196"/>
      <c r="F426" s="196"/>
      <c r="G426" s="196"/>
      <c r="H426" s="196"/>
      <c r="I426" s="196"/>
      <c r="J426" s="197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3.5" customHeight="1">
      <c r="A427" s="195"/>
      <c r="B427" s="196"/>
      <c r="C427" s="196"/>
      <c r="D427" s="196"/>
      <c r="E427" s="196"/>
      <c r="F427" s="196"/>
      <c r="G427" s="196"/>
      <c r="H427" s="196"/>
      <c r="I427" s="196"/>
      <c r="J427" s="197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3.5" customHeight="1">
      <c r="A428" s="195"/>
      <c r="B428" s="196"/>
      <c r="C428" s="196"/>
      <c r="D428" s="196"/>
      <c r="E428" s="196"/>
      <c r="F428" s="196"/>
      <c r="G428" s="196"/>
      <c r="H428" s="196"/>
      <c r="I428" s="196"/>
      <c r="J428" s="197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3.5" customHeight="1">
      <c r="A429" s="195"/>
      <c r="B429" s="196"/>
      <c r="C429" s="196"/>
      <c r="D429" s="196"/>
      <c r="E429" s="196"/>
      <c r="F429" s="196"/>
      <c r="G429" s="196"/>
      <c r="H429" s="196"/>
      <c r="I429" s="196"/>
      <c r="J429" s="197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3.5" customHeight="1">
      <c r="A430" s="195"/>
      <c r="B430" s="196"/>
      <c r="C430" s="196"/>
      <c r="D430" s="196"/>
      <c r="E430" s="196"/>
      <c r="F430" s="196"/>
      <c r="G430" s="196"/>
      <c r="H430" s="196"/>
      <c r="I430" s="196"/>
      <c r="J430" s="197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3.5" customHeight="1">
      <c r="A431" s="195"/>
      <c r="B431" s="196"/>
      <c r="C431" s="196"/>
      <c r="D431" s="196"/>
      <c r="E431" s="196"/>
      <c r="F431" s="196"/>
      <c r="G431" s="196"/>
      <c r="H431" s="196"/>
      <c r="I431" s="196"/>
      <c r="J431" s="197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3.5" customHeight="1">
      <c r="A432" s="195"/>
      <c r="B432" s="196"/>
      <c r="C432" s="196"/>
      <c r="D432" s="196"/>
      <c r="E432" s="196"/>
      <c r="F432" s="196"/>
      <c r="G432" s="196"/>
      <c r="H432" s="196"/>
      <c r="I432" s="196"/>
      <c r="J432" s="197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3.5" customHeight="1">
      <c r="A433" s="195"/>
      <c r="B433" s="196"/>
      <c r="C433" s="196"/>
      <c r="D433" s="196"/>
      <c r="E433" s="196"/>
      <c r="F433" s="196"/>
      <c r="G433" s="196"/>
      <c r="H433" s="196"/>
      <c r="I433" s="196"/>
      <c r="J433" s="197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3.5" customHeight="1">
      <c r="A434" s="195"/>
      <c r="B434" s="196"/>
      <c r="C434" s="196"/>
      <c r="D434" s="196"/>
      <c r="E434" s="196"/>
      <c r="F434" s="196"/>
      <c r="G434" s="196"/>
      <c r="H434" s="196"/>
      <c r="I434" s="196"/>
      <c r="J434" s="197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3.5" customHeight="1">
      <c r="A435" s="195"/>
      <c r="B435" s="196"/>
      <c r="C435" s="196"/>
      <c r="D435" s="196"/>
      <c r="E435" s="196"/>
      <c r="F435" s="196"/>
      <c r="G435" s="196"/>
      <c r="H435" s="196"/>
      <c r="I435" s="196"/>
      <c r="J435" s="197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3.5" customHeight="1">
      <c r="A436" s="195"/>
      <c r="B436" s="196"/>
      <c r="C436" s="196"/>
      <c r="D436" s="196"/>
      <c r="E436" s="196"/>
      <c r="F436" s="196"/>
      <c r="G436" s="196"/>
      <c r="H436" s="196"/>
      <c r="I436" s="196"/>
      <c r="J436" s="197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3.5" customHeight="1">
      <c r="A437" s="195"/>
      <c r="B437" s="196"/>
      <c r="C437" s="196"/>
      <c r="D437" s="196"/>
      <c r="E437" s="196"/>
      <c r="F437" s="196"/>
      <c r="G437" s="196"/>
      <c r="H437" s="196"/>
      <c r="I437" s="196"/>
      <c r="J437" s="197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3.5" customHeight="1">
      <c r="A438" s="195"/>
      <c r="B438" s="196"/>
      <c r="C438" s="196"/>
      <c r="D438" s="196"/>
      <c r="E438" s="196"/>
      <c r="F438" s="196"/>
      <c r="G438" s="196"/>
      <c r="H438" s="196"/>
      <c r="I438" s="196"/>
      <c r="J438" s="197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3.5" customHeight="1">
      <c r="A439" s="195"/>
      <c r="B439" s="196"/>
      <c r="C439" s="196"/>
      <c r="D439" s="196"/>
      <c r="E439" s="196"/>
      <c r="F439" s="196"/>
      <c r="G439" s="196"/>
      <c r="H439" s="196"/>
      <c r="I439" s="196"/>
      <c r="J439" s="197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3.5" customHeight="1">
      <c r="A440" s="195"/>
      <c r="B440" s="196"/>
      <c r="C440" s="196"/>
      <c r="D440" s="196"/>
      <c r="E440" s="196"/>
      <c r="F440" s="196"/>
      <c r="G440" s="196"/>
      <c r="H440" s="196"/>
      <c r="I440" s="196"/>
      <c r="J440" s="197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3.5" customHeight="1">
      <c r="A441" s="195"/>
      <c r="B441" s="196"/>
      <c r="C441" s="196"/>
      <c r="D441" s="196"/>
      <c r="E441" s="196"/>
      <c r="F441" s="196"/>
      <c r="G441" s="196"/>
      <c r="H441" s="196"/>
      <c r="I441" s="196"/>
      <c r="J441" s="197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3.5" customHeight="1">
      <c r="A442" s="195"/>
      <c r="B442" s="196"/>
      <c r="C442" s="196"/>
      <c r="D442" s="196"/>
      <c r="E442" s="196"/>
      <c r="F442" s="196"/>
      <c r="G442" s="196"/>
      <c r="H442" s="196"/>
      <c r="I442" s="196"/>
      <c r="J442" s="197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3.5" customHeight="1">
      <c r="A443" s="195"/>
      <c r="B443" s="196"/>
      <c r="C443" s="196"/>
      <c r="D443" s="196"/>
      <c r="E443" s="196"/>
      <c r="F443" s="196"/>
      <c r="G443" s="196"/>
      <c r="H443" s="196"/>
      <c r="I443" s="196"/>
      <c r="J443" s="197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3.5" customHeight="1">
      <c r="A444" s="195"/>
      <c r="B444" s="196"/>
      <c r="C444" s="196"/>
      <c r="D444" s="196"/>
      <c r="E444" s="196"/>
      <c r="F444" s="196"/>
      <c r="G444" s="196"/>
      <c r="H444" s="196"/>
      <c r="I444" s="196"/>
      <c r="J444" s="197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3.5" customHeight="1">
      <c r="A445" s="195"/>
      <c r="B445" s="196"/>
      <c r="C445" s="196"/>
      <c r="D445" s="196"/>
      <c r="E445" s="196"/>
      <c r="F445" s="196"/>
      <c r="G445" s="196"/>
      <c r="H445" s="196"/>
      <c r="I445" s="196"/>
      <c r="J445" s="197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3.5" customHeight="1">
      <c r="A446" s="195"/>
      <c r="B446" s="196"/>
      <c r="C446" s="196"/>
      <c r="D446" s="196"/>
      <c r="E446" s="196"/>
      <c r="F446" s="196"/>
      <c r="G446" s="196"/>
      <c r="H446" s="196"/>
      <c r="I446" s="196"/>
      <c r="J446" s="197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3.5" customHeight="1">
      <c r="A447" s="195"/>
      <c r="B447" s="196"/>
      <c r="C447" s="196"/>
      <c r="D447" s="196"/>
      <c r="E447" s="196"/>
      <c r="F447" s="196"/>
      <c r="G447" s="196"/>
      <c r="H447" s="196"/>
      <c r="I447" s="196"/>
      <c r="J447" s="197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3.5" customHeight="1">
      <c r="A448" s="195"/>
      <c r="B448" s="196"/>
      <c r="C448" s="196"/>
      <c r="D448" s="196"/>
      <c r="E448" s="196"/>
      <c r="F448" s="196"/>
      <c r="G448" s="196"/>
      <c r="H448" s="196"/>
      <c r="I448" s="196"/>
      <c r="J448" s="197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3.5" customHeight="1">
      <c r="A449" s="195"/>
      <c r="B449" s="196"/>
      <c r="C449" s="196"/>
      <c r="D449" s="196"/>
      <c r="E449" s="196"/>
      <c r="F449" s="196"/>
      <c r="G449" s="196"/>
      <c r="H449" s="196"/>
      <c r="I449" s="196"/>
      <c r="J449" s="197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3.5" customHeight="1">
      <c r="A450" s="195"/>
      <c r="B450" s="196"/>
      <c r="C450" s="196"/>
      <c r="D450" s="196"/>
      <c r="E450" s="196"/>
      <c r="F450" s="196"/>
      <c r="G450" s="196"/>
      <c r="H450" s="196"/>
      <c r="I450" s="196"/>
      <c r="J450" s="197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3.5" customHeight="1">
      <c r="A451" s="195"/>
      <c r="B451" s="196"/>
      <c r="C451" s="196"/>
      <c r="D451" s="196"/>
      <c r="E451" s="196"/>
      <c r="F451" s="196"/>
      <c r="G451" s="196"/>
      <c r="H451" s="196"/>
      <c r="I451" s="196"/>
      <c r="J451" s="197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3.5" customHeight="1">
      <c r="A452" s="195"/>
      <c r="B452" s="196"/>
      <c r="C452" s="196"/>
      <c r="D452" s="196"/>
      <c r="E452" s="196"/>
      <c r="F452" s="196"/>
      <c r="G452" s="196"/>
      <c r="H452" s="196"/>
      <c r="I452" s="196"/>
      <c r="J452" s="197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3.5" customHeight="1">
      <c r="A453" s="195"/>
      <c r="B453" s="196"/>
      <c r="C453" s="196"/>
      <c r="D453" s="196"/>
      <c r="E453" s="196"/>
      <c r="F453" s="196"/>
      <c r="G453" s="196"/>
      <c r="H453" s="196"/>
      <c r="I453" s="196"/>
      <c r="J453" s="197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3.5" customHeight="1">
      <c r="A454" s="195"/>
      <c r="B454" s="196"/>
      <c r="C454" s="196"/>
      <c r="D454" s="196"/>
      <c r="E454" s="196"/>
      <c r="F454" s="196"/>
      <c r="G454" s="196"/>
      <c r="H454" s="196"/>
      <c r="I454" s="196"/>
      <c r="J454" s="197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3.5" customHeight="1">
      <c r="A455" s="195"/>
      <c r="B455" s="196"/>
      <c r="C455" s="196"/>
      <c r="D455" s="196"/>
      <c r="E455" s="196"/>
      <c r="F455" s="196"/>
      <c r="G455" s="196"/>
      <c r="H455" s="196"/>
      <c r="I455" s="196"/>
      <c r="J455" s="197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3.5" customHeight="1">
      <c r="A456" s="195"/>
      <c r="B456" s="196"/>
      <c r="C456" s="196"/>
      <c r="D456" s="196"/>
      <c r="E456" s="196"/>
      <c r="F456" s="196"/>
      <c r="G456" s="196"/>
      <c r="H456" s="196"/>
      <c r="I456" s="196"/>
      <c r="J456" s="197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3.5" customHeight="1">
      <c r="A457" s="195"/>
      <c r="B457" s="196"/>
      <c r="C457" s="196"/>
      <c r="D457" s="196"/>
      <c r="E457" s="196"/>
      <c r="F457" s="196"/>
      <c r="G457" s="196"/>
      <c r="H457" s="196"/>
      <c r="I457" s="196"/>
      <c r="J457" s="197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3.5" customHeight="1">
      <c r="A458" s="195"/>
      <c r="B458" s="196"/>
      <c r="C458" s="196"/>
      <c r="D458" s="196"/>
      <c r="E458" s="196"/>
      <c r="F458" s="196"/>
      <c r="G458" s="196"/>
      <c r="H458" s="196"/>
      <c r="I458" s="196"/>
      <c r="J458" s="197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3.5" customHeight="1">
      <c r="A459" s="195"/>
      <c r="B459" s="196"/>
      <c r="C459" s="196"/>
      <c r="D459" s="196"/>
      <c r="E459" s="196"/>
      <c r="F459" s="196"/>
      <c r="G459" s="196"/>
      <c r="H459" s="196"/>
      <c r="I459" s="196"/>
      <c r="J459" s="197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3.5" customHeight="1">
      <c r="A460" s="195"/>
      <c r="B460" s="196"/>
      <c r="C460" s="196"/>
      <c r="D460" s="196"/>
      <c r="E460" s="196"/>
      <c r="F460" s="196"/>
      <c r="G460" s="196"/>
      <c r="H460" s="196"/>
      <c r="I460" s="196"/>
      <c r="J460" s="197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3.5" customHeight="1">
      <c r="A461" s="195"/>
      <c r="B461" s="196"/>
      <c r="C461" s="196"/>
      <c r="D461" s="196"/>
      <c r="E461" s="196"/>
      <c r="F461" s="196"/>
      <c r="G461" s="196"/>
      <c r="H461" s="196"/>
      <c r="I461" s="196"/>
      <c r="J461" s="197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3.5" customHeight="1">
      <c r="A462" s="195"/>
      <c r="B462" s="196"/>
      <c r="C462" s="196"/>
      <c r="D462" s="196"/>
      <c r="E462" s="196"/>
      <c r="F462" s="196"/>
      <c r="G462" s="196"/>
      <c r="H462" s="196"/>
      <c r="I462" s="196"/>
      <c r="J462" s="197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3.5" customHeight="1">
      <c r="A463" s="195"/>
      <c r="B463" s="196"/>
      <c r="C463" s="196"/>
      <c r="D463" s="196"/>
      <c r="E463" s="196"/>
      <c r="F463" s="196"/>
      <c r="G463" s="196"/>
      <c r="H463" s="196"/>
      <c r="I463" s="196"/>
      <c r="J463" s="197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3.5" customHeight="1">
      <c r="A464" s="195"/>
      <c r="B464" s="196"/>
      <c r="C464" s="196"/>
      <c r="D464" s="196"/>
      <c r="E464" s="196"/>
      <c r="F464" s="196"/>
      <c r="G464" s="196"/>
      <c r="H464" s="196"/>
      <c r="I464" s="196"/>
      <c r="J464" s="197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3.5" customHeight="1">
      <c r="A465" s="195"/>
      <c r="B465" s="196"/>
      <c r="C465" s="196"/>
      <c r="D465" s="196"/>
      <c r="E465" s="196"/>
      <c r="F465" s="196"/>
      <c r="G465" s="196"/>
      <c r="H465" s="196"/>
      <c r="I465" s="196"/>
      <c r="J465" s="197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3.5" customHeight="1">
      <c r="A466" s="195"/>
      <c r="B466" s="196"/>
      <c r="C466" s="196"/>
      <c r="D466" s="196"/>
      <c r="E466" s="196"/>
      <c r="F466" s="196"/>
      <c r="G466" s="196"/>
      <c r="H466" s="196"/>
      <c r="I466" s="196"/>
      <c r="J466" s="197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3.5" customHeight="1">
      <c r="A467" s="195"/>
      <c r="B467" s="196"/>
      <c r="C467" s="196"/>
      <c r="D467" s="196"/>
      <c r="E467" s="196"/>
      <c r="F467" s="196"/>
      <c r="G467" s="196"/>
      <c r="H467" s="196"/>
      <c r="I467" s="196"/>
      <c r="J467" s="197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3.5" customHeight="1">
      <c r="A468" s="195"/>
      <c r="B468" s="196"/>
      <c r="C468" s="196"/>
      <c r="D468" s="196"/>
      <c r="E468" s="196"/>
      <c r="F468" s="196"/>
      <c r="G468" s="196"/>
      <c r="H468" s="196"/>
      <c r="I468" s="196"/>
      <c r="J468" s="197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3.5" customHeight="1">
      <c r="A469" s="195"/>
      <c r="B469" s="196"/>
      <c r="C469" s="196"/>
      <c r="D469" s="196"/>
      <c r="E469" s="196"/>
      <c r="F469" s="196"/>
      <c r="G469" s="196"/>
      <c r="H469" s="196"/>
      <c r="I469" s="196"/>
      <c r="J469" s="197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3.5" customHeight="1">
      <c r="A470" s="195"/>
      <c r="B470" s="196"/>
      <c r="C470" s="196"/>
      <c r="D470" s="196"/>
      <c r="E470" s="196"/>
      <c r="F470" s="196"/>
      <c r="G470" s="196"/>
      <c r="H470" s="196"/>
      <c r="I470" s="196"/>
      <c r="J470" s="197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3.5" customHeight="1">
      <c r="A471" s="195"/>
      <c r="B471" s="196"/>
      <c r="C471" s="196"/>
      <c r="D471" s="196"/>
      <c r="E471" s="196"/>
      <c r="F471" s="196"/>
      <c r="G471" s="196"/>
      <c r="H471" s="196"/>
      <c r="I471" s="196"/>
      <c r="J471" s="197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3.5" customHeight="1">
      <c r="A472" s="195"/>
      <c r="B472" s="196"/>
      <c r="C472" s="196"/>
      <c r="D472" s="196"/>
      <c r="E472" s="196"/>
      <c r="F472" s="196"/>
      <c r="G472" s="196"/>
      <c r="H472" s="196"/>
      <c r="I472" s="196"/>
      <c r="J472" s="197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3.5" customHeight="1">
      <c r="A473" s="195"/>
      <c r="B473" s="196"/>
      <c r="C473" s="196"/>
      <c r="D473" s="196"/>
      <c r="E473" s="196"/>
      <c r="F473" s="196"/>
      <c r="G473" s="196"/>
      <c r="H473" s="196"/>
      <c r="I473" s="196"/>
      <c r="J473" s="197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3.5" customHeight="1">
      <c r="A474" s="195"/>
      <c r="B474" s="196"/>
      <c r="C474" s="196"/>
      <c r="D474" s="196"/>
      <c r="E474" s="196"/>
      <c r="F474" s="196"/>
      <c r="G474" s="196"/>
      <c r="H474" s="196"/>
      <c r="I474" s="196"/>
      <c r="J474" s="197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3.5" customHeight="1">
      <c r="A475" s="195"/>
      <c r="B475" s="196"/>
      <c r="C475" s="196"/>
      <c r="D475" s="196"/>
      <c r="E475" s="196"/>
      <c r="F475" s="196"/>
      <c r="G475" s="196"/>
      <c r="H475" s="196"/>
      <c r="I475" s="196"/>
      <c r="J475" s="197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3.5" customHeight="1">
      <c r="A476" s="195"/>
      <c r="B476" s="196"/>
      <c r="C476" s="196"/>
      <c r="D476" s="196"/>
      <c r="E476" s="196"/>
      <c r="F476" s="196"/>
      <c r="G476" s="196"/>
      <c r="H476" s="196"/>
      <c r="I476" s="196"/>
      <c r="J476" s="197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3.5" customHeight="1">
      <c r="A477" s="195"/>
      <c r="B477" s="196"/>
      <c r="C477" s="196"/>
      <c r="D477" s="196"/>
      <c r="E477" s="196"/>
      <c r="F477" s="196"/>
      <c r="G477" s="196"/>
      <c r="H477" s="196"/>
      <c r="I477" s="196"/>
      <c r="J477" s="197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3.5" customHeight="1">
      <c r="A478" s="195"/>
      <c r="B478" s="196"/>
      <c r="C478" s="196"/>
      <c r="D478" s="196"/>
      <c r="E478" s="196"/>
      <c r="F478" s="196"/>
      <c r="G478" s="196"/>
      <c r="H478" s="196"/>
      <c r="I478" s="196"/>
      <c r="J478" s="197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3.5" customHeight="1">
      <c r="A479" s="195"/>
      <c r="B479" s="196"/>
      <c r="C479" s="196"/>
      <c r="D479" s="196"/>
      <c r="E479" s="196"/>
      <c r="F479" s="196"/>
      <c r="G479" s="196"/>
      <c r="H479" s="196"/>
      <c r="I479" s="196"/>
      <c r="J479" s="197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3.5" customHeight="1">
      <c r="A480" s="195"/>
      <c r="B480" s="196"/>
      <c r="C480" s="196"/>
      <c r="D480" s="196"/>
      <c r="E480" s="196"/>
      <c r="F480" s="196"/>
      <c r="G480" s="196"/>
      <c r="H480" s="196"/>
      <c r="I480" s="196"/>
      <c r="J480" s="197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3.5" customHeight="1">
      <c r="A481" s="195"/>
      <c r="B481" s="196"/>
      <c r="C481" s="196"/>
      <c r="D481" s="196"/>
      <c r="E481" s="196"/>
      <c r="F481" s="196"/>
      <c r="G481" s="196"/>
      <c r="H481" s="196"/>
      <c r="I481" s="196"/>
      <c r="J481" s="197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3.5" customHeight="1">
      <c r="A482" s="195"/>
      <c r="B482" s="196"/>
      <c r="C482" s="196"/>
      <c r="D482" s="196"/>
      <c r="E482" s="196"/>
      <c r="F482" s="196"/>
      <c r="G482" s="196"/>
      <c r="H482" s="196"/>
      <c r="I482" s="196"/>
      <c r="J482" s="197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3.5" customHeight="1">
      <c r="A483" s="195"/>
      <c r="B483" s="196"/>
      <c r="C483" s="196"/>
      <c r="D483" s="196"/>
      <c r="E483" s="196"/>
      <c r="F483" s="196"/>
      <c r="G483" s="196"/>
      <c r="H483" s="196"/>
      <c r="I483" s="196"/>
      <c r="J483" s="197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3.5" customHeight="1">
      <c r="A484" s="195"/>
      <c r="B484" s="196"/>
      <c r="C484" s="196"/>
      <c r="D484" s="196"/>
      <c r="E484" s="196"/>
      <c r="F484" s="196"/>
      <c r="G484" s="196"/>
      <c r="H484" s="196"/>
      <c r="I484" s="196"/>
      <c r="J484" s="197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3.5" customHeight="1">
      <c r="A485" s="195"/>
      <c r="B485" s="196"/>
      <c r="C485" s="196"/>
      <c r="D485" s="196"/>
      <c r="E485" s="196"/>
      <c r="F485" s="196"/>
      <c r="G485" s="196"/>
      <c r="H485" s="196"/>
      <c r="I485" s="196"/>
      <c r="J485" s="197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3.5" customHeight="1">
      <c r="A486" s="195"/>
      <c r="B486" s="196"/>
      <c r="C486" s="196"/>
      <c r="D486" s="196"/>
      <c r="E486" s="196"/>
      <c r="F486" s="196"/>
      <c r="G486" s="196"/>
      <c r="H486" s="196"/>
      <c r="I486" s="196"/>
      <c r="J486" s="197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3.5" customHeight="1">
      <c r="A487" s="195"/>
      <c r="B487" s="196"/>
      <c r="C487" s="196"/>
      <c r="D487" s="196"/>
      <c r="E487" s="196"/>
      <c r="F487" s="196"/>
      <c r="G487" s="196"/>
      <c r="H487" s="196"/>
      <c r="I487" s="196"/>
      <c r="J487" s="197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3.5" customHeight="1">
      <c r="A488" s="195"/>
      <c r="B488" s="196"/>
      <c r="C488" s="196"/>
      <c r="D488" s="196"/>
      <c r="E488" s="196"/>
      <c r="F488" s="196"/>
      <c r="G488" s="196"/>
      <c r="H488" s="196"/>
      <c r="I488" s="196"/>
      <c r="J488" s="197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3.5" customHeight="1">
      <c r="A489" s="195"/>
      <c r="B489" s="196"/>
      <c r="C489" s="196"/>
      <c r="D489" s="196"/>
      <c r="E489" s="196"/>
      <c r="F489" s="196"/>
      <c r="G489" s="196"/>
      <c r="H489" s="196"/>
      <c r="I489" s="196"/>
      <c r="J489" s="197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3.5" customHeight="1">
      <c r="A490" s="195"/>
      <c r="B490" s="196"/>
      <c r="C490" s="196"/>
      <c r="D490" s="196"/>
      <c r="E490" s="196"/>
      <c r="F490" s="196"/>
      <c r="G490" s="196"/>
      <c r="H490" s="196"/>
      <c r="I490" s="196"/>
      <c r="J490" s="197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3.5" customHeight="1">
      <c r="A491" s="195"/>
      <c r="B491" s="196"/>
      <c r="C491" s="196"/>
      <c r="D491" s="196"/>
      <c r="E491" s="196"/>
      <c r="F491" s="196"/>
      <c r="G491" s="196"/>
      <c r="H491" s="196"/>
      <c r="I491" s="196"/>
      <c r="J491" s="197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3.5" customHeight="1">
      <c r="A492" s="195"/>
      <c r="B492" s="196"/>
      <c r="C492" s="196"/>
      <c r="D492" s="196"/>
      <c r="E492" s="196"/>
      <c r="F492" s="196"/>
      <c r="G492" s="196"/>
      <c r="H492" s="196"/>
      <c r="I492" s="196"/>
      <c r="J492" s="197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3.5" customHeight="1">
      <c r="A493" s="195"/>
      <c r="B493" s="196"/>
      <c r="C493" s="196"/>
      <c r="D493" s="196"/>
      <c r="E493" s="196"/>
      <c r="F493" s="196"/>
      <c r="G493" s="196"/>
      <c r="H493" s="196"/>
      <c r="I493" s="196"/>
      <c r="J493" s="197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3.5" customHeight="1">
      <c r="A494" s="195"/>
      <c r="B494" s="196"/>
      <c r="C494" s="196"/>
      <c r="D494" s="196"/>
      <c r="E494" s="196"/>
      <c r="F494" s="196"/>
      <c r="G494" s="196"/>
      <c r="H494" s="196"/>
      <c r="I494" s="196"/>
      <c r="J494" s="197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3.5" customHeight="1">
      <c r="A495" s="195"/>
      <c r="B495" s="196"/>
      <c r="C495" s="196"/>
      <c r="D495" s="196"/>
      <c r="E495" s="196"/>
      <c r="F495" s="196"/>
      <c r="G495" s="196"/>
      <c r="H495" s="196"/>
      <c r="I495" s="196"/>
      <c r="J495" s="197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3.5" customHeight="1">
      <c r="A496" s="195"/>
      <c r="B496" s="196"/>
      <c r="C496" s="196"/>
      <c r="D496" s="196"/>
      <c r="E496" s="196"/>
      <c r="F496" s="196"/>
      <c r="G496" s="196"/>
      <c r="H496" s="196"/>
      <c r="I496" s="196"/>
      <c r="J496" s="197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3.5" customHeight="1">
      <c r="A497" s="195"/>
      <c r="B497" s="196"/>
      <c r="C497" s="196"/>
      <c r="D497" s="196"/>
      <c r="E497" s="196"/>
      <c r="F497" s="196"/>
      <c r="G497" s="196"/>
      <c r="H497" s="196"/>
      <c r="I497" s="196"/>
      <c r="J497" s="197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3.5" customHeight="1">
      <c r="A498" s="195"/>
      <c r="B498" s="196"/>
      <c r="C498" s="196"/>
      <c r="D498" s="196"/>
      <c r="E498" s="196"/>
      <c r="F498" s="196"/>
      <c r="G498" s="196"/>
      <c r="H498" s="196"/>
      <c r="I498" s="196"/>
      <c r="J498" s="197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3.5" customHeight="1">
      <c r="A499" s="195"/>
      <c r="B499" s="196"/>
      <c r="C499" s="196"/>
      <c r="D499" s="196"/>
      <c r="E499" s="196"/>
      <c r="F499" s="196"/>
      <c r="G499" s="196"/>
      <c r="H499" s="196"/>
      <c r="I499" s="196"/>
      <c r="J499" s="197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3.5" customHeight="1">
      <c r="A500" s="195"/>
      <c r="B500" s="196"/>
      <c r="C500" s="196"/>
      <c r="D500" s="196"/>
      <c r="E500" s="196"/>
      <c r="F500" s="196"/>
      <c r="G500" s="196"/>
      <c r="H500" s="196"/>
      <c r="I500" s="196"/>
      <c r="J500" s="197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3.5" customHeight="1">
      <c r="A501" s="195"/>
      <c r="B501" s="196"/>
      <c r="C501" s="196"/>
      <c r="D501" s="196"/>
      <c r="E501" s="196"/>
      <c r="F501" s="196"/>
      <c r="G501" s="196"/>
      <c r="H501" s="196"/>
      <c r="I501" s="196"/>
      <c r="J501" s="197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3.5" customHeight="1">
      <c r="A502" s="195"/>
      <c r="B502" s="196"/>
      <c r="C502" s="196"/>
      <c r="D502" s="196"/>
      <c r="E502" s="196"/>
      <c r="F502" s="196"/>
      <c r="G502" s="196"/>
      <c r="H502" s="196"/>
      <c r="I502" s="196"/>
      <c r="J502" s="197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3.5" customHeight="1">
      <c r="A503" s="195"/>
      <c r="B503" s="196"/>
      <c r="C503" s="196"/>
      <c r="D503" s="196"/>
      <c r="E503" s="196"/>
      <c r="F503" s="196"/>
      <c r="G503" s="196"/>
      <c r="H503" s="196"/>
      <c r="I503" s="196"/>
      <c r="J503" s="197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3.5" customHeight="1">
      <c r="A504" s="195"/>
      <c r="B504" s="196"/>
      <c r="C504" s="196"/>
      <c r="D504" s="196"/>
      <c r="E504" s="196"/>
      <c r="F504" s="196"/>
      <c r="G504" s="196"/>
      <c r="H504" s="196"/>
      <c r="I504" s="196"/>
      <c r="J504" s="197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3.5" customHeight="1">
      <c r="A505" s="195"/>
      <c r="B505" s="196"/>
      <c r="C505" s="196"/>
      <c r="D505" s="196"/>
      <c r="E505" s="196"/>
      <c r="F505" s="196"/>
      <c r="G505" s="196"/>
      <c r="H505" s="196"/>
      <c r="I505" s="196"/>
      <c r="J505" s="197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3.5" customHeight="1">
      <c r="A506" s="195"/>
      <c r="B506" s="196"/>
      <c r="C506" s="196"/>
      <c r="D506" s="196"/>
      <c r="E506" s="196"/>
      <c r="F506" s="196"/>
      <c r="G506" s="196"/>
      <c r="H506" s="196"/>
      <c r="I506" s="196"/>
      <c r="J506" s="197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3.5" customHeight="1">
      <c r="A507" s="195"/>
      <c r="B507" s="196"/>
      <c r="C507" s="196"/>
      <c r="D507" s="196"/>
      <c r="E507" s="196"/>
      <c r="F507" s="196"/>
      <c r="G507" s="196"/>
      <c r="H507" s="196"/>
      <c r="I507" s="196"/>
      <c r="J507" s="197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3.5" customHeight="1">
      <c r="A508" s="195"/>
      <c r="B508" s="196"/>
      <c r="C508" s="196"/>
      <c r="D508" s="196"/>
      <c r="E508" s="196"/>
      <c r="F508" s="196"/>
      <c r="G508" s="196"/>
      <c r="H508" s="196"/>
      <c r="I508" s="196"/>
      <c r="J508" s="197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3.5" customHeight="1">
      <c r="A509" s="195"/>
      <c r="B509" s="196"/>
      <c r="C509" s="196"/>
      <c r="D509" s="196"/>
      <c r="E509" s="196"/>
      <c r="F509" s="196"/>
      <c r="G509" s="196"/>
      <c r="H509" s="196"/>
      <c r="I509" s="196"/>
      <c r="J509" s="197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3.5" customHeight="1">
      <c r="A510" s="195"/>
      <c r="B510" s="196"/>
      <c r="C510" s="196"/>
      <c r="D510" s="196"/>
      <c r="E510" s="196"/>
      <c r="F510" s="196"/>
      <c r="G510" s="196"/>
      <c r="H510" s="196"/>
      <c r="I510" s="196"/>
      <c r="J510" s="197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3.5" customHeight="1">
      <c r="A511" s="195"/>
      <c r="B511" s="196"/>
      <c r="C511" s="196"/>
      <c r="D511" s="196"/>
      <c r="E511" s="196"/>
      <c r="F511" s="196"/>
      <c r="G511" s="196"/>
      <c r="H511" s="196"/>
      <c r="I511" s="196"/>
      <c r="J511" s="197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3.5" customHeight="1">
      <c r="A512" s="195"/>
      <c r="B512" s="196"/>
      <c r="C512" s="196"/>
      <c r="D512" s="196"/>
      <c r="E512" s="196"/>
      <c r="F512" s="196"/>
      <c r="G512" s="196"/>
      <c r="H512" s="196"/>
      <c r="I512" s="196"/>
      <c r="J512" s="197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3.5" customHeight="1">
      <c r="A513" s="195"/>
      <c r="B513" s="196"/>
      <c r="C513" s="196"/>
      <c r="D513" s="196"/>
      <c r="E513" s="196"/>
      <c r="F513" s="196"/>
      <c r="G513" s="196"/>
      <c r="H513" s="196"/>
      <c r="I513" s="196"/>
      <c r="J513" s="197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3.5" customHeight="1">
      <c r="A514" s="195"/>
      <c r="B514" s="196"/>
      <c r="C514" s="196"/>
      <c r="D514" s="196"/>
      <c r="E514" s="196"/>
      <c r="F514" s="196"/>
      <c r="G514" s="196"/>
      <c r="H514" s="196"/>
      <c r="I514" s="196"/>
      <c r="J514" s="197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3.5" customHeight="1">
      <c r="A515" s="195"/>
      <c r="B515" s="196"/>
      <c r="C515" s="196"/>
      <c r="D515" s="196"/>
      <c r="E515" s="196"/>
      <c r="F515" s="196"/>
      <c r="G515" s="196"/>
      <c r="H515" s="196"/>
      <c r="I515" s="196"/>
      <c r="J515" s="197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3.5" customHeight="1">
      <c r="A516" s="195"/>
      <c r="B516" s="196"/>
      <c r="C516" s="196"/>
      <c r="D516" s="196"/>
      <c r="E516" s="196"/>
      <c r="F516" s="196"/>
      <c r="G516" s="196"/>
      <c r="H516" s="196"/>
      <c r="I516" s="196"/>
      <c r="J516" s="197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3.5" customHeight="1">
      <c r="A517" s="195"/>
      <c r="B517" s="196"/>
      <c r="C517" s="196"/>
      <c r="D517" s="196"/>
      <c r="E517" s="196"/>
      <c r="F517" s="196"/>
      <c r="G517" s="196"/>
      <c r="H517" s="196"/>
      <c r="I517" s="196"/>
      <c r="J517" s="197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3.5" customHeight="1">
      <c r="A518" s="195"/>
      <c r="B518" s="196"/>
      <c r="C518" s="196"/>
      <c r="D518" s="196"/>
      <c r="E518" s="196"/>
      <c r="F518" s="196"/>
      <c r="G518" s="196"/>
      <c r="H518" s="196"/>
      <c r="I518" s="196"/>
      <c r="J518" s="197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3.5" customHeight="1">
      <c r="A519" s="195"/>
      <c r="B519" s="196"/>
      <c r="C519" s="196"/>
      <c r="D519" s="196"/>
      <c r="E519" s="196"/>
      <c r="F519" s="196"/>
      <c r="G519" s="196"/>
      <c r="H519" s="196"/>
      <c r="I519" s="196"/>
      <c r="J519" s="197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3.5" customHeight="1">
      <c r="A520" s="195"/>
      <c r="B520" s="196"/>
      <c r="C520" s="196"/>
      <c r="D520" s="196"/>
      <c r="E520" s="196"/>
      <c r="F520" s="196"/>
      <c r="G520" s="196"/>
      <c r="H520" s="196"/>
      <c r="I520" s="196"/>
      <c r="J520" s="197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3.5" customHeight="1">
      <c r="A521" s="195"/>
      <c r="B521" s="196"/>
      <c r="C521" s="196"/>
      <c r="D521" s="196"/>
      <c r="E521" s="196"/>
      <c r="F521" s="196"/>
      <c r="G521" s="196"/>
      <c r="H521" s="196"/>
      <c r="I521" s="196"/>
      <c r="J521" s="197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3.5" customHeight="1">
      <c r="A522" s="195"/>
      <c r="B522" s="196"/>
      <c r="C522" s="196"/>
      <c r="D522" s="196"/>
      <c r="E522" s="196"/>
      <c r="F522" s="196"/>
      <c r="G522" s="196"/>
      <c r="H522" s="196"/>
      <c r="I522" s="196"/>
      <c r="J522" s="197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3.5" customHeight="1">
      <c r="A523" s="195"/>
      <c r="B523" s="196"/>
      <c r="C523" s="196"/>
      <c r="D523" s="196"/>
      <c r="E523" s="196"/>
      <c r="F523" s="196"/>
      <c r="G523" s="196"/>
      <c r="H523" s="196"/>
      <c r="I523" s="196"/>
      <c r="J523" s="197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3.5" customHeight="1">
      <c r="A524" s="195"/>
      <c r="B524" s="196"/>
      <c r="C524" s="196"/>
      <c r="D524" s="196"/>
      <c r="E524" s="196"/>
      <c r="F524" s="196"/>
      <c r="G524" s="196"/>
      <c r="H524" s="196"/>
      <c r="I524" s="196"/>
      <c r="J524" s="197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3.5" customHeight="1">
      <c r="A525" s="195"/>
      <c r="B525" s="196"/>
      <c r="C525" s="196"/>
      <c r="D525" s="196"/>
      <c r="E525" s="196"/>
      <c r="F525" s="196"/>
      <c r="G525" s="196"/>
      <c r="H525" s="196"/>
      <c r="I525" s="196"/>
      <c r="J525" s="197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3.5" customHeight="1">
      <c r="A526" s="195"/>
      <c r="B526" s="196"/>
      <c r="C526" s="196"/>
      <c r="D526" s="196"/>
      <c r="E526" s="196"/>
      <c r="F526" s="196"/>
      <c r="G526" s="196"/>
      <c r="H526" s="196"/>
      <c r="I526" s="196"/>
      <c r="J526" s="197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3.5" customHeight="1">
      <c r="A527" s="195"/>
      <c r="B527" s="196"/>
      <c r="C527" s="196"/>
      <c r="D527" s="196"/>
      <c r="E527" s="196"/>
      <c r="F527" s="196"/>
      <c r="G527" s="196"/>
      <c r="H527" s="196"/>
      <c r="I527" s="196"/>
      <c r="J527" s="197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3.5" customHeight="1">
      <c r="A528" s="195"/>
      <c r="B528" s="196"/>
      <c r="C528" s="196"/>
      <c r="D528" s="196"/>
      <c r="E528" s="196"/>
      <c r="F528" s="196"/>
      <c r="G528" s="196"/>
      <c r="H528" s="196"/>
      <c r="I528" s="196"/>
      <c r="J528" s="197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3.5" customHeight="1">
      <c r="A529" s="195"/>
      <c r="B529" s="196"/>
      <c r="C529" s="196"/>
      <c r="D529" s="196"/>
      <c r="E529" s="196"/>
      <c r="F529" s="196"/>
      <c r="G529" s="196"/>
      <c r="H529" s="196"/>
      <c r="I529" s="196"/>
      <c r="J529" s="197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3.5" customHeight="1">
      <c r="A530" s="195"/>
      <c r="B530" s="196"/>
      <c r="C530" s="196"/>
      <c r="D530" s="196"/>
      <c r="E530" s="196"/>
      <c r="F530" s="196"/>
      <c r="G530" s="196"/>
      <c r="H530" s="196"/>
      <c r="I530" s="196"/>
      <c r="J530" s="197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3.5" customHeight="1">
      <c r="A531" s="195"/>
      <c r="B531" s="196"/>
      <c r="C531" s="196"/>
      <c r="D531" s="196"/>
      <c r="E531" s="196"/>
      <c r="F531" s="196"/>
      <c r="G531" s="196"/>
      <c r="H531" s="196"/>
      <c r="I531" s="196"/>
      <c r="J531" s="197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3.5" customHeight="1">
      <c r="A532" s="195"/>
      <c r="B532" s="196"/>
      <c r="C532" s="196"/>
      <c r="D532" s="196"/>
      <c r="E532" s="196"/>
      <c r="F532" s="196"/>
      <c r="G532" s="196"/>
      <c r="H532" s="196"/>
      <c r="I532" s="196"/>
      <c r="J532" s="197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3.5" customHeight="1">
      <c r="A533" s="195"/>
      <c r="B533" s="196"/>
      <c r="C533" s="196"/>
      <c r="D533" s="196"/>
      <c r="E533" s="196"/>
      <c r="F533" s="196"/>
      <c r="G533" s="196"/>
      <c r="H533" s="196"/>
      <c r="I533" s="196"/>
      <c r="J533" s="197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3.5" customHeight="1">
      <c r="A534" s="195"/>
      <c r="B534" s="196"/>
      <c r="C534" s="196"/>
      <c r="D534" s="196"/>
      <c r="E534" s="196"/>
      <c r="F534" s="196"/>
      <c r="G534" s="196"/>
      <c r="H534" s="196"/>
      <c r="I534" s="196"/>
      <c r="J534" s="197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3.5" customHeight="1">
      <c r="A535" s="195"/>
      <c r="B535" s="196"/>
      <c r="C535" s="196"/>
      <c r="D535" s="196"/>
      <c r="E535" s="196"/>
      <c r="F535" s="196"/>
      <c r="G535" s="196"/>
      <c r="H535" s="196"/>
      <c r="I535" s="196"/>
      <c r="J535" s="197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3.5" customHeight="1">
      <c r="A536" s="195"/>
      <c r="B536" s="196"/>
      <c r="C536" s="196"/>
      <c r="D536" s="196"/>
      <c r="E536" s="196"/>
      <c r="F536" s="196"/>
      <c r="G536" s="196"/>
      <c r="H536" s="196"/>
      <c r="I536" s="196"/>
      <c r="J536" s="197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3.5" customHeight="1">
      <c r="A537" s="195"/>
      <c r="B537" s="196"/>
      <c r="C537" s="196"/>
      <c r="D537" s="196"/>
      <c r="E537" s="196"/>
      <c r="F537" s="196"/>
      <c r="G537" s="196"/>
      <c r="H537" s="196"/>
      <c r="I537" s="196"/>
      <c r="J537" s="197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3.5" customHeight="1">
      <c r="A538" s="195"/>
      <c r="B538" s="196"/>
      <c r="C538" s="196"/>
      <c r="D538" s="196"/>
      <c r="E538" s="196"/>
      <c r="F538" s="196"/>
      <c r="G538" s="196"/>
      <c r="H538" s="196"/>
      <c r="I538" s="196"/>
      <c r="J538" s="197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3.5" customHeight="1">
      <c r="A539" s="195"/>
      <c r="B539" s="196"/>
      <c r="C539" s="196"/>
      <c r="D539" s="196"/>
      <c r="E539" s="196"/>
      <c r="F539" s="196"/>
      <c r="G539" s="196"/>
      <c r="H539" s="196"/>
      <c r="I539" s="196"/>
      <c r="J539" s="197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3.5" customHeight="1">
      <c r="A540" s="195"/>
      <c r="B540" s="196"/>
      <c r="C540" s="196"/>
      <c r="D540" s="196"/>
      <c r="E540" s="196"/>
      <c r="F540" s="196"/>
      <c r="G540" s="196"/>
      <c r="H540" s="196"/>
      <c r="I540" s="196"/>
      <c r="J540" s="197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3.5" customHeight="1">
      <c r="A541" s="195"/>
      <c r="B541" s="196"/>
      <c r="C541" s="196"/>
      <c r="D541" s="196"/>
      <c r="E541" s="196"/>
      <c r="F541" s="196"/>
      <c r="G541" s="196"/>
      <c r="H541" s="196"/>
      <c r="I541" s="196"/>
      <c r="J541" s="197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3.5" customHeight="1">
      <c r="A542" s="195"/>
      <c r="B542" s="196"/>
      <c r="C542" s="196"/>
      <c r="D542" s="196"/>
      <c r="E542" s="196"/>
      <c r="F542" s="196"/>
      <c r="G542" s="196"/>
      <c r="H542" s="196"/>
      <c r="I542" s="196"/>
      <c r="J542" s="197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3.5" customHeight="1">
      <c r="A543" s="195"/>
      <c r="B543" s="196"/>
      <c r="C543" s="196"/>
      <c r="D543" s="196"/>
      <c r="E543" s="196"/>
      <c r="F543" s="196"/>
      <c r="G543" s="196"/>
      <c r="H543" s="196"/>
      <c r="I543" s="196"/>
      <c r="J543" s="197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3.5" customHeight="1">
      <c r="A544" s="195"/>
      <c r="B544" s="196"/>
      <c r="C544" s="196"/>
      <c r="D544" s="196"/>
      <c r="E544" s="196"/>
      <c r="F544" s="196"/>
      <c r="G544" s="196"/>
      <c r="H544" s="196"/>
      <c r="I544" s="196"/>
      <c r="J544" s="197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3.5" customHeight="1">
      <c r="A545" s="195"/>
      <c r="B545" s="196"/>
      <c r="C545" s="196"/>
      <c r="D545" s="196"/>
      <c r="E545" s="196"/>
      <c r="F545" s="196"/>
      <c r="G545" s="196"/>
      <c r="H545" s="196"/>
      <c r="I545" s="196"/>
      <c r="J545" s="197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3.5" customHeight="1">
      <c r="A546" s="195"/>
      <c r="B546" s="196"/>
      <c r="C546" s="196"/>
      <c r="D546" s="196"/>
      <c r="E546" s="196"/>
      <c r="F546" s="196"/>
      <c r="G546" s="196"/>
      <c r="H546" s="196"/>
      <c r="I546" s="196"/>
      <c r="J546" s="197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3.5" customHeight="1">
      <c r="A547" s="195"/>
      <c r="B547" s="196"/>
      <c r="C547" s="196"/>
      <c r="D547" s="196"/>
      <c r="E547" s="196"/>
      <c r="F547" s="196"/>
      <c r="G547" s="196"/>
      <c r="H547" s="196"/>
      <c r="I547" s="196"/>
      <c r="J547" s="197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3.5" customHeight="1">
      <c r="A548" s="195"/>
      <c r="B548" s="196"/>
      <c r="C548" s="196"/>
      <c r="D548" s="196"/>
      <c r="E548" s="196"/>
      <c r="F548" s="196"/>
      <c r="G548" s="196"/>
      <c r="H548" s="196"/>
      <c r="I548" s="196"/>
      <c r="J548" s="197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3.5" customHeight="1">
      <c r="A549" s="195"/>
      <c r="B549" s="196"/>
      <c r="C549" s="196"/>
      <c r="D549" s="196"/>
      <c r="E549" s="196"/>
      <c r="F549" s="196"/>
      <c r="G549" s="196"/>
      <c r="H549" s="196"/>
      <c r="I549" s="196"/>
      <c r="J549" s="197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3.5" customHeight="1">
      <c r="A550" s="195"/>
      <c r="B550" s="196"/>
      <c r="C550" s="196"/>
      <c r="D550" s="196"/>
      <c r="E550" s="196"/>
      <c r="F550" s="196"/>
      <c r="G550" s="196"/>
      <c r="H550" s="196"/>
      <c r="I550" s="196"/>
      <c r="J550" s="197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3.5" customHeight="1">
      <c r="A551" s="195"/>
      <c r="B551" s="196"/>
      <c r="C551" s="196"/>
      <c r="D551" s="196"/>
      <c r="E551" s="196"/>
      <c r="F551" s="196"/>
      <c r="G551" s="196"/>
      <c r="H551" s="196"/>
      <c r="I551" s="196"/>
      <c r="J551" s="197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3.5" customHeight="1">
      <c r="A552" s="195"/>
      <c r="B552" s="196"/>
      <c r="C552" s="196"/>
      <c r="D552" s="196"/>
      <c r="E552" s="196"/>
      <c r="F552" s="196"/>
      <c r="G552" s="196"/>
      <c r="H552" s="196"/>
      <c r="I552" s="196"/>
      <c r="J552" s="197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3.5" customHeight="1">
      <c r="A553" s="195"/>
      <c r="B553" s="196"/>
      <c r="C553" s="196"/>
      <c r="D553" s="196"/>
      <c r="E553" s="196"/>
      <c r="F553" s="196"/>
      <c r="G553" s="196"/>
      <c r="H553" s="196"/>
      <c r="I553" s="196"/>
      <c r="J553" s="197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3.5" customHeight="1">
      <c r="A554" s="195"/>
      <c r="B554" s="196"/>
      <c r="C554" s="196"/>
      <c r="D554" s="196"/>
      <c r="E554" s="196"/>
      <c r="F554" s="196"/>
      <c r="G554" s="196"/>
      <c r="H554" s="196"/>
      <c r="I554" s="196"/>
      <c r="J554" s="197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3.5" customHeight="1">
      <c r="A555" s="195"/>
      <c r="B555" s="196"/>
      <c r="C555" s="196"/>
      <c r="D555" s="196"/>
      <c r="E555" s="196"/>
      <c r="F555" s="196"/>
      <c r="G555" s="196"/>
      <c r="H555" s="196"/>
      <c r="I555" s="196"/>
      <c r="J555" s="197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3.5" customHeight="1">
      <c r="A556" s="195"/>
      <c r="B556" s="196"/>
      <c r="C556" s="196"/>
      <c r="D556" s="196"/>
      <c r="E556" s="196"/>
      <c r="F556" s="196"/>
      <c r="G556" s="196"/>
      <c r="H556" s="196"/>
      <c r="I556" s="196"/>
      <c r="J556" s="197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3.5" customHeight="1">
      <c r="A557" s="195"/>
      <c r="B557" s="196"/>
      <c r="C557" s="196"/>
      <c r="D557" s="196"/>
      <c r="E557" s="196"/>
      <c r="F557" s="196"/>
      <c r="G557" s="196"/>
      <c r="H557" s="196"/>
      <c r="I557" s="196"/>
      <c r="J557" s="197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3.5" customHeight="1">
      <c r="A558" s="195"/>
      <c r="B558" s="196"/>
      <c r="C558" s="196"/>
      <c r="D558" s="196"/>
      <c r="E558" s="196"/>
      <c r="F558" s="196"/>
      <c r="G558" s="196"/>
      <c r="H558" s="196"/>
      <c r="I558" s="196"/>
      <c r="J558" s="197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3.5" customHeight="1">
      <c r="A559" s="195"/>
      <c r="B559" s="196"/>
      <c r="C559" s="196"/>
      <c r="D559" s="196"/>
      <c r="E559" s="196"/>
      <c r="F559" s="196"/>
      <c r="G559" s="196"/>
      <c r="H559" s="196"/>
      <c r="I559" s="196"/>
      <c r="J559" s="197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3.5" customHeight="1">
      <c r="A560" s="195"/>
      <c r="B560" s="196"/>
      <c r="C560" s="196"/>
      <c r="D560" s="196"/>
      <c r="E560" s="196"/>
      <c r="F560" s="196"/>
      <c r="G560" s="196"/>
      <c r="H560" s="196"/>
      <c r="I560" s="196"/>
      <c r="J560" s="197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3.5" customHeight="1">
      <c r="A561" s="195"/>
      <c r="B561" s="196"/>
      <c r="C561" s="196"/>
      <c r="D561" s="196"/>
      <c r="E561" s="196"/>
      <c r="F561" s="196"/>
      <c r="G561" s="196"/>
      <c r="H561" s="196"/>
      <c r="I561" s="196"/>
      <c r="J561" s="197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3.5" customHeight="1">
      <c r="A562" s="195"/>
      <c r="B562" s="196"/>
      <c r="C562" s="196"/>
      <c r="D562" s="196"/>
      <c r="E562" s="196"/>
      <c r="F562" s="196"/>
      <c r="G562" s="196"/>
      <c r="H562" s="196"/>
      <c r="I562" s="196"/>
      <c r="J562" s="197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3.5" customHeight="1">
      <c r="A563" s="195"/>
      <c r="B563" s="196"/>
      <c r="C563" s="196"/>
      <c r="D563" s="196"/>
      <c r="E563" s="196"/>
      <c r="F563" s="196"/>
      <c r="G563" s="196"/>
      <c r="H563" s="196"/>
      <c r="I563" s="196"/>
      <c r="J563" s="197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3.5" customHeight="1">
      <c r="A564" s="195"/>
      <c r="B564" s="196"/>
      <c r="C564" s="196"/>
      <c r="D564" s="196"/>
      <c r="E564" s="196"/>
      <c r="F564" s="196"/>
      <c r="G564" s="196"/>
      <c r="H564" s="196"/>
      <c r="I564" s="196"/>
      <c r="J564" s="197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3.5" customHeight="1">
      <c r="A565" s="195"/>
      <c r="B565" s="196"/>
      <c r="C565" s="196"/>
      <c r="D565" s="196"/>
      <c r="E565" s="196"/>
      <c r="F565" s="196"/>
      <c r="G565" s="196"/>
      <c r="H565" s="196"/>
      <c r="I565" s="196"/>
      <c r="J565" s="197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3.5" customHeight="1">
      <c r="A566" s="195"/>
      <c r="B566" s="196"/>
      <c r="C566" s="196"/>
      <c r="D566" s="196"/>
      <c r="E566" s="196"/>
      <c r="F566" s="196"/>
      <c r="G566" s="196"/>
      <c r="H566" s="196"/>
      <c r="I566" s="196"/>
      <c r="J566" s="197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3.5" customHeight="1">
      <c r="A567" s="195"/>
      <c r="B567" s="196"/>
      <c r="C567" s="196"/>
      <c r="D567" s="196"/>
      <c r="E567" s="196"/>
      <c r="F567" s="196"/>
      <c r="G567" s="196"/>
      <c r="H567" s="196"/>
      <c r="I567" s="196"/>
      <c r="J567" s="197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3.5" customHeight="1">
      <c r="A568" s="195"/>
      <c r="B568" s="196"/>
      <c r="C568" s="196"/>
      <c r="D568" s="196"/>
      <c r="E568" s="196"/>
      <c r="F568" s="196"/>
      <c r="G568" s="196"/>
      <c r="H568" s="196"/>
      <c r="I568" s="196"/>
      <c r="J568" s="197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3.5" customHeight="1">
      <c r="A569" s="195"/>
      <c r="B569" s="196"/>
      <c r="C569" s="196"/>
      <c r="D569" s="196"/>
      <c r="E569" s="196"/>
      <c r="F569" s="196"/>
      <c r="G569" s="196"/>
      <c r="H569" s="196"/>
      <c r="I569" s="196"/>
      <c r="J569" s="197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3.5" customHeight="1">
      <c r="A570" s="195"/>
      <c r="B570" s="196"/>
      <c r="C570" s="196"/>
      <c r="D570" s="196"/>
      <c r="E570" s="196"/>
      <c r="F570" s="196"/>
      <c r="G570" s="196"/>
      <c r="H570" s="196"/>
      <c r="I570" s="196"/>
      <c r="J570" s="197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3.5" customHeight="1">
      <c r="A571" s="195"/>
      <c r="B571" s="196"/>
      <c r="C571" s="196"/>
      <c r="D571" s="196"/>
      <c r="E571" s="196"/>
      <c r="F571" s="196"/>
      <c r="G571" s="196"/>
      <c r="H571" s="196"/>
      <c r="I571" s="196"/>
      <c r="J571" s="197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3.5" customHeight="1">
      <c r="A572" s="195"/>
      <c r="B572" s="196"/>
      <c r="C572" s="196"/>
      <c r="D572" s="196"/>
      <c r="E572" s="196"/>
      <c r="F572" s="196"/>
      <c r="G572" s="196"/>
      <c r="H572" s="196"/>
      <c r="I572" s="196"/>
      <c r="J572" s="197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3.5" customHeight="1">
      <c r="A573" s="195"/>
      <c r="B573" s="196"/>
      <c r="C573" s="196"/>
      <c r="D573" s="196"/>
      <c r="E573" s="196"/>
      <c r="F573" s="196"/>
      <c r="G573" s="196"/>
      <c r="H573" s="196"/>
      <c r="I573" s="196"/>
      <c r="J573" s="197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3.5" customHeight="1">
      <c r="A574" s="195"/>
      <c r="B574" s="196"/>
      <c r="C574" s="196"/>
      <c r="D574" s="196"/>
      <c r="E574" s="196"/>
      <c r="F574" s="196"/>
      <c r="G574" s="196"/>
      <c r="H574" s="196"/>
      <c r="I574" s="196"/>
      <c r="J574" s="197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3.5" customHeight="1">
      <c r="A575" s="195"/>
      <c r="B575" s="196"/>
      <c r="C575" s="196"/>
      <c r="D575" s="196"/>
      <c r="E575" s="196"/>
      <c r="F575" s="196"/>
      <c r="G575" s="196"/>
      <c r="H575" s="196"/>
      <c r="I575" s="196"/>
      <c r="J575" s="197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3.5" customHeight="1">
      <c r="A576" s="195"/>
      <c r="B576" s="196"/>
      <c r="C576" s="196"/>
      <c r="D576" s="196"/>
      <c r="E576" s="196"/>
      <c r="F576" s="196"/>
      <c r="G576" s="196"/>
      <c r="H576" s="196"/>
      <c r="I576" s="196"/>
      <c r="J576" s="197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3.5" customHeight="1">
      <c r="A577" s="195"/>
      <c r="B577" s="196"/>
      <c r="C577" s="196"/>
      <c r="D577" s="196"/>
      <c r="E577" s="196"/>
      <c r="F577" s="196"/>
      <c r="G577" s="196"/>
      <c r="H577" s="196"/>
      <c r="I577" s="196"/>
      <c r="J577" s="197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3.5" customHeight="1">
      <c r="A578" s="195"/>
      <c r="B578" s="196"/>
      <c r="C578" s="196"/>
      <c r="D578" s="196"/>
      <c r="E578" s="196"/>
      <c r="F578" s="196"/>
      <c r="G578" s="196"/>
      <c r="H578" s="196"/>
      <c r="I578" s="196"/>
      <c r="J578" s="197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3.5" customHeight="1">
      <c r="A579" s="195"/>
      <c r="B579" s="196"/>
      <c r="C579" s="196"/>
      <c r="D579" s="196"/>
      <c r="E579" s="196"/>
      <c r="F579" s="196"/>
      <c r="G579" s="196"/>
      <c r="H579" s="196"/>
      <c r="I579" s="196"/>
      <c r="J579" s="197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3.5" customHeight="1">
      <c r="A580" s="195"/>
      <c r="B580" s="196"/>
      <c r="C580" s="196"/>
      <c r="D580" s="196"/>
      <c r="E580" s="196"/>
      <c r="F580" s="196"/>
      <c r="G580" s="196"/>
      <c r="H580" s="196"/>
      <c r="I580" s="196"/>
      <c r="J580" s="197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3.5" customHeight="1">
      <c r="A581" s="195"/>
      <c r="B581" s="196"/>
      <c r="C581" s="196"/>
      <c r="D581" s="196"/>
      <c r="E581" s="196"/>
      <c r="F581" s="196"/>
      <c r="G581" s="196"/>
      <c r="H581" s="196"/>
      <c r="I581" s="196"/>
      <c r="J581" s="197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3.5" customHeight="1">
      <c r="A582" s="195"/>
      <c r="B582" s="196"/>
      <c r="C582" s="196"/>
      <c r="D582" s="196"/>
      <c r="E582" s="196"/>
      <c r="F582" s="196"/>
      <c r="G582" s="196"/>
      <c r="H582" s="196"/>
      <c r="I582" s="196"/>
      <c r="J582" s="197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3.5" customHeight="1">
      <c r="A583" s="195"/>
      <c r="B583" s="196"/>
      <c r="C583" s="196"/>
      <c r="D583" s="196"/>
      <c r="E583" s="196"/>
      <c r="F583" s="196"/>
      <c r="G583" s="196"/>
      <c r="H583" s="196"/>
      <c r="I583" s="196"/>
      <c r="J583" s="197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3.5" customHeight="1">
      <c r="A584" s="195"/>
      <c r="B584" s="196"/>
      <c r="C584" s="196"/>
      <c r="D584" s="196"/>
      <c r="E584" s="196"/>
      <c r="F584" s="196"/>
      <c r="G584" s="196"/>
      <c r="H584" s="196"/>
      <c r="I584" s="196"/>
      <c r="J584" s="197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3.5" customHeight="1">
      <c r="A585" s="195"/>
      <c r="B585" s="196"/>
      <c r="C585" s="196"/>
      <c r="D585" s="196"/>
      <c r="E585" s="196"/>
      <c r="F585" s="196"/>
      <c r="G585" s="196"/>
      <c r="H585" s="196"/>
      <c r="I585" s="196"/>
      <c r="J585" s="197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3.5" customHeight="1">
      <c r="A586" s="195"/>
      <c r="B586" s="196"/>
      <c r="C586" s="196"/>
      <c r="D586" s="196"/>
      <c r="E586" s="196"/>
      <c r="F586" s="196"/>
      <c r="G586" s="196"/>
      <c r="H586" s="196"/>
      <c r="I586" s="196"/>
      <c r="J586" s="197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3.5" customHeight="1">
      <c r="A587" s="195"/>
      <c r="B587" s="196"/>
      <c r="C587" s="196"/>
      <c r="D587" s="196"/>
      <c r="E587" s="196"/>
      <c r="F587" s="196"/>
      <c r="G587" s="196"/>
      <c r="H587" s="196"/>
      <c r="I587" s="196"/>
      <c r="J587" s="197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3.5" customHeight="1">
      <c r="A588" s="195"/>
      <c r="B588" s="196"/>
      <c r="C588" s="196"/>
      <c r="D588" s="196"/>
      <c r="E588" s="196"/>
      <c r="F588" s="196"/>
      <c r="G588" s="196"/>
      <c r="H588" s="196"/>
      <c r="I588" s="196"/>
      <c r="J588" s="197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3.5" customHeight="1">
      <c r="A589" s="195"/>
      <c r="B589" s="196"/>
      <c r="C589" s="196"/>
      <c r="D589" s="196"/>
      <c r="E589" s="196"/>
      <c r="F589" s="196"/>
      <c r="G589" s="196"/>
      <c r="H589" s="196"/>
      <c r="I589" s="196"/>
      <c r="J589" s="197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3.5" customHeight="1">
      <c r="A590" s="195"/>
      <c r="B590" s="196"/>
      <c r="C590" s="196"/>
      <c r="D590" s="196"/>
      <c r="E590" s="196"/>
      <c r="F590" s="196"/>
      <c r="G590" s="196"/>
      <c r="H590" s="196"/>
      <c r="I590" s="196"/>
      <c r="J590" s="197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3.5" customHeight="1">
      <c r="A591" s="195"/>
      <c r="B591" s="196"/>
      <c r="C591" s="196"/>
      <c r="D591" s="196"/>
      <c r="E591" s="196"/>
      <c r="F591" s="196"/>
      <c r="G591" s="196"/>
      <c r="H591" s="196"/>
      <c r="I591" s="196"/>
      <c r="J591" s="197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3.5" customHeight="1">
      <c r="A592" s="195"/>
      <c r="B592" s="196"/>
      <c r="C592" s="196"/>
      <c r="D592" s="196"/>
      <c r="E592" s="196"/>
      <c r="F592" s="196"/>
      <c r="G592" s="196"/>
      <c r="H592" s="196"/>
      <c r="I592" s="196"/>
      <c r="J592" s="197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3.5" customHeight="1">
      <c r="A593" s="195"/>
      <c r="B593" s="196"/>
      <c r="C593" s="196"/>
      <c r="D593" s="196"/>
      <c r="E593" s="196"/>
      <c r="F593" s="196"/>
      <c r="G593" s="196"/>
      <c r="H593" s="196"/>
      <c r="I593" s="196"/>
      <c r="J593" s="197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3.5" customHeight="1">
      <c r="A594" s="195"/>
      <c r="B594" s="196"/>
      <c r="C594" s="196"/>
      <c r="D594" s="196"/>
      <c r="E594" s="196"/>
      <c r="F594" s="196"/>
      <c r="G594" s="196"/>
      <c r="H594" s="196"/>
      <c r="I594" s="196"/>
      <c r="J594" s="197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3.5" customHeight="1">
      <c r="A595" s="195"/>
      <c r="B595" s="196"/>
      <c r="C595" s="196"/>
      <c r="D595" s="196"/>
      <c r="E595" s="196"/>
      <c r="F595" s="196"/>
      <c r="G595" s="196"/>
      <c r="H595" s="196"/>
      <c r="I595" s="196"/>
      <c r="J595" s="197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3.5" customHeight="1">
      <c r="A596" s="195"/>
      <c r="B596" s="196"/>
      <c r="C596" s="196"/>
      <c r="D596" s="196"/>
      <c r="E596" s="196"/>
      <c r="F596" s="196"/>
      <c r="G596" s="196"/>
      <c r="H596" s="196"/>
      <c r="I596" s="196"/>
      <c r="J596" s="197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3.5" customHeight="1">
      <c r="A597" s="195"/>
      <c r="B597" s="196"/>
      <c r="C597" s="196"/>
      <c r="D597" s="196"/>
      <c r="E597" s="196"/>
      <c r="F597" s="196"/>
      <c r="G597" s="196"/>
      <c r="H597" s="196"/>
      <c r="I597" s="196"/>
      <c r="J597" s="197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3.5" customHeight="1">
      <c r="A598" s="195"/>
      <c r="B598" s="196"/>
      <c r="C598" s="196"/>
      <c r="D598" s="196"/>
      <c r="E598" s="196"/>
      <c r="F598" s="196"/>
      <c r="G598" s="196"/>
      <c r="H598" s="196"/>
      <c r="I598" s="196"/>
      <c r="J598" s="197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3.5" customHeight="1">
      <c r="A599" s="195"/>
      <c r="B599" s="196"/>
      <c r="C599" s="196"/>
      <c r="D599" s="196"/>
      <c r="E599" s="196"/>
      <c r="F599" s="196"/>
      <c r="G599" s="196"/>
      <c r="H599" s="196"/>
      <c r="I599" s="196"/>
      <c r="J599" s="197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3.5" customHeight="1">
      <c r="A600" s="195"/>
      <c r="B600" s="196"/>
      <c r="C600" s="196"/>
      <c r="D600" s="196"/>
      <c r="E600" s="196"/>
      <c r="F600" s="196"/>
      <c r="G600" s="196"/>
      <c r="H600" s="196"/>
      <c r="I600" s="196"/>
      <c r="J600" s="197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3.5" customHeight="1">
      <c r="A601" s="195"/>
      <c r="B601" s="196"/>
      <c r="C601" s="196"/>
      <c r="D601" s="196"/>
      <c r="E601" s="196"/>
      <c r="F601" s="196"/>
      <c r="G601" s="196"/>
      <c r="H601" s="196"/>
      <c r="I601" s="196"/>
      <c r="J601" s="197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3.5" customHeight="1">
      <c r="A602" s="195"/>
      <c r="B602" s="196"/>
      <c r="C602" s="196"/>
      <c r="D602" s="196"/>
      <c r="E602" s="196"/>
      <c r="F602" s="196"/>
      <c r="G602" s="196"/>
      <c r="H602" s="196"/>
      <c r="I602" s="196"/>
      <c r="J602" s="197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3.5" customHeight="1">
      <c r="A603" s="195"/>
      <c r="B603" s="196"/>
      <c r="C603" s="196"/>
      <c r="D603" s="196"/>
      <c r="E603" s="196"/>
      <c r="F603" s="196"/>
      <c r="G603" s="196"/>
      <c r="H603" s="196"/>
      <c r="I603" s="196"/>
      <c r="J603" s="197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3.5" customHeight="1">
      <c r="A604" s="195"/>
      <c r="B604" s="196"/>
      <c r="C604" s="196"/>
      <c r="D604" s="196"/>
      <c r="E604" s="196"/>
      <c r="F604" s="196"/>
      <c r="G604" s="196"/>
      <c r="H604" s="196"/>
      <c r="I604" s="196"/>
      <c r="J604" s="197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3.5" customHeight="1">
      <c r="A605" s="195"/>
      <c r="B605" s="196"/>
      <c r="C605" s="196"/>
      <c r="D605" s="196"/>
      <c r="E605" s="196"/>
      <c r="F605" s="196"/>
      <c r="G605" s="196"/>
      <c r="H605" s="196"/>
      <c r="I605" s="196"/>
      <c r="J605" s="197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3.5" customHeight="1">
      <c r="A606" s="195"/>
      <c r="B606" s="196"/>
      <c r="C606" s="196"/>
      <c r="D606" s="196"/>
      <c r="E606" s="196"/>
      <c r="F606" s="196"/>
      <c r="G606" s="196"/>
      <c r="H606" s="196"/>
      <c r="I606" s="196"/>
      <c r="J606" s="197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3.5" customHeight="1">
      <c r="A607" s="195"/>
      <c r="B607" s="196"/>
      <c r="C607" s="196"/>
      <c r="D607" s="196"/>
      <c r="E607" s="196"/>
      <c r="F607" s="196"/>
      <c r="G607" s="196"/>
      <c r="H607" s="196"/>
      <c r="I607" s="196"/>
      <c r="J607" s="197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3.5" customHeight="1">
      <c r="A608" s="195"/>
      <c r="B608" s="196"/>
      <c r="C608" s="196"/>
      <c r="D608" s="196"/>
      <c r="E608" s="196"/>
      <c r="F608" s="196"/>
      <c r="G608" s="196"/>
      <c r="H608" s="196"/>
      <c r="I608" s="196"/>
      <c r="J608" s="197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3.5" customHeight="1">
      <c r="A609" s="195"/>
      <c r="B609" s="196"/>
      <c r="C609" s="196"/>
      <c r="D609" s="196"/>
      <c r="E609" s="196"/>
      <c r="F609" s="196"/>
      <c r="G609" s="196"/>
      <c r="H609" s="196"/>
      <c r="I609" s="196"/>
      <c r="J609" s="197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3.5" customHeight="1">
      <c r="A610" s="195"/>
      <c r="B610" s="196"/>
      <c r="C610" s="196"/>
      <c r="D610" s="196"/>
      <c r="E610" s="196"/>
      <c r="F610" s="196"/>
      <c r="G610" s="196"/>
      <c r="H610" s="196"/>
      <c r="I610" s="196"/>
      <c r="J610" s="197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3.5" customHeight="1">
      <c r="A611" s="195"/>
      <c r="B611" s="196"/>
      <c r="C611" s="196"/>
      <c r="D611" s="196"/>
      <c r="E611" s="196"/>
      <c r="F611" s="196"/>
      <c r="G611" s="196"/>
      <c r="H611" s="196"/>
      <c r="I611" s="196"/>
      <c r="J611" s="197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3.5" customHeight="1">
      <c r="A612" s="195"/>
      <c r="B612" s="196"/>
      <c r="C612" s="196"/>
      <c r="D612" s="196"/>
      <c r="E612" s="196"/>
      <c r="F612" s="196"/>
      <c r="G612" s="196"/>
      <c r="H612" s="196"/>
      <c r="I612" s="196"/>
      <c r="J612" s="197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3.5" customHeight="1">
      <c r="A613" s="195"/>
      <c r="B613" s="196"/>
      <c r="C613" s="196"/>
      <c r="D613" s="196"/>
      <c r="E613" s="196"/>
      <c r="F613" s="196"/>
      <c r="G613" s="196"/>
      <c r="H613" s="196"/>
      <c r="I613" s="196"/>
      <c r="J613" s="197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3.5" customHeight="1">
      <c r="A614" s="195"/>
      <c r="B614" s="196"/>
      <c r="C614" s="196"/>
      <c r="D614" s="196"/>
      <c r="E614" s="196"/>
      <c r="F614" s="196"/>
      <c r="G614" s="196"/>
      <c r="H614" s="196"/>
      <c r="I614" s="196"/>
      <c r="J614" s="197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3.5" customHeight="1">
      <c r="A615" s="195"/>
      <c r="B615" s="196"/>
      <c r="C615" s="196"/>
      <c r="D615" s="196"/>
      <c r="E615" s="196"/>
      <c r="F615" s="196"/>
      <c r="G615" s="196"/>
      <c r="H615" s="196"/>
      <c r="I615" s="196"/>
      <c r="J615" s="197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3.5" customHeight="1">
      <c r="A616" s="195"/>
      <c r="B616" s="196"/>
      <c r="C616" s="196"/>
      <c r="D616" s="196"/>
      <c r="E616" s="196"/>
      <c r="F616" s="196"/>
      <c r="G616" s="196"/>
      <c r="H616" s="196"/>
      <c r="I616" s="196"/>
      <c r="J616" s="197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3.5" customHeight="1">
      <c r="A617" s="195"/>
      <c r="B617" s="196"/>
      <c r="C617" s="196"/>
      <c r="D617" s="196"/>
      <c r="E617" s="196"/>
      <c r="F617" s="196"/>
      <c r="G617" s="196"/>
      <c r="H617" s="196"/>
      <c r="I617" s="196"/>
      <c r="J617" s="197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3.5" customHeight="1">
      <c r="A618" s="195"/>
      <c r="B618" s="196"/>
      <c r="C618" s="196"/>
      <c r="D618" s="196"/>
      <c r="E618" s="196"/>
      <c r="F618" s="196"/>
      <c r="G618" s="196"/>
      <c r="H618" s="196"/>
      <c r="I618" s="196"/>
      <c r="J618" s="197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3.5" customHeight="1">
      <c r="A619" s="195"/>
      <c r="B619" s="196"/>
      <c r="C619" s="196"/>
      <c r="D619" s="196"/>
      <c r="E619" s="196"/>
      <c r="F619" s="196"/>
      <c r="G619" s="196"/>
      <c r="H619" s="196"/>
      <c r="I619" s="196"/>
      <c r="J619" s="197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3.5" customHeight="1">
      <c r="A620" s="195"/>
      <c r="B620" s="196"/>
      <c r="C620" s="196"/>
      <c r="D620" s="196"/>
      <c r="E620" s="196"/>
      <c r="F620" s="196"/>
      <c r="G620" s="196"/>
      <c r="H620" s="196"/>
      <c r="I620" s="196"/>
      <c r="J620" s="197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3.5" customHeight="1">
      <c r="A621" s="195"/>
      <c r="B621" s="196"/>
      <c r="C621" s="196"/>
      <c r="D621" s="196"/>
      <c r="E621" s="196"/>
      <c r="F621" s="196"/>
      <c r="G621" s="196"/>
      <c r="H621" s="196"/>
      <c r="I621" s="196"/>
      <c r="J621" s="197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3.5" customHeight="1">
      <c r="A622" s="195"/>
      <c r="B622" s="196"/>
      <c r="C622" s="196"/>
      <c r="D622" s="196"/>
      <c r="E622" s="196"/>
      <c r="F622" s="196"/>
      <c r="G622" s="196"/>
      <c r="H622" s="196"/>
      <c r="I622" s="196"/>
      <c r="J622" s="197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3.5" customHeight="1">
      <c r="A623" s="195"/>
      <c r="B623" s="196"/>
      <c r="C623" s="196"/>
      <c r="D623" s="196"/>
      <c r="E623" s="196"/>
      <c r="F623" s="196"/>
      <c r="G623" s="196"/>
      <c r="H623" s="196"/>
      <c r="I623" s="196"/>
      <c r="J623" s="197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3.5" customHeight="1">
      <c r="A624" s="195"/>
      <c r="B624" s="196"/>
      <c r="C624" s="196"/>
      <c r="D624" s="196"/>
      <c r="E624" s="196"/>
      <c r="F624" s="196"/>
      <c r="G624" s="196"/>
      <c r="H624" s="196"/>
      <c r="I624" s="196"/>
      <c r="J624" s="197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3.5" customHeight="1">
      <c r="A625" s="195"/>
      <c r="B625" s="196"/>
      <c r="C625" s="196"/>
      <c r="D625" s="196"/>
      <c r="E625" s="196"/>
      <c r="F625" s="196"/>
      <c r="G625" s="196"/>
      <c r="H625" s="196"/>
      <c r="I625" s="196"/>
      <c r="J625" s="197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3.5" customHeight="1">
      <c r="A626" s="195"/>
      <c r="B626" s="196"/>
      <c r="C626" s="196"/>
      <c r="D626" s="196"/>
      <c r="E626" s="196"/>
      <c r="F626" s="196"/>
      <c r="G626" s="196"/>
      <c r="H626" s="196"/>
      <c r="I626" s="196"/>
      <c r="J626" s="197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3.5" customHeight="1">
      <c r="A627" s="195"/>
      <c r="B627" s="196"/>
      <c r="C627" s="196"/>
      <c r="D627" s="196"/>
      <c r="E627" s="196"/>
      <c r="F627" s="196"/>
      <c r="G627" s="196"/>
      <c r="H627" s="196"/>
      <c r="I627" s="196"/>
      <c r="J627" s="197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3.5" customHeight="1">
      <c r="A628" s="195"/>
      <c r="B628" s="196"/>
      <c r="C628" s="196"/>
      <c r="D628" s="196"/>
      <c r="E628" s="196"/>
      <c r="F628" s="196"/>
      <c r="G628" s="196"/>
      <c r="H628" s="196"/>
      <c r="I628" s="196"/>
      <c r="J628" s="197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3.5" customHeight="1">
      <c r="A629" s="195"/>
      <c r="B629" s="196"/>
      <c r="C629" s="196"/>
      <c r="D629" s="196"/>
      <c r="E629" s="196"/>
      <c r="F629" s="196"/>
      <c r="G629" s="196"/>
      <c r="H629" s="196"/>
      <c r="I629" s="196"/>
      <c r="J629" s="197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3.5" customHeight="1">
      <c r="A630" s="195"/>
      <c r="B630" s="196"/>
      <c r="C630" s="196"/>
      <c r="D630" s="196"/>
      <c r="E630" s="196"/>
      <c r="F630" s="196"/>
      <c r="G630" s="196"/>
      <c r="H630" s="196"/>
      <c r="I630" s="196"/>
      <c r="J630" s="197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3.5" customHeight="1">
      <c r="A631" s="195"/>
      <c r="B631" s="196"/>
      <c r="C631" s="196"/>
      <c r="D631" s="196"/>
      <c r="E631" s="196"/>
      <c r="F631" s="196"/>
      <c r="G631" s="196"/>
      <c r="H631" s="196"/>
      <c r="I631" s="196"/>
      <c r="J631" s="197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3.5" customHeight="1">
      <c r="A632" s="195"/>
      <c r="B632" s="196"/>
      <c r="C632" s="196"/>
      <c r="D632" s="196"/>
      <c r="E632" s="196"/>
      <c r="F632" s="196"/>
      <c r="G632" s="196"/>
      <c r="H632" s="196"/>
      <c r="I632" s="196"/>
      <c r="J632" s="197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3.5" customHeight="1">
      <c r="A633" s="195"/>
      <c r="B633" s="196"/>
      <c r="C633" s="196"/>
      <c r="D633" s="196"/>
      <c r="E633" s="196"/>
      <c r="F633" s="196"/>
      <c r="G633" s="196"/>
      <c r="H633" s="196"/>
      <c r="I633" s="196"/>
      <c r="J633" s="197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3.5" customHeight="1">
      <c r="A634" s="195"/>
      <c r="B634" s="196"/>
      <c r="C634" s="196"/>
      <c r="D634" s="196"/>
      <c r="E634" s="196"/>
      <c r="F634" s="196"/>
      <c r="G634" s="196"/>
      <c r="H634" s="196"/>
      <c r="I634" s="196"/>
      <c r="J634" s="197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3.5" customHeight="1">
      <c r="A635" s="195"/>
      <c r="B635" s="196"/>
      <c r="C635" s="196"/>
      <c r="D635" s="196"/>
      <c r="E635" s="196"/>
      <c r="F635" s="196"/>
      <c r="G635" s="196"/>
      <c r="H635" s="196"/>
      <c r="I635" s="196"/>
      <c r="J635" s="197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3.5" customHeight="1">
      <c r="A636" s="195"/>
      <c r="B636" s="196"/>
      <c r="C636" s="196"/>
      <c r="D636" s="196"/>
      <c r="E636" s="196"/>
      <c r="F636" s="196"/>
      <c r="G636" s="196"/>
      <c r="H636" s="196"/>
      <c r="I636" s="196"/>
      <c r="J636" s="197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3.5" customHeight="1">
      <c r="A637" s="195"/>
      <c r="B637" s="196"/>
      <c r="C637" s="196"/>
      <c r="D637" s="196"/>
      <c r="E637" s="196"/>
      <c r="F637" s="196"/>
      <c r="G637" s="196"/>
      <c r="H637" s="196"/>
      <c r="I637" s="196"/>
      <c r="J637" s="197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3.5" customHeight="1">
      <c r="A638" s="195"/>
      <c r="B638" s="196"/>
      <c r="C638" s="196"/>
      <c r="D638" s="196"/>
      <c r="E638" s="196"/>
      <c r="F638" s="196"/>
      <c r="G638" s="196"/>
      <c r="H638" s="196"/>
      <c r="I638" s="196"/>
      <c r="J638" s="197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3.5" customHeight="1">
      <c r="A639" s="195"/>
      <c r="B639" s="196"/>
      <c r="C639" s="196"/>
      <c r="D639" s="196"/>
      <c r="E639" s="196"/>
      <c r="F639" s="196"/>
      <c r="G639" s="196"/>
      <c r="H639" s="196"/>
      <c r="I639" s="196"/>
      <c r="J639" s="197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3.5" customHeight="1">
      <c r="A640" s="195"/>
      <c r="B640" s="196"/>
      <c r="C640" s="196"/>
      <c r="D640" s="196"/>
      <c r="E640" s="196"/>
      <c r="F640" s="196"/>
      <c r="G640" s="196"/>
      <c r="H640" s="196"/>
      <c r="I640" s="196"/>
      <c r="J640" s="197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3.5" customHeight="1">
      <c r="A641" s="195"/>
      <c r="B641" s="196"/>
      <c r="C641" s="196"/>
      <c r="D641" s="196"/>
      <c r="E641" s="196"/>
      <c r="F641" s="196"/>
      <c r="G641" s="196"/>
      <c r="H641" s="196"/>
      <c r="I641" s="196"/>
      <c r="J641" s="197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3.5" customHeight="1">
      <c r="A642" s="195"/>
      <c r="B642" s="196"/>
      <c r="C642" s="196"/>
      <c r="D642" s="196"/>
      <c r="E642" s="196"/>
      <c r="F642" s="196"/>
      <c r="G642" s="196"/>
      <c r="H642" s="196"/>
      <c r="I642" s="196"/>
      <c r="J642" s="197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3.5" customHeight="1">
      <c r="A643" s="195"/>
      <c r="B643" s="196"/>
      <c r="C643" s="196"/>
      <c r="D643" s="196"/>
      <c r="E643" s="196"/>
      <c r="F643" s="196"/>
      <c r="G643" s="196"/>
      <c r="H643" s="196"/>
      <c r="I643" s="196"/>
      <c r="J643" s="197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3.5" customHeight="1">
      <c r="A644" s="195"/>
      <c r="B644" s="196"/>
      <c r="C644" s="196"/>
      <c r="D644" s="196"/>
      <c r="E644" s="196"/>
      <c r="F644" s="196"/>
      <c r="G644" s="196"/>
      <c r="H644" s="196"/>
      <c r="I644" s="196"/>
      <c r="J644" s="197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3.5" customHeight="1">
      <c r="A645" s="195"/>
      <c r="B645" s="196"/>
      <c r="C645" s="196"/>
      <c r="D645" s="196"/>
      <c r="E645" s="196"/>
      <c r="F645" s="196"/>
      <c r="G645" s="196"/>
      <c r="H645" s="196"/>
      <c r="I645" s="196"/>
      <c r="J645" s="197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3.5" customHeight="1">
      <c r="A646" s="195"/>
      <c r="B646" s="196"/>
      <c r="C646" s="196"/>
      <c r="D646" s="196"/>
      <c r="E646" s="196"/>
      <c r="F646" s="196"/>
      <c r="G646" s="196"/>
      <c r="H646" s="196"/>
      <c r="I646" s="196"/>
      <c r="J646" s="197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3.5" customHeight="1">
      <c r="A647" s="195"/>
      <c r="B647" s="196"/>
      <c r="C647" s="196"/>
      <c r="D647" s="196"/>
      <c r="E647" s="196"/>
      <c r="F647" s="196"/>
      <c r="G647" s="196"/>
      <c r="H647" s="196"/>
      <c r="I647" s="196"/>
      <c r="J647" s="197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3.5" customHeight="1">
      <c r="A648" s="195"/>
      <c r="B648" s="196"/>
      <c r="C648" s="196"/>
      <c r="D648" s="196"/>
      <c r="E648" s="196"/>
      <c r="F648" s="196"/>
      <c r="G648" s="196"/>
      <c r="H648" s="196"/>
      <c r="I648" s="196"/>
      <c r="J648" s="197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3.5" customHeight="1">
      <c r="A649" s="195"/>
      <c r="B649" s="196"/>
      <c r="C649" s="196"/>
      <c r="D649" s="196"/>
      <c r="E649" s="196"/>
      <c r="F649" s="196"/>
      <c r="G649" s="196"/>
      <c r="H649" s="196"/>
      <c r="I649" s="196"/>
      <c r="J649" s="197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3.5" customHeight="1">
      <c r="A650" s="195"/>
      <c r="B650" s="196"/>
      <c r="C650" s="196"/>
      <c r="D650" s="196"/>
      <c r="E650" s="196"/>
      <c r="F650" s="196"/>
      <c r="G650" s="196"/>
      <c r="H650" s="196"/>
      <c r="I650" s="196"/>
      <c r="J650" s="197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3.5" customHeight="1">
      <c r="A651" s="195"/>
      <c r="B651" s="196"/>
      <c r="C651" s="196"/>
      <c r="D651" s="196"/>
      <c r="E651" s="196"/>
      <c r="F651" s="196"/>
      <c r="G651" s="196"/>
      <c r="H651" s="196"/>
      <c r="I651" s="196"/>
      <c r="J651" s="197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3.5" customHeight="1">
      <c r="A652" s="195"/>
      <c r="B652" s="196"/>
      <c r="C652" s="196"/>
      <c r="D652" s="196"/>
      <c r="E652" s="196"/>
      <c r="F652" s="196"/>
      <c r="G652" s="196"/>
      <c r="H652" s="196"/>
      <c r="I652" s="196"/>
      <c r="J652" s="197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3.5" customHeight="1">
      <c r="A653" s="195"/>
      <c r="B653" s="196"/>
      <c r="C653" s="196"/>
      <c r="D653" s="196"/>
      <c r="E653" s="196"/>
      <c r="F653" s="196"/>
      <c r="G653" s="196"/>
      <c r="H653" s="196"/>
      <c r="I653" s="196"/>
      <c r="J653" s="197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3.5" customHeight="1">
      <c r="A654" s="195"/>
      <c r="B654" s="196"/>
      <c r="C654" s="196"/>
      <c r="D654" s="196"/>
      <c r="E654" s="196"/>
      <c r="F654" s="196"/>
      <c r="G654" s="196"/>
      <c r="H654" s="196"/>
      <c r="I654" s="196"/>
      <c r="J654" s="197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3.5" customHeight="1">
      <c r="A655" s="195"/>
      <c r="B655" s="196"/>
      <c r="C655" s="196"/>
      <c r="D655" s="196"/>
      <c r="E655" s="196"/>
      <c r="F655" s="196"/>
      <c r="G655" s="196"/>
      <c r="H655" s="196"/>
      <c r="I655" s="196"/>
      <c r="J655" s="197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3.5" customHeight="1">
      <c r="A656" s="195"/>
      <c r="B656" s="196"/>
      <c r="C656" s="196"/>
      <c r="D656" s="196"/>
      <c r="E656" s="196"/>
      <c r="F656" s="196"/>
      <c r="G656" s="196"/>
      <c r="H656" s="196"/>
      <c r="I656" s="196"/>
      <c r="J656" s="197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3.5" customHeight="1">
      <c r="A657" s="195"/>
      <c r="B657" s="196"/>
      <c r="C657" s="196"/>
      <c r="D657" s="196"/>
      <c r="E657" s="196"/>
      <c r="F657" s="196"/>
      <c r="G657" s="196"/>
      <c r="H657" s="196"/>
      <c r="I657" s="196"/>
      <c r="J657" s="197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3.5" customHeight="1">
      <c r="A658" s="195"/>
      <c r="B658" s="196"/>
      <c r="C658" s="196"/>
      <c r="D658" s="196"/>
      <c r="E658" s="196"/>
      <c r="F658" s="196"/>
      <c r="G658" s="196"/>
      <c r="H658" s="196"/>
      <c r="I658" s="196"/>
      <c r="J658" s="197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3.5" customHeight="1">
      <c r="A659" s="195"/>
      <c r="B659" s="196"/>
      <c r="C659" s="196"/>
      <c r="D659" s="196"/>
      <c r="E659" s="196"/>
      <c r="F659" s="196"/>
      <c r="G659" s="196"/>
      <c r="H659" s="196"/>
      <c r="I659" s="196"/>
      <c r="J659" s="197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3.5" customHeight="1">
      <c r="A660" s="195"/>
      <c r="B660" s="196"/>
      <c r="C660" s="196"/>
      <c r="D660" s="196"/>
      <c r="E660" s="196"/>
      <c r="F660" s="196"/>
      <c r="G660" s="196"/>
      <c r="H660" s="196"/>
      <c r="I660" s="196"/>
      <c r="J660" s="197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3.5" customHeight="1">
      <c r="A661" s="195"/>
      <c r="B661" s="196"/>
      <c r="C661" s="196"/>
      <c r="D661" s="196"/>
      <c r="E661" s="196"/>
      <c r="F661" s="196"/>
      <c r="G661" s="196"/>
      <c r="H661" s="196"/>
      <c r="I661" s="196"/>
      <c r="J661" s="197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3.5" customHeight="1">
      <c r="A662" s="195"/>
      <c r="B662" s="196"/>
      <c r="C662" s="196"/>
      <c r="D662" s="196"/>
      <c r="E662" s="196"/>
      <c r="F662" s="196"/>
      <c r="G662" s="196"/>
      <c r="H662" s="196"/>
      <c r="I662" s="196"/>
      <c r="J662" s="197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3.5" customHeight="1">
      <c r="A663" s="195"/>
      <c r="B663" s="196"/>
      <c r="C663" s="196"/>
      <c r="D663" s="196"/>
      <c r="E663" s="196"/>
      <c r="F663" s="196"/>
      <c r="G663" s="196"/>
      <c r="H663" s="196"/>
      <c r="I663" s="196"/>
      <c r="J663" s="197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3.5" customHeight="1">
      <c r="A664" s="195"/>
      <c r="B664" s="196"/>
      <c r="C664" s="196"/>
      <c r="D664" s="196"/>
      <c r="E664" s="196"/>
      <c r="F664" s="196"/>
      <c r="G664" s="196"/>
      <c r="H664" s="196"/>
      <c r="I664" s="196"/>
      <c r="J664" s="197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3.5" customHeight="1">
      <c r="A665" s="195"/>
      <c r="B665" s="196"/>
      <c r="C665" s="196"/>
      <c r="D665" s="196"/>
      <c r="E665" s="196"/>
      <c r="F665" s="196"/>
      <c r="G665" s="196"/>
      <c r="H665" s="196"/>
      <c r="I665" s="196"/>
      <c r="J665" s="197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3.5" customHeight="1">
      <c r="A666" s="195"/>
      <c r="B666" s="196"/>
      <c r="C666" s="196"/>
      <c r="D666" s="196"/>
      <c r="E666" s="196"/>
      <c r="F666" s="196"/>
      <c r="G666" s="196"/>
      <c r="H666" s="196"/>
      <c r="I666" s="196"/>
      <c r="J666" s="197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3.5" customHeight="1">
      <c r="A667" s="195"/>
      <c r="B667" s="196"/>
      <c r="C667" s="196"/>
      <c r="D667" s="196"/>
      <c r="E667" s="196"/>
      <c r="F667" s="196"/>
      <c r="G667" s="196"/>
      <c r="H667" s="196"/>
      <c r="I667" s="196"/>
      <c r="J667" s="197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3.5" customHeight="1">
      <c r="A668" s="195"/>
      <c r="B668" s="196"/>
      <c r="C668" s="196"/>
      <c r="D668" s="196"/>
      <c r="E668" s="196"/>
      <c r="F668" s="196"/>
      <c r="G668" s="196"/>
      <c r="H668" s="196"/>
      <c r="I668" s="196"/>
      <c r="J668" s="197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3.5" customHeight="1">
      <c r="A669" s="195"/>
      <c r="B669" s="196"/>
      <c r="C669" s="196"/>
      <c r="D669" s="196"/>
      <c r="E669" s="196"/>
      <c r="F669" s="196"/>
      <c r="G669" s="196"/>
      <c r="H669" s="196"/>
      <c r="I669" s="196"/>
      <c r="J669" s="197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3.5" customHeight="1">
      <c r="A670" s="195"/>
      <c r="B670" s="196"/>
      <c r="C670" s="196"/>
      <c r="D670" s="196"/>
      <c r="E670" s="196"/>
      <c r="F670" s="196"/>
      <c r="G670" s="196"/>
      <c r="H670" s="196"/>
      <c r="I670" s="196"/>
      <c r="J670" s="197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3.5" customHeight="1">
      <c r="A671" s="195"/>
      <c r="B671" s="196"/>
      <c r="C671" s="196"/>
      <c r="D671" s="196"/>
      <c r="E671" s="196"/>
      <c r="F671" s="196"/>
      <c r="G671" s="196"/>
      <c r="H671" s="196"/>
      <c r="I671" s="196"/>
      <c r="J671" s="197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3.5" customHeight="1">
      <c r="A672" s="195"/>
      <c r="B672" s="196"/>
      <c r="C672" s="196"/>
      <c r="D672" s="196"/>
      <c r="E672" s="196"/>
      <c r="F672" s="196"/>
      <c r="G672" s="196"/>
      <c r="H672" s="196"/>
      <c r="I672" s="196"/>
      <c r="J672" s="197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3.5" customHeight="1">
      <c r="A673" s="195"/>
      <c r="B673" s="196"/>
      <c r="C673" s="196"/>
      <c r="D673" s="196"/>
      <c r="E673" s="196"/>
      <c r="F673" s="196"/>
      <c r="G673" s="196"/>
      <c r="H673" s="196"/>
      <c r="I673" s="196"/>
      <c r="J673" s="197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3.5" customHeight="1">
      <c r="A674" s="195"/>
      <c r="B674" s="196"/>
      <c r="C674" s="196"/>
      <c r="D674" s="196"/>
      <c r="E674" s="196"/>
      <c r="F674" s="196"/>
      <c r="G674" s="196"/>
      <c r="H674" s="196"/>
      <c r="I674" s="196"/>
      <c r="J674" s="197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3.5" customHeight="1">
      <c r="A675" s="195"/>
      <c r="B675" s="196"/>
      <c r="C675" s="196"/>
      <c r="D675" s="196"/>
      <c r="E675" s="196"/>
      <c r="F675" s="196"/>
      <c r="G675" s="196"/>
      <c r="H675" s="196"/>
      <c r="I675" s="196"/>
      <c r="J675" s="197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3.5" customHeight="1">
      <c r="A676" s="195"/>
      <c r="B676" s="196"/>
      <c r="C676" s="196"/>
      <c r="D676" s="196"/>
      <c r="E676" s="196"/>
      <c r="F676" s="196"/>
      <c r="G676" s="196"/>
      <c r="H676" s="196"/>
      <c r="I676" s="196"/>
      <c r="J676" s="197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3.5" customHeight="1">
      <c r="A677" s="195"/>
      <c r="B677" s="196"/>
      <c r="C677" s="196"/>
      <c r="D677" s="196"/>
      <c r="E677" s="196"/>
      <c r="F677" s="196"/>
      <c r="G677" s="196"/>
      <c r="H677" s="196"/>
      <c r="I677" s="196"/>
      <c r="J677" s="197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3.5" customHeight="1">
      <c r="A678" s="195"/>
      <c r="B678" s="196"/>
      <c r="C678" s="196"/>
      <c r="D678" s="196"/>
      <c r="E678" s="196"/>
      <c r="F678" s="196"/>
      <c r="G678" s="196"/>
      <c r="H678" s="196"/>
      <c r="I678" s="196"/>
      <c r="J678" s="197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3.5" customHeight="1">
      <c r="A679" s="195"/>
      <c r="B679" s="196"/>
      <c r="C679" s="196"/>
      <c r="D679" s="196"/>
      <c r="E679" s="196"/>
      <c r="F679" s="196"/>
      <c r="G679" s="196"/>
      <c r="H679" s="196"/>
      <c r="I679" s="196"/>
      <c r="J679" s="197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3.5" customHeight="1">
      <c r="A680" s="195"/>
      <c r="B680" s="196"/>
      <c r="C680" s="196"/>
      <c r="D680" s="196"/>
      <c r="E680" s="196"/>
      <c r="F680" s="196"/>
      <c r="G680" s="196"/>
      <c r="H680" s="196"/>
      <c r="I680" s="196"/>
      <c r="J680" s="197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3.5" customHeight="1">
      <c r="A681" s="195"/>
      <c r="B681" s="196"/>
      <c r="C681" s="196"/>
      <c r="D681" s="196"/>
      <c r="E681" s="196"/>
      <c r="F681" s="196"/>
      <c r="G681" s="196"/>
      <c r="H681" s="196"/>
      <c r="I681" s="196"/>
      <c r="J681" s="197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3.5" customHeight="1">
      <c r="A682" s="195"/>
      <c r="B682" s="196"/>
      <c r="C682" s="196"/>
      <c r="D682" s="196"/>
      <c r="E682" s="196"/>
      <c r="F682" s="196"/>
      <c r="G682" s="196"/>
      <c r="H682" s="196"/>
      <c r="I682" s="196"/>
      <c r="J682" s="197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3.5" customHeight="1">
      <c r="A683" s="195"/>
      <c r="B683" s="196"/>
      <c r="C683" s="196"/>
      <c r="D683" s="196"/>
      <c r="E683" s="196"/>
      <c r="F683" s="196"/>
      <c r="G683" s="196"/>
      <c r="H683" s="196"/>
      <c r="I683" s="196"/>
      <c r="J683" s="197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3.5" customHeight="1">
      <c r="A684" s="195"/>
      <c r="B684" s="196"/>
      <c r="C684" s="196"/>
      <c r="D684" s="196"/>
      <c r="E684" s="196"/>
      <c r="F684" s="196"/>
      <c r="G684" s="196"/>
      <c r="H684" s="196"/>
      <c r="I684" s="196"/>
      <c r="J684" s="197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3.5" customHeight="1">
      <c r="A685" s="195"/>
      <c r="B685" s="196"/>
      <c r="C685" s="196"/>
      <c r="D685" s="196"/>
      <c r="E685" s="196"/>
      <c r="F685" s="196"/>
      <c r="G685" s="196"/>
      <c r="H685" s="196"/>
      <c r="I685" s="196"/>
      <c r="J685" s="197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3.5" customHeight="1">
      <c r="A686" s="195"/>
      <c r="B686" s="196"/>
      <c r="C686" s="196"/>
      <c r="D686" s="196"/>
      <c r="E686" s="196"/>
      <c r="F686" s="196"/>
      <c r="G686" s="196"/>
      <c r="H686" s="196"/>
      <c r="I686" s="196"/>
      <c r="J686" s="197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3.5" customHeight="1">
      <c r="A687" s="195"/>
      <c r="B687" s="196"/>
      <c r="C687" s="196"/>
      <c r="D687" s="196"/>
      <c r="E687" s="196"/>
      <c r="F687" s="196"/>
      <c r="G687" s="196"/>
      <c r="H687" s="196"/>
      <c r="I687" s="196"/>
      <c r="J687" s="197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3.5" customHeight="1">
      <c r="A688" s="195"/>
      <c r="B688" s="196"/>
      <c r="C688" s="196"/>
      <c r="D688" s="196"/>
      <c r="E688" s="196"/>
      <c r="F688" s="196"/>
      <c r="G688" s="196"/>
      <c r="H688" s="196"/>
      <c r="I688" s="196"/>
      <c r="J688" s="197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3.5" customHeight="1">
      <c r="A689" s="195"/>
      <c r="B689" s="196"/>
      <c r="C689" s="196"/>
      <c r="D689" s="196"/>
      <c r="E689" s="196"/>
      <c r="F689" s="196"/>
      <c r="G689" s="196"/>
      <c r="H689" s="196"/>
      <c r="I689" s="196"/>
      <c r="J689" s="197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3.5" customHeight="1">
      <c r="A690" s="195"/>
      <c r="B690" s="196"/>
      <c r="C690" s="196"/>
      <c r="D690" s="196"/>
      <c r="E690" s="196"/>
      <c r="F690" s="196"/>
      <c r="G690" s="196"/>
      <c r="H690" s="196"/>
      <c r="I690" s="196"/>
      <c r="J690" s="197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3.5" customHeight="1">
      <c r="A691" s="195"/>
      <c r="B691" s="196"/>
      <c r="C691" s="196"/>
      <c r="D691" s="196"/>
      <c r="E691" s="196"/>
      <c r="F691" s="196"/>
      <c r="G691" s="196"/>
      <c r="H691" s="196"/>
      <c r="I691" s="196"/>
      <c r="J691" s="197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3.5" customHeight="1">
      <c r="A692" s="195"/>
      <c r="B692" s="196"/>
      <c r="C692" s="196"/>
      <c r="D692" s="196"/>
      <c r="E692" s="196"/>
      <c r="F692" s="196"/>
      <c r="G692" s="196"/>
      <c r="H692" s="196"/>
      <c r="I692" s="196"/>
      <c r="J692" s="197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3.5" customHeight="1">
      <c r="A693" s="195"/>
      <c r="B693" s="196"/>
      <c r="C693" s="196"/>
      <c r="D693" s="196"/>
      <c r="E693" s="196"/>
      <c r="F693" s="196"/>
      <c r="G693" s="196"/>
      <c r="H693" s="196"/>
      <c r="I693" s="196"/>
      <c r="J693" s="197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3.5" customHeight="1">
      <c r="A694" s="195"/>
      <c r="B694" s="196"/>
      <c r="C694" s="196"/>
      <c r="D694" s="196"/>
      <c r="E694" s="196"/>
      <c r="F694" s="196"/>
      <c r="G694" s="196"/>
      <c r="H694" s="196"/>
      <c r="I694" s="196"/>
      <c r="J694" s="197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3.5" customHeight="1">
      <c r="A695" s="195"/>
      <c r="B695" s="196"/>
      <c r="C695" s="196"/>
      <c r="D695" s="196"/>
      <c r="E695" s="196"/>
      <c r="F695" s="196"/>
      <c r="G695" s="196"/>
      <c r="H695" s="196"/>
      <c r="I695" s="196"/>
      <c r="J695" s="197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3.5" customHeight="1">
      <c r="A696" s="195"/>
      <c r="B696" s="196"/>
      <c r="C696" s="196"/>
      <c r="D696" s="196"/>
      <c r="E696" s="196"/>
      <c r="F696" s="196"/>
      <c r="G696" s="196"/>
      <c r="H696" s="196"/>
      <c r="I696" s="196"/>
      <c r="J696" s="197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3.5" customHeight="1">
      <c r="A697" s="195"/>
      <c r="B697" s="196"/>
      <c r="C697" s="196"/>
      <c r="D697" s="196"/>
      <c r="E697" s="196"/>
      <c r="F697" s="196"/>
      <c r="G697" s="196"/>
      <c r="H697" s="196"/>
      <c r="I697" s="196"/>
      <c r="J697" s="197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3.5" customHeight="1">
      <c r="A698" s="195"/>
      <c r="B698" s="196"/>
      <c r="C698" s="196"/>
      <c r="D698" s="196"/>
      <c r="E698" s="196"/>
      <c r="F698" s="196"/>
      <c r="G698" s="196"/>
      <c r="H698" s="196"/>
      <c r="I698" s="196"/>
      <c r="J698" s="197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3.5" customHeight="1">
      <c r="A699" s="195"/>
      <c r="B699" s="196"/>
      <c r="C699" s="196"/>
      <c r="D699" s="196"/>
      <c r="E699" s="196"/>
      <c r="F699" s="196"/>
      <c r="G699" s="196"/>
      <c r="H699" s="196"/>
      <c r="I699" s="196"/>
      <c r="J699" s="197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3.5" customHeight="1">
      <c r="A700" s="195"/>
      <c r="B700" s="196"/>
      <c r="C700" s="196"/>
      <c r="D700" s="196"/>
      <c r="E700" s="196"/>
      <c r="F700" s="196"/>
      <c r="G700" s="196"/>
      <c r="H700" s="196"/>
      <c r="I700" s="196"/>
      <c r="J700" s="197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3.5" customHeight="1">
      <c r="A701" s="195"/>
      <c r="B701" s="196"/>
      <c r="C701" s="196"/>
      <c r="D701" s="196"/>
      <c r="E701" s="196"/>
      <c r="F701" s="196"/>
      <c r="G701" s="196"/>
      <c r="H701" s="196"/>
      <c r="I701" s="196"/>
      <c r="J701" s="197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3.5" customHeight="1">
      <c r="A702" s="195"/>
      <c r="B702" s="196"/>
      <c r="C702" s="196"/>
      <c r="D702" s="196"/>
      <c r="E702" s="196"/>
      <c r="F702" s="196"/>
      <c r="G702" s="196"/>
      <c r="H702" s="196"/>
      <c r="I702" s="196"/>
      <c r="J702" s="197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3.5" customHeight="1">
      <c r="A703" s="195"/>
      <c r="B703" s="196"/>
      <c r="C703" s="196"/>
      <c r="D703" s="196"/>
      <c r="E703" s="196"/>
      <c r="F703" s="196"/>
      <c r="G703" s="196"/>
      <c r="H703" s="196"/>
      <c r="I703" s="196"/>
      <c r="J703" s="197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3.5" customHeight="1">
      <c r="A704" s="195"/>
      <c r="B704" s="196"/>
      <c r="C704" s="196"/>
      <c r="D704" s="196"/>
      <c r="E704" s="196"/>
      <c r="F704" s="196"/>
      <c r="G704" s="196"/>
      <c r="H704" s="196"/>
      <c r="I704" s="196"/>
      <c r="J704" s="197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3.5" customHeight="1">
      <c r="A705" s="195"/>
      <c r="B705" s="196"/>
      <c r="C705" s="196"/>
      <c r="D705" s="196"/>
      <c r="E705" s="196"/>
      <c r="F705" s="196"/>
      <c r="G705" s="196"/>
      <c r="H705" s="196"/>
      <c r="I705" s="196"/>
      <c r="J705" s="197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3.5" customHeight="1">
      <c r="A706" s="195"/>
      <c r="B706" s="196"/>
      <c r="C706" s="196"/>
      <c r="D706" s="196"/>
      <c r="E706" s="196"/>
      <c r="F706" s="196"/>
      <c r="G706" s="196"/>
      <c r="H706" s="196"/>
      <c r="I706" s="196"/>
      <c r="J706" s="197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3.5" customHeight="1">
      <c r="A707" s="195"/>
      <c r="B707" s="196"/>
      <c r="C707" s="196"/>
      <c r="D707" s="196"/>
      <c r="E707" s="196"/>
      <c r="F707" s="196"/>
      <c r="G707" s="196"/>
      <c r="H707" s="196"/>
      <c r="I707" s="196"/>
      <c r="J707" s="197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3.5" customHeight="1">
      <c r="A708" s="195"/>
      <c r="B708" s="196"/>
      <c r="C708" s="196"/>
      <c r="D708" s="196"/>
      <c r="E708" s="196"/>
      <c r="F708" s="196"/>
      <c r="G708" s="196"/>
      <c r="H708" s="196"/>
      <c r="I708" s="196"/>
      <c r="J708" s="197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3.5" customHeight="1">
      <c r="A709" s="195"/>
      <c r="B709" s="196"/>
      <c r="C709" s="196"/>
      <c r="D709" s="196"/>
      <c r="E709" s="196"/>
      <c r="F709" s="196"/>
      <c r="G709" s="196"/>
      <c r="H709" s="196"/>
      <c r="I709" s="196"/>
      <c r="J709" s="197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3.5" customHeight="1">
      <c r="A710" s="195"/>
      <c r="B710" s="196"/>
      <c r="C710" s="196"/>
      <c r="D710" s="196"/>
      <c r="E710" s="196"/>
      <c r="F710" s="196"/>
      <c r="G710" s="196"/>
      <c r="H710" s="196"/>
      <c r="I710" s="196"/>
      <c r="J710" s="197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3.5" customHeight="1">
      <c r="A711" s="195"/>
      <c r="B711" s="196"/>
      <c r="C711" s="196"/>
      <c r="D711" s="196"/>
      <c r="E711" s="196"/>
      <c r="F711" s="196"/>
      <c r="G711" s="196"/>
      <c r="H711" s="196"/>
      <c r="I711" s="196"/>
      <c r="J711" s="197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3.5" customHeight="1">
      <c r="A712" s="195"/>
      <c r="B712" s="196"/>
      <c r="C712" s="196"/>
      <c r="D712" s="196"/>
      <c r="E712" s="196"/>
      <c r="F712" s="196"/>
      <c r="G712" s="196"/>
      <c r="H712" s="196"/>
      <c r="I712" s="196"/>
      <c r="J712" s="197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3.5" customHeight="1">
      <c r="A713" s="195"/>
      <c r="B713" s="196"/>
      <c r="C713" s="196"/>
      <c r="D713" s="196"/>
      <c r="E713" s="196"/>
      <c r="F713" s="196"/>
      <c r="G713" s="196"/>
      <c r="H713" s="196"/>
      <c r="I713" s="196"/>
      <c r="J713" s="197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3.5" customHeight="1">
      <c r="A714" s="195"/>
      <c r="B714" s="196"/>
      <c r="C714" s="196"/>
      <c r="D714" s="196"/>
      <c r="E714" s="196"/>
      <c r="F714" s="196"/>
      <c r="G714" s="196"/>
      <c r="H714" s="196"/>
      <c r="I714" s="196"/>
      <c r="J714" s="197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3.5" customHeight="1">
      <c r="A715" s="195"/>
      <c r="B715" s="196"/>
      <c r="C715" s="196"/>
      <c r="D715" s="196"/>
      <c r="E715" s="196"/>
      <c r="F715" s="196"/>
      <c r="G715" s="196"/>
      <c r="H715" s="196"/>
      <c r="I715" s="196"/>
      <c r="J715" s="197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3.5" customHeight="1">
      <c r="A716" s="195"/>
      <c r="B716" s="196"/>
      <c r="C716" s="196"/>
      <c r="D716" s="196"/>
      <c r="E716" s="196"/>
      <c r="F716" s="196"/>
      <c r="G716" s="196"/>
      <c r="H716" s="196"/>
      <c r="I716" s="196"/>
      <c r="J716" s="197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3.5" customHeight="1">
      <c r="A717" s="195"/>
      <c r="B717" s="196"/>
      <c r="C717" s="196"/>
      <c r="D717" s="196"/>
      <c r="E717" s="196"/>
      <c r="F717" s="196"/>
      <c r="G717" s="196"/>
      <c r="H717" s="196"/>
      <c r="I717" s="196"/>
      <c r="J717" s="197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3.5" customHeight="1">
      <c r="A718" s="195"/>
      <c r="B718" s="196"/>
      <c r="C718" s="196"/>
      <c r="D718" s="196"/>
      <c r="E718" s="196"/>
      <c r="F718" s="196"/>
      <c r="G718" s="196"/>
      <c r="H718" s="196"/>
      <c r="I718" s="196"/>
      <c r="J718" s="197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3.5" customHeight="1">
      <c r="A719" s="195"/>
      <c r="B719" s="196"/>
      <c r="C719" s="196"/>
      <c r="D719" s="196"/>
      <c r="E719" s="196"/>
      <c r="F719" s="196"/>
      <c r="G719" s="196"/>
      <c r="H719" s="196"/>
      <c r="I719" s="196"/>
      <c r="J719" s="197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3.5" customHeight="1">
      <c r="A720" s="195"/>
      <c r="B720" s="196"/>
      <c r="C720" s="196"/>
      <c r="D720" s="196"/>
      <c r="E720" s="196"/>
      <c r="F720" s="196"/>
      <c r="G720" s="196"/>
      <c r="H720" s="196"/>
      <c r="I720" s="196"/>
      <c r="J720" s="197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3.5" customHeight="1">
      <c r="A721" s="195"/>
      <c r="B721" s="196"/>
      <c r="C721" s="196"/>
      <c r="D721" s="196"/>
      <c r="E721" s="196"/>
      <c r="F721" s="196"/>
      <c r="G721" s="196"/>
      <c r="H721" s="196"/>
      <c r="I721" s="196"/>
      <c r="J721" s="197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3.5" customHeight="1">
      <c r="A722" s="195"/>
      <c r="B722" s="196"/>
      <c r="C722" s="196"/>
      <c r="D722" s="196"/>
      <c r="E722" s="196"/>
      <c r="F722" s="196"/>
      <c r="G722" s="196"/>
      <c r="H722" s="196"/>
      <c r="I722" s="196"/>
      <c r="J722" s="197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3.5" customHeight="1">
      <c r="A723" s="195"/>
      <c r="B723" s="196"/>
      <c r="C723" s="196"/>
      <c r="D723" s="196"/>
      <c r="E723" s="196"/>
      <c r="F723" s="196"/>
      <c r="G723" s="196"/>
      <c r="H723" s="196"/>
      <c r="I723" s="196"/>
      <c r="J723" s="197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3.5" customHeight="1">
      <c r="A724" s="195"/>
      <c r="B724" s="196"/>
      <c r="C724" s="196"/>
      <c r="D724" s="196"/>
      <c r="E724" s="196"/>
      <c r="F724" s="196"/>
      <c r="G724" s="196"/>
      <c r="H724" s="196"/>
      <c r="I724" s="196"/>
      <c r="J724" s="197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3.5" customHeight="1">
      <c r="A725" s="195"/>
      <c r="B725" s="196"/>
      <c r="C725" s="196"/>
      <c r="D725" s="196"/>
      <c r="E725" s="196"/>
      <c r="F725" s="196"/>
      <c r="G725" s="196"/>
      <c r="H725" s="196"/>
      <c r="I725" s="196"/>
      <c r="J725" s="197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3.5" customHeight="1">
      <c r="A726" s="195"/>
      <c r="B726" s="196"/>
      <c r="C726" s="196"/>
      <c r="D726" s="196"/>
      <c r="E726" s="196"/>
      <c r="F726" s="196"/>
      <c r="G726" s="196"/>
      <c r="H726" s="196"/>
      <c r="I726" s="196"/>
      <c r="J726" s="197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3.5" customHeight="1">
      <c r="A727" s="195"/>
      <c r="B727" s="196"/>
      <c r="C727" s="196"/>
      <c r="D727" s="196"/>
      <c r="E727" s="196"/>
      <c r="F727" s="196"/>
      <c r="G727" s="196"/>
      <c r="H727" s="196"/>
      <c r="I727" s="196"/>
      <c r="J727" s="197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3.5" customHeight="1">
      <c r="A728" s="195"/>
      <c r="B728" s="196"/>
      <c r="C728" s="196"/>
      <c r="D728" s="196"/>
      <c r="E728" s="196"/>
      <c r="F728" s="196"/>
      <c r="G728" s="196"/>
      <c r="H728" s="196"/>
      <c r="I728" s="196"/>
      <c r="J728" s="197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3.5" customHeight="1">
      <c r="A729" s="195"/>
      <c r="B729" s="196"/>
      <c r="C729" s="196"/>
      <c r="D729" s="196"/>
      <c r="E729" s="196"/>
      <c r="F729" s="196"/>
      <c r="G729" s="196"/>
      <c r="H729" s="196"/>
      <c r="I729" s="196"/>
      <c r="J729" s="197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3.5" customHeight="1">
      <c r="A730" s="195"/>
      <c r="B730" s="196"/>
      <c r="C730" s="196"/>
      <c r="D730" s="196"/>
      <c r="E730" s="196"/>
      <c r="F730" s="196"/>
      <c r="G730" s="196"/>
      <c r="H730" s="196"/>
      <c r="I730" s="196"/>
      <c r="J730" s="197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3.5" customHeight="1">
      <c r="A731" s="195"/>
      <c r="B731" s="196"/>
      <c r="C731" s="196"/>
      <c r="D731" s="196"/>
      <c r="E731" s="196"/>
      <c r="F731" s="196"/>
      <c r="G731" s="196"/>
      <c r="H731" s="196"/>
      <c r="I731" s="196"/>
      <c r="J731" s="197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3.5" customHeight="1">
      <c r="A732" s="195"/>
      <c r="B732" s="196"/>
      <c r="C732" s="196"/>
      <c r="D732" s="196"/>
      <c r="E732" s="196"/>
      <c r="F732" s="196"/>
      <c r="G732" s="196"/>
      <c r="H732" s="196"/>
      <c r="I732" s="196"/>
      <c r="J732" s="197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3.5" customHeight="1">
      <c r="A733" s="195"/>
      <c r="B733" s="196"/>
      <c r="C733" s="196"/>
      <c r="D733" s="196"/>
      <c r="E733" s="196"/>
      <c r="F733" s="196"/>
      <c r="G733" s="196"/>
      <c r="H733" s="196"/>
      <c r="I733" s="196"/>
      <c r="J733" s="197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3.5" customHeight="1">
      <c r="A734" s="195"/>
      <c r="B734" s="196"/>
      <c r="C734" s="196"/>
      <c r="D734" s="196"/>
      <c r="E734" s="196"/>
      <c r="F734" s="196"/>
      <c r="G734" s="196"/>
      <c r="H734" s="196"/>
      <c r="I734" s="196"/>
      <c r="J734" s="197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3.5" customHeight="1">
      <c r="A735" s="195"/>
      <c r="B735" s="196"/>
      <c r="C735" s="196"/>
      <c r="D735" s="196"/>
      <c r="E735" s="196"/>
      <c r="F735" s="196"/>
      <c r="G735" s="196"/>
      <c r="H735" s="196"/>
      <c r="I735" s="196"/>
      <c r="J735" s="197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3.5" customHeight="1">
      <c r="A736" s="195"/>
      <c r="B736" s="196"/>
      <c r="C736" s="196"/>
      <c r="D736" s="196"/>
      <c r="E736" s="196"/>
      <c r="F736" s="196"/>
      <c r="G736" s="196"/>
      <c r="H736" s="196"/>
      <c r="I736" s="196"/>
      <c r="J736" s="197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3.5" customHeight="1">
      <c r="A737" s="195"/>
      <c r="B737" s="196"/>
      <c r="C737" s="196"/>
      <c r="D737" s="196"/>
      <c r="E737" s="196"/>
      <c r="F737" s="196"/>
      <c r="G737" s="196"/>
      <c r="H737" s="196"/>
      <c r="I737" s="196"/>
      <c r="J737" s="197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3.5" customHeight="1">
      <c r="A738" s="195"/>
      <c r="B738" s="196"/>
      <c r="C738" s="196"/>
      <c r="D738" s="196"/>
      <c r="E738" s="196"/>
      <c r="F738" s="196"/>
      <c r="G738" s="196"/>
      <c r="H738" s="196"/>
      <c r="I738" s="196"/>
      <c r="J738" s="197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3.5" customHeight="1">
      <c r="A739" s="195"/>
      <c r="B739" s="196"/>
      <c r="C739" s="196"/>
      <c r="D739" s="196"/>
      <c r="E739" s="196"/>
      <c r="F739" s="196"/>
      <c r="G739" s="196"/>
      <c r="H739" s="196"/>
      <c r="I739" s="196"/>
      <c r="J739" s="197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3.5" customHeight="1">
      <c r="A740" s="195"/>
      <c r="B740" s="196"/>
      <c r="C740" s="196"/>
      <c r="D740" s="196"/>
      <c r="E740" s="196"/>
      <c r="F740" s="196"/>
      <c r="G740" s="196"/>
      <c r="H740" s="196"/>
      <c r="I740" s="196"/>
      <c r="J740" s="197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3.5" customHeight="1">
      <c r="A741" s="195"/>
      <c r="B741" s="196"/>
      <c r="C741" s="196"/>
      <c r="D741" s="196"/>
      <c r="E741" s="196"/>
      <c r="F741" s="196"/>
      <c r="G741" s="196"/>
      <c r="H741" s="196"/>
      <c r="I741" s="196"/>
      <c r="J741" s="197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3.5" customHeight="1">
      <c r="A742" s="195"/>
      <c r="B742" s="196"/>
      <c r="C742" s="196"/>
      <c r="D742" s="196"/>
      <c r="E742" s="196"/>
      <c r="F742" s="196"/>
      <c r="G742" s="196"/>
      <c r="H742" s="196"/>
      <c r="I742" s="196"/>
      <c r="J742" s="197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3.5" customHeight="1">
      <c r="A743" s="195"/>
      <c r="B743" s="196"/>
      <c r="C743" s="196"/>
      <c r="D743" s="196"/>
      <c r="E743" s="196"/>
      <c r="F743" s="196"/>
      <c r="G743" s="196"/>
      <c r="H743" s="196"/>
      <c r="I743" s="196"/>
      <c r="J743" s="197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3.5" customHeight="1">
      <c r="A744" s="195"/>
      <c r="B744" s="196"/>
      <c r="C744" s="196"/>
      <c r="D744" s="196"/>
      <c r="E744" s="196"/>
      <c r="F744" s="196"/>
      <c r="G744" s="196"/>
      <c r="H744" s="196"/>
      <c r="I744" s="196"/>
      <c r="J744" s="197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3.5" customHeight="1">
      <c r="A745" s="195"/>
      <c r="B745" s="196"/>
      <c r="C745" s="196"/>
      <c r="D745" s="196"/>
      <c r="E745" s="196"/>
      <c r="F745" s="196"/>
      <c r="G745" s="196"/>
      <c r="H745" s="196"/>
      <c r="I745" s="196"/>
      <c r="J745" s="197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3.5" customHeight="1">
      <c r="A746" s="195"/>
      <c r="B746" s="196"/>
      <c r="C746" s="196"/>
      <c r="D746" s="196"/>
      <c r="E746" s="196"/>
      <c r="F746" s="196"/>
      <c r="G746" s="196"/>
      <c r="H746" s="196"/>
      <c r="I746" s="196"/>
      <c r="J746" s="197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3.5" customHeight="1">
      <c r="A747" s="195"/>
      <c r="B747" s="196"/>
      <c r="C747" s="196"/>
      <c r="D747" s="196"/>
      <c r="E747" s="196"/>
      <c r="F747" s="196"/>
      <c r="G747" s="196"/>
      <c r="H747" s="196"/>
      <c r="I747" s="196"/>
      <c r="J747" s="197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3.5" customHeight="1">
      <c r="A748" s="195"/>
      <c r="B748" s="196"/>
      <c r="C748" s="196"/>
      <c r="D748" s="196"/>
      <c r="E748" s="196"/>
      <c r="F748" s="196"/>
      <c r="G748" s="196"/>
      <c r="H748" s="196"/>
      <c r="I748" s="196"/>
      <c r="J748" s="197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3.5" customHeight="1">
      <c r="A749" s="195"/>
      <c r="B749" s="196"/>
      <c r="C749" s="196"/>
      <c r="D749" s="196"/>
      <c r="E749" s="196"/>
      <c r="F749" s="196"/>
      <c r="G749" s="196"/>
      <c r="H749" s="196"/>
      <c r="I749" s="196"/>
      <c r="J749" s="197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3.5" customHeight="1">
      <c r="A750" s="195"/>
      <c r="B750" s="196"/>
      <c r="C750" s="196"/>
      <c r="D750" s="196"/>
      <c r="E750" s="196"/>
      <c r="F750" s="196"/>
      <c r="G750" s="196"/>
      <c r="H750" s="196"/>
      <c r="I750" s="196"/>
      <c r="J750" s="197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3.5" customHeight="1">
      <c r="A751" s="195"/>
      <c r="B751" s="196"/>
      <c r="C751" s="196"/>
      <c r="D751" s="196"/>
      <c r="E751" s="196"/>
      <c r="F751" s="196"/>
      <c r="G751" s="196"/>
      <c r="H751" s="196"/>
      <c r="I751" s="196"/>
      <c r="J751" s="197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3.5" customHeight="1">
      <c r="A752" s="195"/>
      <c r="B752" s="196"/>
      <c r="C752" s="196"/>
      <c r="D752" s="196"/>
      <c r="E752" s="196"/>
      <c r="F752" s="196"/>
      <c r="G752" s="196"/>
      <c r="H752" s="196"/>
      <c r="I752" s="196"/>
      <c r="J752" s="197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3.5" customHeight="1">
      <c r="A753" s="195"/>
      <c r="B753" s="196"/>
      <c r="C753" s="196"/>
      <c r="D753" s="196"/>
      <c r="E753" s="196"/>
      <c r="F753" s="196"/>
      <c r="G753" s="196"/>
      <c r="H753" s="196"/>
      <c r="I753" s="196"/>
      <c r="J753" s="197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3.5" customHeight="1">
      <c r="A754" s="195"/>
      <c r="B754" s="196"/>
      <c r="C754" s="196"/>
      <c r="D754" s="196"/>
      <c r="E754" s="196"/>
      <c r="F754" s="196"/>
      <c r="G754" s="196"/>
      <c r="H754" s="196"/>
      <c r="I754" s="196"/>
      <c r="J754" s="197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3.5" customHeight="1">
      <c r="A755" s="195"/>
      <c r="B755" s="196"/>
      <c r="C755" s="196"/>
      <c r="D755" s="196"/>
      <c r="E755" s="196"/>
      <c r="F755" s="196"/>
      <c r="G755" s="196"/>
      <c r="H755" s="196"/>
      <c r="I755" s="196"/>
      <c r="J755" s="197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3.5" customHeight="1">
      <c r="A756" s="195"/>
      <c r="B756" s="196"/>
      <c r="C756" s="196"/>
      <c r="D756" s="196"/>
      <c r="E756" s="196"/>
      <c r="F756" s="196"/>
      <c r="G756" s="196"/>
      <c r="H756" s="196"/>
      <c r="I756" s="196"/>
      <c r="J756" s="197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3.5" customHeight="1">
      <c r="A757" s="195"/>
      <c r="B757" s="196"/>
      <c r="C757" s="196"/>
      <c r="D757" s="196"/>
      <c r="E757" s="196"/>
      <c r="F757" s="196"/>
      <c r="G757" s="196"/>
      <c r="H757" s="196"/>
      <c r="I757" s="196"/>
      <c r="J757" s="197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3.5" customHeight="1">
      <c r="A758" s="195"/>
      <c r="B758" s="196"/>
      <c r="C758" s="196"/>
      <c r="D758" s="196"/>
      <c r="E758" s="196"/>
      <c r="F758" s="196"/>
      <c r="G758" s="196"/>
      <c r="H758" s="196"/>
      <c r="I758" s="196"/>
      <c r="J758" s="197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3.5" customHeight="1">
      <c r="A759" s="195"/>
      <c r="B759" s="196"/>
      <c r="C759" s="196"/>
      <c r="D759" s="196"/>
      <c r="E759" s="196"/>
      <c r="F759" s="196"/>
      <c r="G759" s="196"/>
      <c r="H759" s="196"/>
      <c r="I759" s="196"/>
      <c r="J759" s="197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3.5" customHeight="1">
      <c r="A760" s="195"/>
      <c r="B760" s="196"/>
      <c r="C760" s="196"/>
      <c r="D760" s="196"/>
      <c r="E760" s="196"/>
      <c r="F760" s="196"/>
      <c r="G760" s="196"/>
      <c r="H760" s="196"/>
      <c r="I760" s="196"/>
      <c r="J760" s="197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3.5" customHeight="1">
      <c r="A761" s="195"/>
      <c r="B761" s="196"/>
      <c r="C761" s="196"/>
      <c r="D761" s="196"/>
      <c r="E761" s="196"/>
      <c r="F761" s="196"/>
      <c r="G761" s="196"/>
      <c r="H761" s="196"/>
      <c r="I761" s="196"/>
      <c r="J761" s="197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3.5" customHeight="1">
      <c r="A762" s="195"/>
      <c r="B762" s="196"/>
      <c r="C762" s="196"/>
      <c r="D762" s="196"/>
      <c r="E762" s="196"/>
      <c r="F762" s="196"/>
      <c r="G762" s="196"/>
      <c r="H762" s="196"/>
      <c r="I762" s="196"/>
      <c r="J762" s="197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3.5" customHeight="1">
      <c r="A763" s="195"/>
      <c r="B763" s="196"/>
      <c r="C763" s="196"/>
      <c r="D763" s="196"/>
      <c r="E763" s="196"/>
      <c r="F763" s="196"/>
      <c r="G763" s="196"/>
      <c r="H763" s="196"/>
      <c r="I763" s="196"/>
      <c r="J763" s="197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3.5" customHeight="1">
      <c r="A764" s="195"/>
      <c r="B764" s="196"/>
      <c r="C764" s="196"/>
      <c r="D764" s="196"/>
      <c r="E764" s="196"/>
      <c r="F764" s="196"/>
      <c r="G764" s="196"/>
      <c r="H764" s="196"/>
      <c r="I764" s="196"/>
      <c r="J764" s="197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3.5" customHeight="1">
      <c r="A765" s="195"/>
      <c r="B765" s="196"/>
      <c r="C765" s="196"/>
      <c r="D765" s="196"/>
      <c r="E765" s="196"/>
      <c r="F765" s="196"/>
      <c r="G765" s="196"/>
      <c r="H765" s="196"/>
      <c r="I765" s="196"/>
      <c r="J765" s="197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3.5" customHeight="1">
      <c r="A766" s="195"/>
      <c r="B766" s="196"/>
      <c r="C766" s="196"/>
      <c r="D766" s="196"/>
      <c r="E766" s="196"/>
      <c r="F766" s="196"/>
      <c r="G766" s="196"/>
      <c r="H766" s="196"/>
      <c r="I766" s="196"/>
      <c r="J766" s="197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3.5" customHeight="1">
      <c r="A767" s="195"/>
      <c r="B767" s="196"/>
      <c r="C767" s="196"/>
      <c r="D767" s="196"/>
      <c r="E767" s="196"/>
      <c r="F767" s="196"/>
      <c r="G767" s="196"/>
      <c r="H767" s="196"/>
      <c r="I767" s="196"/>
      <c r="J767" s="197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3.5" customHeight="1">
      <c r="A768" s="195"/>
      <c r="B768" s="196"/>
      <c r="C768" s="196"/>
      <c r="D768" s="196"/>
      <c r="E768" s="196"/>
      <c r="F768" s="196"/>
      <c r="G768" s="196"/>
      <c r="H768" s="196"/>
      <c r="I768" s="196"/>
      <c r="J768" s="197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3.5" customHeight="1">
      <c r="A769" s="195"/>
      <c r="B769" s="196"/>
      <c r="C769" s="196"/>
      <c r="D769" s="196"/>
      <c r="E769" s="196"/>
      <c r="F769" s="196"/>
      <c r="G769" s="196"/>
      <c r="H769" s="196"/>
      <c r="I769" s="196"/>
      <c r="J769" s="197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3.5" customHeight="1">
      <c r="A770" s="195"/>
      <c r="B770" s="196"/>
      <c r="C770" s="196"/>
      <c r="D770" s="196"/>
      <c r="E770" s="196"/>
      <c r="F770" s="196"/>
      <c r="G770" s="196"/>
      <c r="H770" s="196"/>
      <c r="I770" s="196"/>
      <c r="J770" s="197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3.5" customHeight="1">
      <c r="A771" s="195"/>
      <c r="B771" s="196"/>
      <c r="C771" s="196"/>
      <c r="D771" s="196"/>
      <c r="E771" s="196"/>
      <c r="F771" s="196"/>
      <c r="G771" s="196"/>
      <c r="H771" s="196"/>
      <c r="I771" s="196"/>
      <c r="J771" s="197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3.5" customHeight="1">
      <c r="A772" s="195"/>
      <c r="B772" s="196"/>
      <c r="C772" s="196"/>
      <c r="D772" s="196"/>
      <c r="E772" s="196"/>
      <c r="F772" s="196"/>
      <c r="G772" s="196"/>
      <c r="H772" s="196"/>
      <c r="I772" s="196"/>
      <c r="J772" s="197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3.5" customHeight="1">
      <c r="A773" s="195"/>
      <c r="B773" s="196"/>
      <c r="C773" s="196"/>
      <c r="D773" s="196"/>
      <c r="E773" s="196"/>
      <c r="F773" s="196"/>
      <c r="G773" s="196"/>
      <c r="H773" s="196"/>
      <c r="I773" s="196"/>
      <c r="J773" s="197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3.5" customHeight="1">
      <c r="A774" s="195"/>
      <c r="B774" s="196"/>
      <c r="C774" s="196"/>
      <c r="D774" s="196"/>
      <c r="E774" s="196"/>
      <c r="F774" s="196"/>
      <c r="G774" s="196"/>
      <c r="H774" s="196"/>
      <c r="I774" s="196"/>
      <c r="J774" s="197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3.5" customHeight="1">
      <c r="A775" s="195"/>
      <c r="B775" s="196"/>
      <c r="C775" s="196"/>
      <c r="D775" s="196"/>
      <c r="E775" s="196"/>
      <c r="F775" s="196"/>
      <c r="G775" s="196"/>
      <c r="H775" s="196"/>
      <c r="I775" s="196"/>
      <c r="J775" s="197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3.5" customHeight="1">
      <c r="A776" s="195"/>
      <c r="B776" s="196"/>
      <c r="C776" s="196"/>
      <c r="D776" s="196"/>
      <c r="E776" s="196"/>
      <c r="F776" s="196"/>
      <c r="G776" s="196"/>
      <c r="H776" s="196"/>
      <c r="I776" s="196"/>
      <c r="J776" s="197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3.5" customHeight="1">
      <c r="A777" s="195"/>
      <c r="B777" s="196"/>
      <c r="C777" s="196"/>
      <c r="D777" s="196"/>
      <c r="E777" s="196"/>
      <c r="F777" s="196"/>
      <c r="G777" s="196"/>
      <c r="H777" s="196"/>
      <c r="I777" s="196"/>
      <c r="J777" s="197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3.5" customHeight="1">
      <c r="A778" s="195"/>
      <c r="B778" s="196"/>
      <c r="C778" s="196"/>
      <c r="D778" s="196"/>
      <c r="E778" s="196"/>
      <c r="F778" s="196"/>
      <c r="G778" s="196"/>
      <c r="H778" s="196"/>
      <c r="I778" s="196"/>
      <c r="J778" s="197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3.5" customHeight="1">
      <c r="A779" s="195"/>
      <c r="B779" s="196"/>
      <c r="C779" s="196"/>
      <c r="D779" s="196"/>
      <c r="E779" s="196"/>
      <c r="F779" s="196"/>
      <c r="G779" s="196"/>
      <c r="H779" s="196"/>
      <c r="I779" s="196"/>
      <c r="J779" s="197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3.5" customHeight="1">
      <c r="A780" s="195"/>
      <c r="B780" s="196"/>
      <c r="C780" s="196"/>
      <c r="D780" s="196"/>
      <c r="E780" s="196"/>
      <c r="F780" s="196"/>
      <c r="G780" s="196"/>
      <c r="H780" s="196"/>
      <c r="I780" s="196"/>
      <c r="J780" s="197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3.5" customHeight="1">
      <c r="A781" s="195"/>
      <c r="B781" s="196"/>
      <c r="C781" s="196"/>
      <c r="D781" s="196"/>
      <c r="E781" s="196"/>
      <c r="F781" s="196"/>
      <c r="G781" s="196"/>
      <c r="H781" s="196"/>
      <c r="I781" s="196"/>
      <c r="J781" s="197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3.5" customHeight="1">
      <c r="A782" s="195"/>
      <c r="B782" s="196"/>
      <c r="C782" s="196"/>
      <c r="D782" s="196"/>
      <c r="E782" s="196"/>
      <c r="F782" s="196"/>
      <c r="G782" s="196"/>
      <c r="H782" s="196"/>
      <c r="I782" s="196"/>
      <c r="J782" s="197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3.5" customHeight="1">
      <c r="A783" s="195"/>
      <c r="B783" s="196"/>
      <c r="C783" s="196"/>
      <c r="D783" s="196"/>
      <c r="E783" s="196"/>
      <c r="F783" s="196"/>
      <c r="G783" s="196"/>
      <c r="H783" s="196"/>
      <c r="I783" s="196"/>
      <c r="J783" s="197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3.5" customHeight="1">
      <c r="A784" s="195"/>
      <c r="B784" s="196"/>
      <c r="C784" s="196"/>
      <c r="D784" s="196"/>
      <c r="E784" s="196"/>
      <c r="F784" s="196"/>
      <c r="G784" s="196"/>
      <c r="H784" s="196"/>
      <c r="I784" s="196"/>
      <c r="J784" s="197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3.5" customHeight="1">
      <c r="A785" s="195"/>
      <c r="B785" s="196"/>
      <c r="C785" s="196"/>
      <c r="D785" s="196"/>
      <c r="E785" s="196"/>
      <c r="F785" s="196"/>
      <c r="G785" s="196"/>
      <c r="H785" s="196"/>
      <c r="I785" s="196"/>
      <c r="J785" s="197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3.5" customHeight="1">
      <c r="A786" s="195"/>
      <c r="B786" s="196"/>
      <c r="C786" s="196"/>
      <c r="D786" s="196"/>
      <c r="E786" s="196"/>
      <c r="F786" s="196"/>
      <c r="G786" s="196"/>
      <c r="H786" s="196"/>
      <c r="I786" s="196"/>
      <c r="J786" s="197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3.5" customHeight="1">
      <c r="A787" s="195"/>
      <c r="B787" s="196"/>
      <c r="C787" s="196"/>
      <c r="D787" s="196"/>
      <c r="E787" s="196"/>
      <c r="F787" s="196"/>
      <c r="G787" s="196"/>
      <c r="H787" s="196"/>
      <c r="I787" s="196"/>
      <c r="J787" s="197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3.5" customHeight="1">
      <c r="A788" s="195"/>
      <c r="B788" s="196"/>
      <c r="C788" s="196"/>
      <c r="D788" s="196"/>
      <c r="E788" s="196"/>
      <c r="F788" s="196"/>
      <c r="G788" s="196"/>
      <c r="H788" s="196"/>
      <c r="I788" s="196"/>
      <c r="J788" s="197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3.5" customHeight="1">
      <c r="A789" s="195"/>
      <c r="B789" s="196"/>
      <c r="C789" s="196"/>
      <c r="D789" s="196"/>
      <c r="E789" s="196"/>
      <c r="F789" s="196"/>
      <c r="G789" s="196"/>
      <c r="H789" s="196"/>
      <c r="I789" s="196"/>
      <c r="J789" s="197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3.5" customHeight="1">
      <c r="A790" s="195"/>
      <c r="B790" s="196"/>
      <c r="C790" s="196"/>
      <c r="D790" s="196"/>
      <c r="E790" s="196"/>
      <c r="F790" s="196"/>
      <c r="G790" s="196"/>
      <c r="H790" s="196"/>
      <c r="I790" s="196"/>
      <c r="J790" s="197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3.5" customHeight="1">
      <c r="A791" s="195"/>
      <c r="B791" s="196"/>
      <c r="C791" s="196"/>
      <c r="D791" s="196"/>
      <c r="E791" s="196"/>
      <c r="F791" s="196"/>
      <c r="G791" s="196"/>
      <c r="H791" s="196"/>
      <c r="I791" s="196"/>
      <c r="J791" s="197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3.5" customHeight="1">
      <c r="A792" s="195"/>
      <c r="B792" s="196"/>
      <c r="C792" s="196"/>
      <c r="D792" s="196"/>
      <c r="E792" s="196"/>
      <c r="F792" s="196"/>
      <c r="G792" s="196"/>
      <c r="H792" s="196"/>
      <c r="I792" s="196"/>
      <c r="J792" s="197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3.5" customHeight="1">
      <c r="A793" s="195"/>
      <c r="B793" s="196"/>
      <c r="C793" s="196"/>
      <c r="D793" s="196"/>
      <c r="E793" s="196"/>
      <c r="F793" s="196"/>
      <c r="G793" s="196"/>
      <c r="H793" s="196"/>
      <c r="I793" s="196"/>
      <c r="J793" s="197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3.5" customHeight="1">
      <c r="A794" s="195"/>
      <c r="B794" s="196"/>
      <c r="C794" s="196"/>
      <c r="D794" s="196"/>
      <c r="E794" s="196"/>
      <c r="F794" s="196"/>
      <c r="G794" s="196"/>
      <c r="H794" s="196"/>
      <c r="I794" s="196"/>
      <c r="J794" s="197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3.5" customHeight="1">
      <c r="A795" s="195"/>
      <c r="B795" s="196"/>
      <c r="C795" s="196"/>
      <c r="D795" s="196"/>
      <c r="E795" s="196"/>
      <c r="F795" s="196"/>
      <c r="G795" s="196"/>
      <c r="H795" s="196"/>
      <c r="I795" s="196"/>
      <c r="J795" s="197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3.5" customHeight="1">
      <c r="A796" s="195"/>
      <c r="B796" s="196"/>
      <c r="C796" s="196"/>
      <c r="D796" s="196"/>
      <c r="E796" s="196"/>
      <c r="F796" s="196"/>
      <c r="G796" s="196"/>
      <c r="H796" s="196"/>
      <c r="I796" s="196"/>
      <c r="J796" s="197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3.5" customHeight="1">
      <c r="A797" s="195"/>
      <c r="B797" s="196"/>
      <c r="C797" s="196"/>
      <c r="D797" s="196"/>
      <c r="E797" s="196"/>
      <c r="F797" s="196"/>
      <c r="G797" s="196"/>
      <c r="H797" s="196"/>
      <c r="I797" s="196"/>
      <c r="J797" s="197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3.5" customHeight="1">
      <c r="A798" s="195"/>
      <c r="B798" s="196"/>
      <c r="C798" s="196"/>
      <c r="D798" s="196"/>
      <c r="E798" s="196"/>
      <c r="F798" s="196"/>
      <c r="G798" s="196"/>
      <c r="H798" s="196"/>
      <c r="I798" s="196"/>
      <c r="J798" s="197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3.5" customHeight="1">
      <c r="A799" s="195"/>
      <c r="B799" s="196"/>
      <c r="C799" s="196"/>
      <c r="D799" s="196"/>
      <c r="E799" s="196"/>
      <c r="F799" s="196"/>
      <c r="G799" s="196"/>
      <c r="H799" s="196"/>
      <c r="I799" s="196"/>
      <c r="J799" s="197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3.5" customHeight="1">
      <c r="A800" s="195"/>
      <c r="B800" s="196"/>
      <c r="C800" s="196"/>
      <c r="D800" s="196"/>
      <c r="E800" s="196"/>
      <c r="F800" s="196"/>
      <c r="G800" s="196"/>
      <c r="H800" s="196"/>
      <c r="I800" s="196"/>
      <c r="J800" s="197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3.5" customHeight="1">
      <c r="A801" s="195"/>
      <c r="B801" s="196"/>
      <c r="C801" s="196"/>
      <c r="D801" s="196"/>
      <c r="E801" s="196"/>
      <c r="F801" s="196"/>
      <c r="G801" s="196"/>
      <c r="H801" s="196"/>
      <c r="I801" s="196"/>
      <c r="J801" s="197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3.5" customHeight="1">
      <c r="A802" s="195"/>
      <c r="B802" s="196"/>
      <c r="C802" s="196"/>
      <c r="D802" s="196"/>
      <c r="E802" s="196"/>
      <c r="F802" s="196"/>
      <c r="G802" s="196"/>
      <c r="H802" s="196"/>
      <c r="I802" s="196"/>
      <c r="J802" s="197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3.5" customHeight="1">
      <c r="A803" s="195"/>
      <c r="B803" s="196"/>
      <c r="C803" s="196"/>
      <c r="D803" s="196"/>
      <c r="E803" s="196"/>
      <c r="F803" s="196"/>
      <c r="G803" s="196"/>
      <c r="H803" s="196"/>
      <c r="I803" s="196"/>
      <c r="J803" s="197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3.5" customHeight="1">
      <c r="A804" s="195"/>
      <c r="B804" s="196"/>
      <c r="C804" s="196"/>
      <c r="D804" s="196"/>
      <c r="E804" s="196"/>
      <c r="F804" s="196"/>
      <c r="G804" s="196"/>
      <c r="H804" s="196"/>
      <c r="I804" s="196"/>
      <c r="J804" s="197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3.5" customHeight="1">
      <c r="A805" s="195"/>
      <c r="B805" s="196"/>
      <c r="C805" s="196"/>
      <c r="D805" s="196"/>
      <c r="E805" s="196"/>
      <c r="F805" s="196"/>
      <c r="G805" s="196"/>
      <c r="H805" s="196"/>
      <c r="I805" s="196"/>
      <c r="J805" s="197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3.5" customHeight="1">
      <c r="A806" s="195"/>
      <c r="B806" s="196"/>
      <c r="C806" s="196"/>
      <c r="D806" s="196"/>
      <c r="E806" s="196"/>
      <c r="F806" s="196"/>
      <c r="G806" s="196"/>
      <c r="H806" s="196"/>
      <c r="I806" s="196"/>
      <c r="J806" s="197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3.5" customHeight="1">
      <c r="A807" s="195"/>
      <c r="B807" s="196"/>
      <c r="C807" s="196"/>
      <c r="D807" s="196"/>
      <c r="E807" s="196"/>
      <c r="F807" s="196"/>
      <c r="G807" s="196"/>
      <c r="H807" s="196"/>
      <c r="I807" s="196"/>
      <c r="J807" s="197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3.5" customHeight="1">
      <c r="A808" s="195"/>
      <c r="B808" s="196"/>
      <c r="C808" s="196"/>
      <c r="D808" s="196"/>
      <c r="E808" s="196"/>
      <c r="F808" s="196"/>
      <c r="G808" s="196"/>
      <c r="H808" s="196"/>
      <c r="I808" s="196"/>
      <c r="J808" s="197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3.5" customHeight="1">
      <c r="A809" s="195"/>
      <c r="B809" s="196"/>
      <c r="C809" s="196"/>
      <c r="D809" s="196"/>
      <c r="E809" s="196"/>
      <c r="F809" s="196"/>
      <c r="G809" s="196"/>
      <c r="H809" s="196"/>
      <c r="I809" s="196"/>
      <c r="J809" s="197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3.5" customHeight="1">
      <c r="A810" s="195"/>
      <c r="B810" s="196"/>
      <c r="C810" s="196"/>
      <c r="D810" s="196"/>
      <c r="E810" s="196"/>
      <c r="F810" s="196"/>
      <c r="G810" s="196"/>
      <c r="H810" s="196"/>
      <c r="I810" s="196"/>
      <c r="J810" s="197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3.5" customHeight="1">
      <c r="A811" s="195"/>
      <c r="B811" s="196"/>
      <c r="C811" s="196"/>
      <c r="D811" s="196"/>
      <c r="E811" s="196"/>
      <c r="F811" s="196"/>
      <c r="G811" s="196"/>
      <c r="H811" s="196"/>
      <c r="I811" s="196"/>
      <c r="J811" s="197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3.5" customHeight="1">
      <c r="A812" s="195"/>
      <c r="B812" s="196"/>
      <c r="C812" s="196"/>
      <c r="D812" s="196"/>
      <c r="E812" s="196"/>
      <c r="F812" s="196"/>
      <c r="G812" s="196"/>
      <c r="H812" s="196"/>
      <c r="I812" s="196"/>
      <c r="J812" s="197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3.5" customHeight="1">
      <c r="A813" s="195"/>
      <c r="B813" s="196"/>
      <c r="C813" s="196"/>
      <c r="D813" s="196"/>
      <c r="E813" s="196"/>
      <c r="F813" s="196"/>
      <c r="G813" s="196"/>
      <c r="H813" s="196"/>
      <c r="I813" s="196"/>
      <c r="J813" s="197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3.5" customHeight="1">
      <c r="A814" s="195"/>
      <c r="B814" s="196"/>
      <c r="C814" s="196"/>
      <c r="D814" s="196"/>
      <c r="E814" s="196"/>
      <c r="F814" s="196"/>
      <c r="G814" s="196"/>
      <c r="H814" s="196"/>
      <c r="I814" s="196"/>
      <c r="J814" s="197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3.5" customHeight="1">
      <c r="A815" s="195"/>
      <c r="B815" s="196"/>
      <c r="C815" s="196"/>
      <c r="D815" s="196"/>
      <c r="E815" s="196"/>
      <c r="F815" s="196"/>
      <c r="G815" s="196"/>
      <c r="H815" s="196"/>
      <c r="I815" s="196"/>
      <c r="J815" s="197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3.5" customHeight="1">
      <c r="A816" s="195"/>
      <c r="B816" s="196"/>
      <c r="C816" s="196"/>
      <c r="D816" s="196"/>
      <c r="E816" s="196"/>
      <c r="F816" s="196"/>
      <c r="G816" s="196"/>
      <c r="H816" s="196"/>
      <c r="I816" s="196"/>
      <c r="J816" s="197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3.5" customHeight="1">
      <c r="A817" s="195"/>
      <c r="B817" s="196"/>
      <c r="C817" s="196"/>
      <c r="D817" s="196"/>
      <c r="E817" s="196"/>
      <c r="F817" s="196"/>
      <c r="G817" s="196"/>
      <c r="H817" s="196"/>
      <c r="I817" s="196"/>
      <c r="J817" s="197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3.5" customHeight="1">
      <c r="A818" s="195"/>
      <c r="B818" s="196"/>
      <c r="C818" s="196"/>
      <c r="D818" s="196"/>
      <c r="E818" s="196"/>
      <c r="F818" s="196"/>
      <c r="G818" s="196"/>
      <c r="H818" s="196"/>
      <c r="I818" s="196"/>
      <c r="J818" s="197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3.5" customHeight="1">
      <c r="A819" s="195"/>
      <c r="B819" s="196"/>
      <c r="C819" s="196"/>
      <c r="D819" s="196"/>
      <c r="E819" s="196"/>
      <c r="F819" s="196"/>
      <c r="G819" s="196"/>
      <c r="H819" s="196"/>
      <c r="I819" s="196"/>
      <c r="J819" s="197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3.5" customHeight="1">
      <c r="A820" s="195"/>
      <c r="B820" s="196"/>
      <c r="C820" s="196"/>
      <c r="D820" s="196"/>
      <c r="E820" s="196"/>
      <c r="F820" s="196"/>
      <c r="G820" s="196"/>
      <c r="H820" s="196"/>
      <c r="I820" s="196"/>
      <c r="J820" s="197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3.5" customHeight="1">
      <c r="A821" s="195"/>
      <c r="B821" s="196"/>
      <c r="C821" s="196"/>
      <c r="D821" s="196"/>
      <c r="E821" s="196"/>
      <c r="F821" s="196"/>
      <c r="G821" s="196"/>
      <c r="H821" s="196"/>
      <c r="I821" s="196"/>
      <c r="J821" s="197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3.5" customHeight="1">
      <c r="A822" s="195"/>
      <c r="B822" s="196"/>
      <c r="C822" s="196"/>
      <c r="D822" s="196"/>
      <c r="E822" s="196"/>
      <c r="F822" s="196"/>
      <c r="G822" s="196"/>
      <c r="H822" s="196"/>
      <c r="I822" s="196"/>
      <c r="J822" s="197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3.5" customHeight="1">
      <c r="A823" s="195"/>
      <c r="B823" s="196"/>
      <c r="C823" s="196"/>
      <c r="D823" s="196"/>
      <c r="E823" s="196"/>
      <c r="F823" s="196"/>
      <c r="G823" s="196"/>
      <c r="H823" s="196"/>
      <c r="I823" s="196"/>
      <c r="J823" s="197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3.5" customHeight="1">
      <c r="A824" s="195"/>
      <c r="B824" s="196"/>
      <c r="C824" s="196"/>
      <c r="D824" s="196"/>
      <c r="E824" s="196"/>
      <c r="F824" s="196"/>
      <c r="G824" s="196"/>
      <c r="H824" s="196"/>
      <c r="I824" s="196"/>
      <c r="J824" s="197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3.5" customHeight="1">
      <c r="A825" s="195"/>
      <c r="B825" s="196"/>
      <c r="C825" s="196"/>
      <c r="D825" s="196"/>
      <c r="E825" s="196"/>
      <c r="F825" s="196"/>
      <c r="G825" s="196"/>
      <c r="H825" s="196"/>
      <c r="I825" s="196"/>
      <c r="J825" s="197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3.5" customHeight="1">
      <c r="A826" s="195"/>
      <c r="B826" s="196"/>
      <c r="C826" s="196"/>
      <c r="D826" s="196"/>
      <c r="E826" s="196"/>
      <c r="F826" s="196"/>
      <c r="G826" s="196"/>
      <c r="H826" s="196"/>
      <c r="I826" s="196"/>
      <c r="J826" s="197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3.5" customHeight="1">
      <c r="A827" s="195"/>
      <c r="B827" s="196"/>
      <c r="C827" s="196"/>
      <c r="D827" s="196"/>
      <c r="E827" s="196"/>
      <c r="F827" s="196"/>
      <c r="G827" s="196"/>
      <c r="H827" s="196"/>
      <c r="I827" s="196"/>
      <c r="J827" s="197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3.5" customHeight="1">
      <c r="A828" s="195"/>
      <c r="B828" s="196"/>
      <c r="C828" s="196"/>
      <c r="D828" s="196"/>
      <c r="E828" s="196"/>
      <c r="F828" s="196"/>
      <c r="G828" s="196"/>
      <c r="H828" s="196"/>
      <c r="I828" s="196"/>
      <c r="J828" s="197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3.5" customHeight="1">
      <c r="A829" s="195"/>
      <c r="B829" s="196"/>
      <c r="C829" s="196"/>
      <c r="D829" s="196"/>
      <c r="E829" s="196"/>
      <c r="F829" s="196"/>
      <c r="G829" s="196"/>
      <c r="H829" s="196"/>
      <c r="I829" s="196"/>
      <c r="J829" s="197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3.5" customHeight="1">
      <c r="A830" s="195"/>
      <c r="B830" s="196"/>
      <c r="C830" s="196"/>
      <c r="D830" s="196"/>
      <c r="E830" s="196"/>
      <c r="F830" s="196"/>
      <c r="G830" s="196"/>
      <c r="H830" s="196"/>
      <c r="I830" s="196"/>
      <c r="J830" s="197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3.5" customHeight="1">
      <c r="A831" s="195"/>
      <c r="B831" s="196"/>
      <c r="C831" s="196"/>
      <c r="D831" s="196"/>
      <c r="E831" s="196"/>
      <c r="F831" s="196"/>
      <c r="G831" s="196"/>
      <c r="H831" s="196"/>
      <c r="I831" s="196"/>
      <c r="J831" s="197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3.5" customHeight="1">
      <c r="A832" s="195"/>
      <c r="B832" s="196"/>
      <c r="C832" s="196"/>
      <c r="D832" s="196"/>
      <c r="E832" s="196"/>
      <c r="F832" s="196"/>
      <c r="G832" s="196"/>
      <c r="H832" s="196"/>
      <c r="I832" s="196"/>
      <c r="J832" s="197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3.5" customHeight="1">
      <c r="A833" s="195"/>
      <c r="B833" s="196"/>
      <c r="C833" s="196"/>
      <c r="D833" s="196"/>
      <c r="E833" s="196"/>
      <c r="F833" s="196"/>
      <c r="G833" s="196"/>
      <c r="H833" s="196"/>
      <c r="I833" s="196"/>
      <c r="J833" s="197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3.5" customHeight="1">
      <c r="A834" s="195"/>
      <c r="B834" s="196"/>
      <c r="C834" s="196"/>
      <c r="D834" s="196"/>
      <c r="E834" s="196"/>
      <c r="F834" s="196"/>
      <c r="G834" s="196"/>
      <c r="H834" s="196"/>
      <c r="I834" s="196"/>
      <c r="J834" s="197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3.5" customHeight="1">
      <c r="A835" s="195"/>
      <c r="B835" s="196"/>
      <c r="C835" s="196"/>
      <c r="D835" s="196"/>
      <c r="E835" s="196"/>
      <c r="F835" s="196"/>
      <c r="G835" s="196"/>
      <c r="H835" s="196"/>
      <c r="I835" s="196"/>
      <c r="J835" s="197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3.5" customHeight="1">
      <c r="A836" s="195"/>
      <c r="B836" s="196"/>
      <c r="C836" s="196"/>
      <c r="D836" s="196"/>
      <c r="E836" s="196"/>
      <c r="F836" s="196"/>
      <c r="G836" s="196"/>
      <c r="H836" s="196"/>
      <c r="I836" s="196"/>
      <c r="J836" s="197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3.5" customHeight="1">
      <c r="A837" s="195"/>
      <c r="B837" s="196"/>
      <c r="C837" s="196"/>
      <c r="D837" s="196"/>
      <c r="E837" s="196"/>
      <c r="F837" s="196"/>
      <c r="G837" s="196"/>
      <c r="H837" s="196"/>
      <c r="I837" s="196"/>
      <c r="J837" s="197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3.5" customHeight="1">
      <c r="A838" s="195"/>
      <c r="B838" s="196"/>
      <c r="C838" s="196"/>
      <c r="D838" s="196"/>
      <c r="E838" s="196"/>
      <c r="F838" s="196"/>
      <c r="G838" s="196"/>
      <c r="H838" s="196"/>
      <c r="I838" s="196"/>
      <c r="J838" s="197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3.5" customHeight="1">
      <c r="A839" s="195"/>
      <c r="B839" s="196"/>
      <c r="C839" s="196"/>
      <c r="D839" s="196"/>
      <c r="E839" s="196"/>
      <c r="F839" s="196"/>
      <c r="G839" s="196"/>
      <c r="H839" s="196"/>
      <c r="I839" s="196"/>
      <c r="J839" s="197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3.5" customHeight="1">
      <c r="A840" s="195"/>
      <c r="B840" s="196"/>
      <c r="C840" s="196"/>
      <c r="D840" s="196"/>
      <c r="E840" s="196"/>
      <c r="F840" s="196"/>
      <c r="G840" s="196"/>
      <c r="H840" s="196"/>
      <c r="I840" s="196"/>
      <c r="J840" s="197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3.5" customHeight="1">
      <c r="A841" s="195"/>
      <c r="B841" s="196"/>
      <c r="C841" s="196"/>
      <c r="D841" s="196"/>
      <c r="E841" s="196"/>
      <c r="F841" s="196"/>
      <c r="G841" s="196"/>
      <c r="H841" s="196"/>
      <c r="I841" s="196"/>
      <c r="J841" s="197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3.5" customHeight="1">
      <c r="A842" s="195"/>
      <c r="B842" s="196"/>
      <c r="C842" s="196"/>
      <c r="D842" s="196"/>
      <c r="E842" s="196"/>
      <c r="F842" s="196"/>
      <c r="G842" s="196"/>
      <c r="H842" s="196"/>
      <c r="I842" s="196"/>
      <c r="J842" s="197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3.5" customHeight="1">
      <c r="A843" s="195"/>
      <c r="B843" s="196"/>
      <c r="C843" s="196"/>
      <c r="D843" s="196"/>
      <c r="E843" s="196"/>
      <c r="F843" s="196"/>
      <c r="G843" s="196"/>
      <c r="H843" s="196"/>
      <c r="I843" s="196"/>
      <c r="J843" s="197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3.5" customHeight="1">
      <c r="A844" s="195"/>
      <c r="B844" s="196"/>
      <c r="C844" s="196"/>
      <c r="D844" s="196"/>
      <c r="E844" s="196"/>
      <c r="F844" s="196"/>
      <c r="G844" s="196"/>
      <c r="H844" s="196"/>
      <c r="I844" s="196"/>
      <c r="J844" s="197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3.5" customHeight="1">
      <c r="A845" s="195"/>
      <c r="B845" s="196"/>
      <c r="C845" s="196"/>
      <c r="D845" s="196"/>
      <c r="E845" s="196"/>
      <c r="F845" s="196"/>
      <c r="G845" s="196"/>
      <c r="H845" s="196"/>
      <c r="I845" s="196"/>
      <c r="J845" s="197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3.5" customHeight="1">
      <c r="A846" s="195"/>
      <c r="B846" s="196"/>
      <c r="C846" s="196"/>
      <c r="D846" s="196"/>
      <c r="E846" s="196"/>
      <c r="F846" s="196"/>
      <c r="G846" s="196"/>
      <c r="H846" s="196"/>
      <c r="I846" s="196"/>
      <c r="J846" s="197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3.5" customHeight="1">
      <c r="A847" s="195"/>
      <c r="B847" s="196"/>
      <c r="C847" s="196"/>
      <c r="D847" s="196"/>
      <c r="E847" s="196"/>
      <c r="F847" s="196"/>
      <c r="G847" s="196"/>
      <c r="H847" s="196"/>
      <c r="I847" s="196"/>
      <c r="J847" s="197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3.5" customHeight="1">
      <c r="A848" s="195"/>
      <c r="B848" s="196"/>
      <c r="C848" s="196"/>
      <c r="D848" s="196"/>
      <c r="E848" s="196"/>
      <c r="F848" s="196"/>
      <c r="G848" s="196"/>
      <c r="H848" s="196"/>
      <c r="I848" s="196"/>
      <c r="J848" s="197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3.5" customHeight="1">
      <c r="A849" s="195"/>
      <c r="B849" s="196"/>
      <c r="C849" s="196"/>
      <c r="D849" s="196"/>
      <c r="E849" s="196"/>
      <c r="F849" s="196"/>
      <c r="G849" s="196"/>
      <c r="H849" s="196"/>
      <c r="I849" s="196"/>
      <c r="J849" s="197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3.5" customHeight="1">
      <c r="A850" s="195"/>
      <c r="B850" s="196"/>
      <c r="C850" s="196"/>
      <c r="D850" s="196"/>
      <c r="E850" s="196"/>
      <c r="F850" s="196"/>
      <c r="G850" s="196"/>
      <c r="H850" s="196"/>
      <c r="I850" s="196"/>
      <c r="J850" s="197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3.5" customHeight="1">
      <c r="A851" s="195"/>
      <c r="B851" s="196"/>
      <c r="C851" s="196"/>
      <c r="D851" s="196"/>
      <c r="E851" s="196"/>
      <c r="F851" s="196"/>
      <c r="G851" s="196"/>
      <c r="H851" s="196"/>
      <c r="I851" s="196"/>
      <c r="J851" s="197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3.5" customHeight="1">
      <c r="A852" s="195"/>
      <c r="B852" s="196"/>
      <c r="C852" s="196"/>
      <c r="D852" s="196"/>
      <c r="E852" s="196"/>
      <c r="F852" s="196"/>
      <c r="G852" s="196"/>
      <c r="H852" s="196"/>
      <c r="I852" s="196"/>
      <c r="J852" s="197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3.5" customHeight="1">
      <c r="A853" s="195"/>
      <c r="B853" s="196"/>
      <c r="C853" s="196"/>
      <c r="D853" s="196"/>
      <c r="E853" s="196"/>
      <c r="F853" s="196"/>
      <c r="G853" s="196"/>
      <c r="H853" s="196"/>
      <c r="I853" s="196"/>
      <c r="J853" s="197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3.5" customHeight="1">
      <c r="A854" s="195"/>
      <c r="B854" s="196"/>
      <c r="C854" s="196"/>
      <c r="D854" s="196"/>
      <c r="E854" s="196"/>
      <c r="F854" s="196"/>
      <c r="G854" s="196"/>
      <c r="H854" s="196"/>
      <c r="I854" s="196"/>
      <c r="J854" s="197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3.5" customHeight="1">
      <c r="A855" s="195"/>
      <c r="B855" s="196"/>
      <c r="C855" s="196"/>
      <c r="D855" s="196"/>
      <c r="E855" s="196"/>
      <c r="F855" s="196"/>
      <c r="G855" s="196"/>
      <c r="H855" s="196"/>
      <c r="I855" s="196"/>
      <c r="J855" s="197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3.5" customHeight="1">
      <c r="A856" s="195"/>
      <c r="B856" s="196"/>
      <c r="C856" s="196"/>
      <c r="D856" s="196"/>
      <c r="E856" s="196"/>
      <c r="F856" s="196"/>
      <c r="G856" s="196"/>
      <c r="H856" s="196"/>
      <c r="I856" s="196"/>
      <c r="J856" s="197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3.5" customHeight="1">
      <c r="A857" s="195"/>
      <c r="B857" s="196"/>
      <c r="C857" s="196"/>
      <c r="D857" s="196"/>
      <c r="E857" s="196"/>
      <c r="F857" s="196"/>
      <c r="G857" s="196"/>
      <c r="H857" s="196"/>
      <c r="I857" s="196"/>
      <c r="J857" s="197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3.5" customHeight="1">
      <c r="A858" s="195"/>
      <c r="B858" s="196"/>
      <c r="C858" s="196"/>
      <c r="D858" s="196"/>
      <c r="E858" s="196"/>
      <c r="F858" s="196"/>
      <c r="G858" s="196"/>
      <c r="H858" s="196"/>
      <c r="I858" s="196"/>
      <c r="J858" s="197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3.5" customHeight="1">
      <c r="A859" s="195"/>
      <c r="B859" s="196"/>
      <c r="C859" s="196"/>
      <c r="D859" s="196"/>
      <c r="E859" s="196"/>
      <c r="F859" s="196"/>
      <c r="G859" s="196"/>
      <c r="H859" s="196"/>
      <c r="I859" s="196"/>
      <c r="J859" s="197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3.5" customHeight="1">
      <c r="A860" s="195"/>
      <c r="B860" s="196"/>
      <c r="C860" s="196"/>
      <c r="D860" s="196"/>
      <c r="E860" s="196"/>
      <c r="F860" s="196"/>
      <c r="G860" s="196"/>
      <c r="H860" s="196"/>
      <c r="I860" s="196"/>
      <c r="J860" s="197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3.5" customHeight="1">
      <c r="A861" s="195"/>
      <c r="B861" s="196"/>
      <c r="C861" s="196"/>
      <c r="D861" s="196"/>
      <c r="E861" s="196"/>
      <c r="F861" s="196"/>
      <c r="G861" s="196"/>
      <c r="H861" s="196"/>
      <c r="I861" s="196"/>
      <c r="J861" s="197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3.5" customHeight="1">
      <c r="A862" s="195"/>
      <c r="B862" s="196"/>
      <c r="C862" s="196"/>
      <c r="D862" s="196"/>
      <c r="E862" s="196"/>
      <c r="F862" s="196"/>
      <c r="G862" s="196"/>
      <c r="H862" s="196"/>
      <c r="I862" s="196"/>
      <c r="J862" s="197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3.5" customHeight="1">
      <c r="A863" s="195"/>
      <c r="B863" s="196"/>
      <c r="C863" s="196"/>
      <c r="D863" s="196"/>
      <c r="E863" s="196"/>
      <c r="F863" s="196"/>
      <c r="G863" s="196"/>
      <c r="H863" s="196"/>
      <c r="I863" s="196"/>
      <c r="J863" s="197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3.5" customHeight="1">
      <c r="A864" s="195"/>
      <c r="B864" s="196"/>
      <c r="C864" s="196"/>
      <c r="D864" s="196"/>
      <c r="E864" s="196"/>
      <c r="F864" s="196"/>
      <c r="G864" s="196"/>
      <c r="H864" s="196"/>
      <c r="I864" s="196"/>
      <c r="J864" s="197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3.5" customHeight="1">
      <c r="A865" s="195"/>
      <c r="B865" s="196"/>
      <c r="C865" s="196"/>
      <c r="D865" s="196"/>
      <c r="E865" s="196"/>
      <c r="F865" s="196"/>
      <c r="G865" s="196"/>
      <c r="H865" s="196"/>
      <c r="I865" s="196"/>
      <c r="J865" s="197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3.5" customHeight="1">
      <c r="A866" s="195"/>
      <c r="B866" s="196"/>
      <c r="C866" s="196"/>
      <c r="D866" s="196"/>
      <c r="E866" s="196"/>
      <c r="F866" s="196"/>
      <c r="G866" s="196"/>
      <c r="H866" s="196"/>
      <c r="I866" s="196"/>
      <c r="J866" s="197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3.5" customHeight="1">
      <c r="A867" s="195"/>
      <c r="B867" s="196"/>
      <c r="C867" s="196"/>
      <c r="D867" s="196"/>
      <c r="E867" s="196"/>
      <c r="F867" s="196"/>
      <c r="G867" s="196"/>
      <c r="H867" s="196"/>
      <c r="I867" s="196"/>
      <c r="J867" s="197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3.5" customHeight="1">
      <c r="A868" s="195"/>
      <c r="B868" s="196"/>
      <c r="C868" s="196"/>
      <c r="D868" s="196"/>
      <c r="E868" s="196"/>
      <c r="F868" s="196"/>
      <c r="G868" s="196"/>
      <c r="H868" s="196"/>
      <c r="I868" s="196"/>
      <c r="J868" s="197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3.5" customHeight="1">
      <c r="A869" s="195"/>
      <c r="B869" s="196"/>
      <c r="C869" s="196"/>
      <c r="D869" s="196"/>
      <c r="E869" s="196"/>
      <c r="F869" s="196"/>
      <c r="G869" s="196"/>
      <c r="H869" s="196"/>
      <c r="I869" s="196"/>
      <c r="J869" s="197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3.5" customHeight="1">
      <c r="A870" s="195"/>
      <c r="B870" s="196"/>
      <c r="C870" s="196"/>
      <c r="D870" s="196"/>
      <c r="E870" s="196"/>
      <c r="F870" s="196"/>
      <c r="G870" s="196"/>
      <c r="H870" s="196"/>
      <c r="I870" s="196"/>
      <c r="J870" s="197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3.5" customHeight="1">
      <c r="A871" s="195"/>
      <c r="B871" s="196"/>
      <c r="C871" s="196"/>
      <c r="D871" s="196"/>
      <c r="E871" s="196"/>
      <c r="F871" s="196"/>
      <c r="G871" s="196"/>
      <c r="H871" s="196"/>
      <c r="I871" s="196"/>
      <c r="J871" s="197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3.5" customHeight="1">
      <c r="A872" s="195"/>
      <c r="B872" s="196"/>
      <c r="C872" s="196"/>
      <c r="D872" s="196"/>
      <c r="E872" s="196"/>
      <c r="F872" s="196"/>
      <c r="G872" s="196"/>
      <c r="H872" s="196"/>
      <c r="I872" s="196"/>
      <c r="J872" s="197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3.5" customHeight="1">
      <c r="A873" s="195"/>
      <c r="B873" s="196"/>
      <c r="C873" s="196"/>
      <c r="D873" s="196"/>
      <c r="E873" s="196"/>
      <c r="F873" s="196"/>
      <c r="G873" s="196"/>
      <c r="H873" s="196"/>
      <c r="I873" s="196"/>
      <c r="J873" s="197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3.5" customHeight="1">
      <c r="A874" s="195"/>
      <c r="B874" s="196"/>
      <c r="C874" s="196"/>
      <c r="D874" s="196"/>
      <c r="E874" s="196"/>
      <c r="F874" s="196"/>
      <c r="G874" s="196"/>
      <c r="H874" s="196"/>
      <c r="I874" s="196"/>
      <c r="J874" s="197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3.5" customHeight="1">
      <c r="A875" s="195"/>
      <c r="B875" s="196"/>
      <c r="C875" s="196"/>
      <c r="D875" s="196"/>
      <c r="E875" s="196"/>
      <c r="F875" s="196"/>
      <c r="G875" s="196"/>
      <c r="H875" s="196"/>
      <c r="I875" s="196"/>
      <c r="J875" s="197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3.5" customHeight="1">
      <c r="A876" s="195"/>
      <c r="B876" s="196"/>
      <c r="C876" s="196"/>
      <c r="D876" s="196"/>
      <c r="E876" s="196"/>
      <c r="F876" s="196"/>
      <c r="G876" s="196"/>
      <c r="H876" s="196"/>
      <c r="I876" s="196"/>
      <c r="J876" s="197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3.5" customHeight="1">
      <c r="A877" s="195"/>
      <c r="B877" s="196"/>
      <c r="C877" s="196"/>
      <c r="D877" s="196"/>
      <c r="E877" s="196"/>
      <c r="F877" s="196"/>
      <c r="G877" s="196"/>
      <c r="H877" s="196"/>
      <c r="I877" s="196"/>
      <c r="J877" s="197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3.5" customHeight="1">
      <c r="A878" s="195"/>
      <c r="B878" s="196"/>
      <c r="C878" s="196"/>
      <c r="D878" s="196"/>
      <c r="E878" s="196"/>
      <c r="F878" s="196"/>
      <c r="G878" s="196"/>
      <c r="H878" s="196"/>
      <c r="I878" s="196"/>
      <c r="J878" s="197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3.5" customHeight="1">
      <c r="A879" s="195"/>
      <c r="B879" s="196"/>
      <c r="C879" s="196"/>
      <c r="D879" s="196"/>
      <c r="E879" s="196"/>
      <c r="F879" s="196"/>
      <c r="G879" s="196"/>
      <c r="H879" s="196"/>
      <c r="I879" s="196"/>
      <c r="J879" s="197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3.5" customHeight="1">
      <c r="A880" s="195"/>
      <c r="B880" s="196"/>
      <c r="C880" s="196"/>
      <c r="D880" s="196"/>
      <c r="E880" s="196"/>
      <c r="F880" s="196"/>
      <c r="G880" s="196"/>
      <c r="H880" s="196"/>
      <c r="I880" s="196"/>
      <c r="J880" s="197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3.5" customHeight="1">
      <c r="A881" s="195"/>
      <c r="B881" s="196"/>
      <c r="C881" s="196"/>
      <c r="D881" s="196"/>
      <c r="E881" s="196"/>
      <c r="F881" s="196"/>
      <c r="G881" s="196"/>
      <c r="H881" s="196"/>
      <c r="I881" s="196"/>
      <c r="J881" s="197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3.5" customHeight="1">
      <c r="A882" s="195"/>
      <c r="B882" s="196"/>
      <c r="C882" s="196"/>
      <c r="D882" s="196"/>
      <c r="E882" s="196"/>
      <c r="F882" s="196"/>
      <c r="G882" s="196"/>
      <c r="H882" s="196"/>
      <c r="I882" s="196"/>
      <c r="J882" s="197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3.5" customHeight="1">
      <c r="A883" s="195"/>
      <c r="B883" s="196"/>
      <c r="C883" s="196"/>
      <c r="D883" s="196"/>
      <c r="E883" s="196"/>
      <c r="F883" s="196"/>
      <c r="G883" s="196"/>
      <c r="H883" s="196"/>
      <c r="I883" s="196"/>
      <c r="J883" s="197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3.5" customHeight="1">
      <c r="A884" s="195"/>
      <c r="B884" s="196"/>
      <c r="C884" s="196"/>
      <c r="D884" s="196"/>
      <c r="E884" s="196"/>
      <c r="F884" s="196"/>
      <c r="G884" s="196"/>
      <c r="H884" s="196"/>
      <c r="I884" s="196"/>
      <c r="J884" s="197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3.5" customHeight="1">
      <c r="A885" s="195"/>
      <c r="B885" s="196"/>
      <c r="C885" s="196"/>
      <c r="D885" s="196"/>
      <c r="E885" s="196"/>
      <c r="F885" s="196"/>
      <c r="G885" s="196"/>
      <c r="H885" s="196"/>
      <c r="I885" s="196"/>
      <c r="J885" s="197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3.5" customHeight="1">
      <c r="A886" s="195"/>
      <c r="B886" s="196"/>
      <c r="C886" s="196"/>
      <c r="D886" s="196"/>
      <c r="E886" s="196"/>
      <c r="F886" s="196"/>
      <c r="G886" s="196"/>
      <c r="H886" s="196"/>
      <c r="I886" s="196"/>
      <c r="J886" s="197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3.5" customHeight="1">
      <c r="A887" s="195"/>
      <c r="B887" s="196"/>
      <c r="C887" s="196"/>
      <c r="D887" s="196"/>
      <c r="E887" s="196"/>
      <c r="F887" s="196"/>
      <c r="G887" s="196"/>
      <c r="H887" s="196"/>
      <c r="I887" s="196"/>
      <c r="J887" s="197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3.5" customHeight="1">
      <c r="A888" s="195"/>
      <c r="B888" s="196"/>
      <c r="C888" s="196"/>
      <c r="D888" s="196"/>
      <c r="E888" s="196"/>
      <c r="F888" s="196"/>
      <c r="G888" s="196"/>
      <c r="H888" s="196"/>
      <c r="I888" s="196"/>
      <c r="J888" s="197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3.5" customHeight="1">
      <c r="A889" s="195"/>
      <c r="B889" s="196"/>
      <c r="C889" s="196"/>
      <c r="D889" s="196"/>
      <c r="E889" s="196"/>
      <c r="F889" s="196"/>
      <c r="G889" s="196"/>
      <c r="H889" s="196"/>
      <c r="I889" s="196"/>
      <c r="J889" s="197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3.5" customHeight="1">
      <c r="A890" s="195"/>
      <c r="B890" s="196"/>
      <c r="C890" s="196"/>
      <c r="D890" s="196"/>
      <c r="E890" s="196"/>
      <c r="F890" s="196"/>
      <c r="G890" s="196"/>
      <c r="H890" s="196"/>
      <c r="I890" s="196"/>
      <c r="J890" s="197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3.5" customHeight="1">
      <c r="A891" s="195"/>
      <c r="B891" s="196"/>
      <c r="C891" s="196"/>
      <c r="D891" s="196"/>
      <c r="E891" s="196"/>
      <c r="F891" s="196"/>
      <c r="G891" s="196"/>
      <c r="H891" s="196"/>
      <c r="I891" s="196"/>
      <c r="J891" s="197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3.5" customHeight="1">
      <c r="A892" s="195"/>
      <c r="B892" s="196"/>
      <c r="C892" s="196"/>
      <c r="D892" s="196"/>
      <c r="E892" s="196"/>
      <c r="F892" s="196"/>
      <c r="G892" s="196"/>
      <c r="H892" s="196"/>
      <c r="I892" s="196"/>
      <c r="J892" s="197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3.5" customHeight="1">
      <c r="A893" s="195"/>
      <c r="B893" s="196"/>
      <c r="C893" s="196"/>
      <c r="D893" s="196"/>
      <c r="E893" s="196"/>
      <c r="F893" s="196"/>
      <c r="G893" s="196"/>
      <c r="H893" s="196"/>
      <c r="I893" s="196"/>
      <c r="J893" s="197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3.5" customHeight="1">
      <c r="A894" s="195"/>
      <c r="B894" s="196"/>
      <c r="C894" s="196"/>
      <c r="D894" s="196"/>
      <c r="E894" s="196"/>
      <c r="F894" s="196"/>
      <c r="G894" s="196"/>
      <c r="H894" s="196"/>
      <c r="I894" s="196"/>
      <c r="J894" s="197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3.5" customHeight="1">
      <c r="A895" s="195"/>
      <c r="B895" s="196"/>
      <c r="C895" s="196"/>
      <c r="D895" s="196"/>
      <c r="E895" s="196"/>
      <c r="F895" s="196"/>
      <c r="G895" s="196"/>
      <c r="H895" s="196"/>
      <c r="I895" s="196"/>
      <c r="J895" s="197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3.5" customHeight="1">
      <c r="A896" s="195"/>
      <c r="B896" s="196"/>
      <c r="C896" s="196"/>
      <c r="D896" s="196"/>
      <c r="E896" s="196"/>
      <c r="F896" s="196"/>
      <c r="G896" s="196"/>
      <c r="H896" s="196"/>
      <c r="I896" s="196"/>
      <c r="J896" s="197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3.5" customHeight="1">
      <c r="A897" s="195"/>
      <c r="B897" s="196"/>
      <c r="C897" s="196"/>
      <c r="D897" s="196"/>
      <c r="E897" s="196"/>
      <c r="F897" s="196"/>
      <c r="G897" s="196"/>
      <c r="H897" s="196"/>
      <c r="I897" s="196"/>
      <c r="J897" s="197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3.5" customHeight="1">
      <c r="A898" s="195"/>
      <c r="B898" s="196"/>
      <c r="C898" s="196"/>
      <c r="D898" s="196"/>
      <c r="E898" s="196"/>
      <c r="F898" s="196"/>
      <c r="G898" s="196"/>
      <c r="H898" s="196"/>
      <c r="I898" s="196"/>
      <c r="J898" s="197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3.5" customHeight="1">
      <c r="A899" s="195"/>
      <c r="B899" s="196"/>
      <c r="C899" s="196"/>
      <c r="D899" s="196"/>
      <c r="E899" s="196"/>
      <c r="F899" s="196"/>
      <c r="G899" s="196"/>
      <c r="H899" s="196"/>
      <c r="I899" s="196"/>
      <c r="J899" s="197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3.5" customHeight="1">
      <c r="A900" s="195"/>
      <c r="B900" s="196"/>
      <c r="C900" s="196"/>
      <c r="D900" s="196"/>
      <c r="E900" s="196"/>
      <c r="F900" s="196"/>
      <c r="G900" s="196"/>
      <c r="H900" s="196"/>
      <c r="I900" s="196"/>
      <c r="J900" s="197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3.5" customHeight="1">
      <c r="A901" s="195"/>
      <c r="B901" s="196"/>
      <c r="C901" s="196"/>
      <c r="D901" s="196"/>
      <c r="E901" s="196"/>
      <c r="F901" s="196"/>
      <c r="G901" s="196"/>
      <c r="H901" s="196"/>
      <c r="I901" s="196"/>
      <c r="J901" s="197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3.5" customHeight="1">
      <c r="A902" s="195"/>
      <c r="B902" s="196"/>
      <c r="C902" s="196"/>
      <c r="D902" s="196"/>
      <c r="E902" s="196"/>
      <c r="F902" s="196"/>
      <c r="G902" s="196"/>
      <c r="H902" s="196"/>
      <c r="I902" s="196"/>
      <c r="J902" s="197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3.5" customHeight="1">
      <c r="A903" s="195"/>
      <c r="B903" s="196"/>
      <c r="C903" s="196"/>
      <c r="D903" s="196"/>
      <c r="E903" s="196"/>
      <c r="F903" s="196"/>
      <c r="G903" s="196"/>
      <c r="H903" s="196"/>
      <c r="I903" s="196"/>
      <c r="J903" s="197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3.5" customHeight="1">
      <c r="A904" s="195"/>
      <c r="B904" s="196"/>
      <c r="C904" s="196"/>
      <c r="D904" s="196"/>
      <c r="E904" s="196"/>
      <c r="F904" s="196"/>
      <c r="G904" s="196"/>
      <c r="H904" s="196"/>
      <c r="I904" s="196"/>
      <c r="J904" s="197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3.5" customHeight="1">
      <c r="A905" s="195"/>
      <c r="B905" s="196"/>
      <c r="C905" s="196"/>
      <c r="D905" s="196"/>
      <c r="E905" s="196"/>
      <c r="F905" s="196"/>
      <c r="G905" s="196"/>
      <c r="H905" s="196"/>
      <c r="I905" s="196"/>
      <c r="J905" s="197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3.5" customHeight="1">
      <c r="A906" s="195"/>
      <c r="B906" s="196"/>
      <c r="C906" s="196"/>
      <c r="D906" s="196"/>
      <c r="E906" s="196"/>
      <c r="F906" s="196"/>
      <c r="G906" s="196"/>
      <c r="H906" s="196"/>
      <c r="I906" s="196"/>
      <c r="J906" s="197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3.5" customHeight="1">
      <c r="A907" s="195"/>
      <c r="B907" s="196"/>
      <c r="C907" s="196"/>
      <c r="D907" s="196"/>
      <c r="E907" s="196"/>
      <c r="F907" s="196"/>
      <c r="G907" s="196"/>
      <c r="H907" s="196"/>
      <c r="I907" s="196"/>
      <c r="J907" s="197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3.5" customHeight="1">
      <c r="A908" s="195"/>
      <c r="B908" s="196"/>
      <c r="C908" s="196"/>
      <c r="D908" s="196"/>
      <c r="E908" s="196"/>
      <c r="F908" s="196"/>
      <c r="G908" s="196"/>
      <c r="H908" s="196"/>
      <c r="I908" s="196"/>
      <c r="J908" s="197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3.5" customHeight="1">
      <c r="A909" s="195"/>
      <c r="B909" s="196"/>
      <c r="C909" s="196"/>
      <c r="D909" s="196"/>
      <c r="E909" s="196"/>
      <c r="F909" s="196"/>
      <c r="G909" s="196"/>
      <c r="H909" s="196"/>
      <c r="I909" s="196"/>
      <c r="J909" s="197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3.5" customHeight="1">
      <c r="A910" s="195"/>
      <c r="B910" s="196"/>
      <c r="C910" s="196"/>
      <c r="D910" s="196"/>
      <c r="E910" s="196"/>
      <c r="F910" s="196"/>
      <c r="G910" s="196"/>
      <c r="H910" s="196"/>
      <c r="I910" s="196"/>
      <c r="J910" s="197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3.5" customHeight="1">
      <c r="A911" s="195"/>
      <c r="B911" s="196"/>
      <c r="C911" s="196"/>
      <c r="D911" s="196"/>
      <c r="E911" s="196"/>
      <c r="F911" s="196"/>
      <c r="G911" s="196"/>
      <c r="H911" s="196"/>
      <c r="I911" s="196"/>
      <c r="J911" s="197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3.5" customHeight="1">
      <c r="A912" s="195"/>
      <c r="B912" s="196"/>
      <c r="C912" s="196"/>
      <c r="D912" s="196"/>
      <c r="E912" s="196"/>
      <c r="F912" s="196"/>
      <c r="G912" s="196"/>
      <c r="H912" s="196"/>
      <c r="I912" s="196"/>
      <c r="J912" s="197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3.5" customHeight="1">
      <c r="A913" s="195"/>
      <c r="B913" s="196"/>
      <c r="C913" s="196"/>
      <c r="D913" s="196"/>
      <c r="E913" s="196"/>
      <c r="F913" s="196"/>
      <c r="G913" s="196"/>
      <c r="H913" s="196"/>
      <c r="I913" s="196"/>
      <c r="J913" s="197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3.5" customHeight="1">
      <c r="A914" s="195"/>
      <c r="B914" s="196"/>
      <c r="C914" s="196"/>
      <c r="D914" s="196"/>
      <c r="E914" s="196"/>
      <c r="F914" s="196"/>
      <c r="G914" s="196"/>
      <c r="H914" s="196"/>
      <c r="I914" s="196"/>
      <c r="J914" s="197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3.5" customHeight="1">
      <c r="A915" s="195"/>
      <c r="B915" s="196"/>
      <c r="C915" s="196"/>
      <c r="D915" s="196"/>
      <c r="E915" s="196"/>
      <c r="F915" s="196"/>
      <c r="G915" s="196"/>
      <c r="H915" s="196"/>
      <c r="I915" s="196"/>
      <c r="J915" s="197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3.5" customHeight="1">
      <c r="A916" s="195"/>
      <c r="B916" s="196"/>
      <c r="C916" s="196"/>
      <c r="D916" s="196"/>
      <c r="E916" s="196"/>
      <c r="F916" s="196"/>
      <c r="G916" s="196"/>
      <c r="H916" s="196"/>
      <c r="I916" s="196"/>
      <c r="J916" s="197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3.5" customHeight="1">
      <c r="A917" s="195"/>
      <c r="B917" s="196"/>
      <c r="C917" s="196"/>
      <c r="D917" s="196"/>
      <c r="E917" s="196"/>
      <c r="F917" s="196"/>
      <c r="G917" s="196"/>
      <c r="H917" s="196"/>
      <c r="I917" s="196"/>
      <c r="J917" s="197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3.5" customHeight="1">
      <c r="A918" s="195"/>
      <c r="B918" s="196"/>
      <c r="C918" s="196"/>
      <c r="D918" s="196"/>
      <c r="E918" s="196"/>
      <c r="F918" s="196"/>
      <c r="G918" s="196"/>
      <c r="H918" s="196"/>
      <c r="I918" s="196"/>
      <c r="J918" s="197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3.5" customHeight="1">
      <c r="A919" s="195"/>
      <c r="B919" s="196"/>
      <c r="C919" s="196"/>
      <c r="D919" s="196"/>
      <c r="E919" s="196"/>
      <c r="F919" s="196"/>
      <c r="G919" s="196"/>
      <c r="H919" s="196"/>
      <c r="I919" s="196"/>
      <c r="J919" s="197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3.5" customHeight="1">
      <c r="A920" s="195"/>
      <c r="B920" s="196"/>
      <c r="C920" s="196"/>
      <c r="D920" s="196"/>
      <c r="E920" s="196"/>
      <c r="F920" s="196"/>
      <c r="G920" s="196"/>
      <c r="H920" s="196"/>
      <c r="I920" s="196"/>
      <c r="J920" s="197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3.5" customHeight="1">
      <c r="A921" s="195"/>
      <c r="B921" s="196"/>
      <c r="C921" s="196"/>
      <c r="D921" s="196"/>
      <c r="E921" s="196"/>
      <c r="F921" s="196"/>
      <c r="G921" s="196"/>
      <c r="H921" s="196"/>
      <c r="I921" s="196"/>
      <c r="J921" s="197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3.5" customHeight="1">
      <c r="A922" s="195"/>
      <c r="B922" s="196"/>
      <c r="C922" s="196"/>
      <c r="D922" s="196"/>
      <c r="E922" s="196"/>
      <c r="F922" s="196"/>
      <c r="G922" s="196"/>
      <c r="H922" s="196"/>
      <c r="I922" s="196"/>
      <c r="J922" s="197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3.5" customHeight="1">
      <c r="A923" s="195"/>
      <c r="B923" s="196"/>
      <c r="C923" s="196"/>
      <c r="D923" s="196"/>
      <c r="E923" s="196"/>
      <c r="F923" s="196"/>
      <c r="G923" s="196"/>
      <c r="H923" s="196"/>
      <c r="I923" s="196"/>
      <c r="J923" s="197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3.5" customHeight="1">
      <c r="A924" s="195"/>
      <c r="B924" s="196"/>
      <c r="C924" s="196"/>
      <c r="D924" s="196"/>
      <c r="E924" s="196"/>
      <c r="F924" s="196"/>
      <c r="G924" s="196"/>
      <c r="H924" s="196"/>
      <c r="I924" s="196"/>
      <c r="J924" s="197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3.5" customHeight="1">
      <c r="A925" s="195"/>
      <c r="B925" s="196"/>
      <c r="C925" s="196"/>
      <c r="D925" s="196"/>
      <c r="E925" s="196"/>
      <c r="F925" s="196"/>
      <c r="G925" s="196"/>
      <c r="H925" s="196"/>
      <c r="I925" s="196"/>
      <c r="J925" s="197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3.5" customHeight="1">
      <c r="A926" s="195"/>
      <c r="B926" s="196"/>
      <c r="C926" s="196"/>
      <c r="D926" s="196"/>
      <c r="E926" s="196"/>
      <c r="F926" s="196"/>
      <c r="G926" s="196"/>
      <c r="H926" s="196"/>
      <c r="I926" s="196"/>
      <c r="J926" s="197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3.5" customHeight="1">
      <c r="A927" s="195"/>
      <c r="B927" s="196"/>
      <c r="C927" s="196"/>
      <c r="D927" s="196"/>
      <c r="E927" s="196"/>
      <c r="F927" s="196"/>
      <c r="G927" s="196"/>
      <c r="H927" s="196"/>
      <c r="I927" s="196"/>
      <c r="J927" s="197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3.5" customHeight="1">
      <c r="A928" s="195"/>
      <c r="B928" s="196"/>
      <c r="C928" s="196"/>
      <c r="D928" s="196"/>
      <c r="E928" s="196"/>
      <c r="F928" s="196"/>
      <c r="G928" s="196"/>
      <c r="H928" s="196"/>
      <c r="I928" s="196"/>
      <c r="J928" s="197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3.5" customHeight="1">
      <c r="A929" s="195"/>
      <c r="B929" s="196"/>
      <c r="C929" s="196"/>
      <c r="D929" s="196"/>
      <c r="E929" s="196"/>
      <c r="F929" s="196"/>
      <c r="G929" s="196"/>
      <c r="H929" s="196"/>
      <c r="I929" s="196"/>
      <c r="J929" s="197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3.5" customHeight="1">
      <c r="A930" s="195"/>
      <c r="B930" s="196"/>
      <c r="C930" s="196"/>
      <c r="D930" s="196"/>
      <c r="E930" s="196"/>
      <c r="F930" s="196"/>
      <c r="G930" s="196"/>
      <c r="H930" s="196"/>
      <c r="I930" s="196"/>
      <c r="J930" s="197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3.5" customHeight="1">
      <c r="A931" s="195"/>
      <c r="B931" s="196"/>
      <c r="C931" s="196"/>
      <c r="D931" s="196"/>
      <c r="E931" s="196"/>
      <c r="F931" s="196"/>
      <c r="G931" s="196"/>
      <c r="H931" s="196"/>
      <c r="I931" s="196"/>
      <c r="J931" s="197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3.5" customHeight="1">
      <c r="A932" s="195"/>
      <c r="B932" s="196"/>
      <c r="C932" s="196"/>
      <c r="D932" s="196"/>
      <c r="E932" s="196"/>
      <c r="F932" s="196"/>
      <c r="G932" s="196"/>
      <c r="H932" s="196"/>
      <c r="I932" s="196"/>
      <c r="J932" s="197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3.5" customHeight="1">
      <c r="A933" s="195"/>
      <c r="B933" s="196"/>
      <c r="C933" s="196"/>
      <c r="D933" s="196"/>
      <c r="E933" s="196"/>
      <c r="F933" s="196"/>
      <c r="G933" s="196"/>
      <c r="H933" s="196"/>
      <c r="I933" s="196"/>
      <c r="J933" s="197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3.5" customHeight="1">
      <c r="A934" s="195"/>
      <c r="B934" s="196"/>
      <c r="C934" s="196"/>
      <c r="D934" s="196"/>
      <c r="E934" s="196"/>
      <c r="F934" s="196"/>
      <c r="G934" s="196"/>
      <c r="H934" s="196"/>
      <c r="I934" s="196"/>
      <c r="J934" s="197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3.5" customHeight="1">
      <c r="A935" s="195"/>
      <c r="B935" s="196"/>
      <c r="C935" s="196"/>
      <c r="D935" s="196"/>
      <c r="E935" s="196"/>
      <c r="F935" s="196"/>
      <c r="G935" s="196"/>
      <c r="H935" s="196"/>
      <c r="I935" s="196"/>
      <c r="J935" s="197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3.5" customHeight="1">
      <c r="A936" s="195"/>
      <c r="B936" s="196"/>
      <c r="C936" s="196"/>
      <c r="D936" s="196"/>
      <c r="E936" s="196"/>
      <c r="F936" s="196"/>
      <c r="G936" s="196"/>
      <c r="H936" s="196"/>
      <c r="I936" s="196"/>
      <c r="J936" s="197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3.5" customHeight="1">
      <c r="A937" s="195"/>
      <c r="B937" s="196"/>
      <c r="C937" s="196"/>
      <c r="D937" s="196"/>
      <c r="E937" s="196"/>
      <c r="F937" s="196"/>
      <c r="G937" s="196"/>
      <c r="H937" s="196"/>
      <c r="I937" s="196"/>
      <c r="J937" s="197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3.5" customHeight="1">
      <c r="A938" s="195"/>
      <c r="B938" s="196"/>
      <c r="C938" s="196"/>
      <c r="D938" s="196"/>
      <c r="E938" s="196"/>
      <c r="F938" s="196"/>
      <c r="G938" s="196"/>
      <c r="H938" s="196"/>
      <c r="I938" s="196"/>
      <c r="J938" s="197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3.5" customHeight="1">
      <c r="A939" s="195"/>
      <c r="B939" s="196"/>
      <c r="C939" s="196"/>
      <c r="D939" s="196"/>
      <c r="E939" s="196"/>
      <c r="F939" s="196"/>
      <c r="G939" s="196"/>
      <c r="H939" s="196"/>
      <c r="I939" s="196"/>
      <c r="J939" s="197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3.5" customHeight="1">
      <c r="A940" s="195"/>
      <c r="B940" s="196"/>
      <c r="C940" s="196"/>
      <c r="D940" s="196"/>
      <c r="E940" s="196"/>
      <c r="F940" s="196"/>
      <c r="G940" s="196"/>
      <c r="H940" s="196"/>
      <c r="I940" s="196"/>
      <c r="J940" s="197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3.5" customHeight="1">
      <c r="A941" s="195"/>
      <c r="B941" s="196"/>
      <c r="C941" s="196"/>
      <c r="D941" s="196"/>
      <c r="E941" s="196"/>
      <c r="F941" s="196"/>
      <c r="G941" s="196"/>
      <c r="H941" s="196"/>
      <c r="I941" s="196"/>
      <c r="J941" s="197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3.5" customHeight="1">
      <c r="A942" s="195"/>
      <c r="B942" s="196"/>
      <c r="C942" s="196"/>
      <c r="D942" s="196"/>
      <c r="E942" s="196"/>
      <c r="F942" s="196"/>
      <c r="G942" s="196"/>
      <c r="H942" s="196"/>
      <c r="I942" s="196"/>
      <c r="J942" s="197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3.5" customHeight="1">
      <c r="A943" s="195"/>
      <c r="B943" s="196"/>
      <c r="C943" s="196"/>
      <c r="D943" s="196"/>
      <c r="E943" s="196"/>
      <c r="F943" s="196"/>
      <c r="G943" s="196"/>
      <c r="H943" s="196"/>
      <c r="I943" s="196"/>
      <c r="J943" s="197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3.5" customHeight="1">
      <c r="A944" s="195"/>
      <c r="B944" s="196"/>
      <c r="C944" s="196"/>
      <c r="D944" s="196"/>
      <c r="E944" s="196"/>
      <c r="F944" s="196"/>
      <c r="G944" s="196"/>
      <c r="H944" s="196"/>
      <c r="I944" s="196"/>
      <c r="J944" s="197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3.5" customHeight="1">
      <c r="A945" s="195"/>
      <c r="B945" s="196"/>
      <c r="C945" s="196"/>
      <c r="D945" s="196"/>
      <c r="E945" s="196"/>
      <c r="F945" s="196"/>
      <c r="G945" s="196"/>
      <c r="H945" s="196"/>
      <c r="I945" s="196"/>
      <c r="J945" s="197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3.5" customHeight="1">
      <c r="A946" s="195"/>
      <c r="B946" s="196"/>
      <c r="C946" s="196"/>
      <c r="D946" s="196"/>
      <c r="E946" s="196"/>
      <c r="F946" s="196"/>
      <c r="G946" s="196"/>
      <c r="H946" s="196"/>
      <c r="I946" s="196"/>
      <c r="J946" s="197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3.5" customHeight="1">
      <c r="A947" s="195"/>
      <c r="B947" s="196"/>
      <c r="C947" s="196"/>
      <c r="D947" s="196"/>
      <c r="E947" s="196"/>
      <c r="F947" s="196"/>
      <c r="G947" s="196"/>
      <c r="H947" s="196"/>
      <c r="I947" s="196"/>
      <c r="J947" s="197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3.5" customHeight="1">
      <c r="A948" s="195"/>
      <c r="B948" s="196"/>
      <c r="C948" s="196"/>
      <c r="D948" s="196"/>
      <c r="E948" s="196"/>
      <c r="F948" s="196"/>
      <c r="G948" s="196"/>
      <c r="H948" s="196"/>
      <c r="I948" s="196"/>
      <c r="J948" s="197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3.5" customHeight="1">
      <c r="A949" s="195"/>
      <c r="B949" s="196"/>
      <c r="C949" s="196"/>
      <c r="D949" s="196"/>
      <c r="E949" s="196"/>
      <c r="F949" s="196"/>
      <c r="G949" s="196"/>
      <c r="H949" s="196"/>
      <c r="I949" s="196"/>
      <c r="J949" s="197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3.5" customHeight="1">
      <c r="A950" s="195"/>
      <c r="B950" s="196"/>
      <c r="C950" s="196"/>
      <c r="D950" s="196"/>
      <c r="E950" s="196"/>
      <c r="F950" s="196"/>
      <c r="G950" s="196"/>
      <c r="H950" s="196"/>
      <c r="I950" s="196"/>
      <c r="J950" s="197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3.5" customHeight="1">
      <c r="A951" s="195"/>
      <c r="B951" s="196"/>
      <c r="C951" s="196"/>
      <c r="D951" s="196"/>
      <c r="E951" s="196"/>
      <c r="F951" s="196"/>
      <c r="G951" s="196"/>
      <c r="H951" s="196"/>
      <c r="I951" s="196"/>
      <c r="J951" s="197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3.5" customHeight="1">
      <c r="A952" s="195"/>
      <c r="B952" s="196"/>
      <c r="C952" s="196"/>
      <c r="D952" s="196"/>
      <c r="E952" s="196"/>
      <c r="F952" s="196"/>
      <c r="G952" s="196"/>
      <c r="H952" s="196"/>
      <c r="I952" s="196"/>
      <c r="J952" s="197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3.5" customHeight="1">
      <c r="A953" s="195"/>
      <c r="B953" s="196"/>
      <c r="C953" s="196"/>
      <c r="D953" s="196"/>
      <c r="E953" s="196"/>
      <c r="F953" s="196"/>
      <c r="G953" s="196"/>
      <c r="H953" s="196"/>
      <c r="I953" s="196"/>
      <c r="J953" s="197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3.5" customHeight="1">
      <c r="A954" s="195"/>
      <c r="B954" s="196"/>
      <c r="C954" s="196"/>
      <c r="D954" s="196"/>
      <c r="E954" s="196"/>
      <c r="F954" s="196"/>
      <c r="G954" s="196"/>
      <c r="H954" s="196"/>
      <c r="I954" s="196"/>
      <c r="J954" s="197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3.5" customHeight="1">
      <c r="A955" s="195"/>
      <c r="B955" s="196"/>
      <c r="C955" s="196"/>
      <c r="D955" s="196"/>
      <c r="E955" s="196"/>
      <c r="F955" s="196"/>
      <c r="G955" s="196"/>
      <c r="H955" s="196"/>
      <c r="I955" s="196"/>
      <c r="J955" s="197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3.5" customHeight="1">
      <c r="A956" s="195"/>
      <c r="B956" s="196"/>
      <c r="C956" s="196"/>
      <c r="D956" s="196"/>
      <c r="E956" s="196"/>
      <c r="F956" s="196"/>
      <c r="G956" s="196"/>
      <c r="H956" s="196"/>
      <c r="I956" s="196"/>
      <c r="J956" s="197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3.5" customHeight="1">
      <c r="A957" s="195"/>
      <c r="B957" s="196"/>
      <c r="C957" s="196"/>
      <c r="D957" s="196"/>
      <c r="E957" s="196"/>
      <c r="F957" s="196"/>
      <c r="G957" s="196"/>
      <c r="H957" s="196"/>
      <c r="I957" s="196"/>
      <c r="J957" s="197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3.5" customHeight="1">
      <c r="A958" s="195"/>
      <c r="B958" s="196"/>
      <c r="C958" s="196"/>
      <c r="D958" s="196"/>
      <c r="E958" s="196"/>
      <c r="F958" s="196"/>
      <c r="G958" s="196"/>
      <c r="H958" s="196"/>
      <c r="I958" s="196"/>
      <c r="J958" s="197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3.5" customHeight="1">
      <c r="A959" s="195"/>
      <c r="B959" s="196"/>
      <c r="C959" s="196"/>
      <c r="D959" s="196"/>
      <c r="E959" s="196"/>
      <c r="F959" s="196"/>
      <c r="G959" s="196"/>
      <c r="H959" s="196"/>
      <c r="I959" s="196"/>
      <c r="J959" s="197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3.5" customHeight="1">
      <c r="A960" s="195"/>
      <c r="B960" s="196"/>
      <c r="C960" s="196"/>
      <c r="D960" s="196"/>
      <c r="E960" s="196"/>
      <c r="F960" s="196"/>
      <c r="G960" s="196"/>
      <c r="H960" s="196"/>
      <c r="I960" s="196"/>
      <c r="J960" s="197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3.5" customHeight="1">
      <c r="A961" s="195"/>
      <c r="B961" s="196"/>
      <c r="C961" s="196"/>
      <c r="D961" s="196"/>
      <c r="E961" s="196"/>
      <c r="F961" s="196"/>
      <c r="G961" s="196"/>
      <c r="H961" s="196"/>
      <c r="I961" s="196"/>
      <c r="J961" s="197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3.5" customHeight="1">
      <c r="A962" s="195"/>
      <c r="B962" s="196"/>
      <c r="C962" s="196"/>
      <c r="D962" s="196"/>
      <c r="E962" s="196"/>
      <c r="F962" s="196"/>
      <c r="G962" s="196"/>
      <c r="H962" s="196"/>
      <c r="I962" s="196"/>
      <c r="J962" s="197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3.5" customHeight="1">
      <c r="A963" s="195"/>
      <c r="B963" s="196"/>
      <c r="C963" s="196"/>
      <c r="D963" s="196"/>
      <c r="E963" s="196"/>
      <c r="F963" s="196"/>
      <c r="G963" s="196"/>
      <c r="H963" s="196"/>
      <c r="I963" s="196"/>
      <c r="J963" s="197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3.5" customHeight="1">
      <c r="A964" s="195"/>
      <c r="B964" s="196"/>
      <c r="C964" s="196"/>
      <c r="D964" s="196"/>
      <c r="E964" s="196"/>
      <c r="F964" s="196"/>
      <c r="G964" s="196"/>
      <c r="H964" s="196"/>
      <c r="I964" s="196"/>
      <c r="J964" s="197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3.5" customHeight="1">
      <c r="A965" s="195"/>
      <c r="B965" s="196"/>
      <c r="C965" s="196"/>
      <c r="D965" s="196"/>
      <c r="E965" s="196"/>
      <c r="F965" s="196"/>
      <c r="G965" s="196"/>
      <c r="H965" s="196"/>
      <c r="I965" s="196"/>
      <c r="J965" s="197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3.5" customHeight="1">
      <c r="A966" s="195"/>
      <c r="B966" s="196"/>
      <c r="C966" s="196"/>
      <c r="D966" s="196"/>
      <c r="E966" s="196"/>
      <c r="F966" s="196"/>
      <c r="G966" s="196"/>
      <c r="H966" s="196"/>
      <c r="I966" s="196"/>
      <c r="J966" s="197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3.5" customHeight="1">
      <c r="A967" s="195"/>
      <c r="B967" s="196"/>
      <c r="C967" s="196"/>
      <c r="D967" s="196"/>
      <c r="E967" s="196"/>
      <c r="F967" s="196"/>
      <c r="G967" s="196"/>
      <c r="H967" s="196"/>
      <c r="I967" s="196"/>
      <c r="J967" s="197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3.5" customHeight="1">
      <c r="A968" s="195"/>
      <c r="B968" s="196"/>
      <c r="C968" s="196"/>
      <c r="D968" s="196"/>
      <c r="E968" s="196"/>
      <c r="F968" s="196"/>
      <c r="G968" s="196"/>
      <c r="H968" s="196"/>
      <c r="I968" s="196"/>
      <c r="J968" s="197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3.5" customHeight="1">
      <c r="A969" s="195"/>
      <c r="B969" s="196"/>
      <c r="C969" s="196"/>
      <c r="D969" s="196"/>
      <c r="E969" s="196"/>
      <c r="F969" s="196"/>
      <c r="G969" s="196"/>
      <c r="H969" s="196"/>
      <c r="I969" s="196"/>
      <c r="J969" s="197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3.5" customHeight="1">
      <c r="A970" s="195"/>
      <c r="B970" s="196"/>
      <c r="C970" s="196"/>
      <c r="D970" s="196"/>
      <c r="E970" s="196"/>
      <c r="F970" s="196"/>
      <c r="G970" s="196"/>
      <c r="H970" s="196"/>
      <c r="I970" s="196"/>
      <c r="J970" s="197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3.5" customHeight="1">
      <c r="A971" s="195"/>
      <c r="B971" s="196"/>
      <c r="C971" s="196"/>
      <c r="D971" s="196"/>
      <c r="E971" s="196"/>
      <c r="F971" s="196"/>
      <c r="G971" s="196"/>
      <c r="H971" s="196"/>
      <c r="I971" s="196"/>
      <c r="J971" s="197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3.5" customHeight="1">
      <c r="A972" s="195"/>
      <c r="B972" s="196"/>
      <c r="C972" s="196"/>
      <c r="D972" s="196"/>
      <c r="E972" s="196"/>
      <c r="F972" s="196"/>
      <c r="G972" s="196"/>
      <c r="H972" s="196"/>
      <c r="I972" s="196"/>
      <c r="J972" s="197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3.5" customHeight="1">
      <c r="A973" s="195"/>
      <c r="B973" s="196"/>
      <c r="C973" s="196"/>
      <c r="D973" s="196"/>
      <c r="E973" s="196"/>
      <c r="F973" s="196"/>
      <c r="G973" s="196"/>
      <c r="H973" s="196"/>
      <c r="I973" s="196"/>
      <c r="J973" s="197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3.5" customHeight="1">
      <c r="A974" s="195"/>
      <c r="B974" s="196"/>
      <c r="C974" s="196"/>
      <c r="D974" s="196"/>
      <c r="E974" s="196"/>
      <c r="F974" s="196"/>
      <c r="G974" s="196"/>
      <c r="H974" s="196"/>
      <c r="I974" s="196"/>
      <c r="J974" s="197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3.5" customHeight="1">
      <c r="A975" s="195"/>
      <c r="B975" s="196"/>
      <c r="C975" s="196"/>
      <c r="D975" s="196"/>
      <c r="E975" s="196"/>
      <c r="F975" s="196"/>
      <c r="G975" s="196"/>
      <c r="H975" s="196"/>
      <c r="I975" s="196"/>
      <c r="J975" s="197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3.5" customHeight="1">
      <c r="A976" s="195"/>
      <c r="B976" s="196"/>
      <c r="C976" s="196"/>
      <c r="D976" s="196"/>
      <c r="E976" s="196"/>
      <c r="F976" s="196"/>
      <c r="G976" s="196"/>
      <c r="H976" s="196"/>
      <c r="I976" s="196"/>
      <c r="J976" s="197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3.5" customHeight="1">
      <c r="A977" s="195"/>
      <c r="B977" s="196"/>
      <c r="C977" s="196"/>
      <c r="D977" s="196"/>
      <c r="E977" s="196"/>
      <c r="F977" s="196"/>
      <c r="G977" s="196"/>
      <c r="H977" s="196"/>
      <c r="I977" s="196"/>
      <c r="J977" s="197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3.5" customHeight="1">
      <c r="A978" s="195"/>
      <c r="B978" s="196"/>
      <c r="C978" s="196"/>
      <c r="D978" s="196"/>
      <c r="E978" s="196"/>
      <c r="F978" s="196"/>
      <c r="G978" s="196"/>
      <c r="H978" s="196"/>
      <c r="I978" s="196"/>
      <c r="J978" s="197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3.5" customHeight="1">
      <c r="A979" s="195"/>
      <c r="B979" s="196"/>
      <c r="C979" s="196"/>
      <c r="D979" s="196"/>
      <c r="E979" s="196"/>
      <c r="F979" s="196"/>
      <c r="G979" s="196"/>
      <c r="H979" s="196"/>
      <c r="I979" s="196"/>
      <c r="J979" s="197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3.5" customHeight="1">
      <c r="A980" s="195"/>
      <c r="B980" s="196"/>
      <c r="C980" s="196"/>
      <c r="D980" s="196"/>
      <c r="E980" s="196"/>
      <c r="F980" s="196"/>
      <c r="G980" s="196"/>
      <c r="H980" s="196"/>
      <c r="I980" s="196"/>
      <c r="J980" s="197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3.5" customHeight="1">
      <c r="A981" s="195"/>
      <c r="B981" s="196"/>
      <c r="C981" s="196"/>
      <c r="D981" s="196"/>
      <c r="E981" s="196"/>
      <c r="F981" s="196"/>
      <c r="G981" s="196"/>
      <c r="H981" s="196"/>
      <c r="I981" s="196"/>
      <c r="J981" s="197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3.5" customHeight="1">
      <c r="A982" s="195"/>
      <c r="B982" s="196"/>
      <c r="C982" s="196"/>
      <c r="D982" s="196"/>
      <c r="E982" s="196"/>
      <c r="F982" s="196"/>
      <c r="G982" s="196"/>
      <c r="H982" s="196"/>
      <c r="I982" s="196"/>
      <c r="J982" s="197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3.5" customHeight="1">
      <c r="A983" s="195"/>
      <c r="B983" s="196"/>
      <c r="C983" s="196"/>
      <c r="D983" s="196"/>
      <c r="E983" s="196"/>
      <c r="F983" s="196"/>
      <c r="G983" s="196"/>
      <c r="H983" s="196"/>
      <c r="I983" s="196"/>
      <c r="J983" s="197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3.5" customHeight="1">
      <c r="A984" s="195"/>
      <c r="B984" s="196"/>
      <c r="C984" s="196"/>
      <c r="D984" s="196"/>
      <c r="E984" s="196"/>
      <c r="F984" s="196"/>
      <c r="G984" s="196"/>
      <c r="H984" s="196"/>
      <c r="I984" s="196"/>
      <c r="J984" s="197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3.5" customHeight="1">
      <c r="A985" s="195"/>
      <c r="B985" s="196"/>
      <c r="C985" s="196"/>
      <c r="D985" s="196"/>
      <c r="E985" s="196"/>
      <c r="F985" s="196"/>
      <c r="G985" s="196"/>
      <c r="H985" s="196"/>
      <c r="I985" s="196"/>
      <c r="J985" s="197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3.5" customHeight="1">
      <c r="A986" s="195"/>
      <c r="B986" s="196"/>
      <c r="C986" s="196"/>
      <c r="D986" s="196"/>
      <c r="E986" s="196"/>
      <c r="F986" s="196"/>
      <c r="G986" s="196"/>
      <c r="H986" s="196"/>
      <c r="I986" s="196"/>
      <c r="J986" s="197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3.5" customHeight="1">
      <c r="A987" s="195"/>
      <c r="B987" s="196"/>
      <c r="C987" s="196"/>
      <c r="D987" s="196"/>
      <c r="E987" s="196"/>
      <c r="F987" s="196"/>
      <c r="G987" s="196"/>
      <c r="H987" s="196"/>
      <c r="I987" s="196"/>
      <c r="J987" s="197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3.5" customHeight="1">
      <c r="A988" s="195"/>
      <c r="B988" s="196"/>
      <c r="C988" s="196"/>
      <c r="D988" s="196"/>
      <c r="E988" s="196"/>
      <c r="F988" s="196"/>
      <c r="G988" s="196"/>
      <c r="H988" s="196"/>
      <c r="I988" s="196"/>
      <c r="J988" s="197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3.5" customHeight="1">
      <c r="A989" s="195"/>
      <c r="B989" s="196"/>
      <c r="C989" s="196"/>
      <c r="D989" s="196"/>
      <c r="E989" s="196"/>
      <c r="F989" s="196"/>
      <c r="G989" s="196"/>
      <c r="H989" s="196"/>
      <c r="I989" s="196"/>
      <c r="J989" s="197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3.5" customHeight="1">
      <c r="A990" s="195"/>
      <c r="B990" s="196"/>
      <c r="C990" s="196"/>
      <c r="D990" s="196"/>
      <c r="E990" s="196"/>
      <c r="F990" s="196"/>
      <c r="G990" s="196"/>
      <c r="H990" s="196"/>
      <c r="I990" s="196"/>
      <c r="J990" s="197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3.5" customHeight="1">
      <c r="A991" s="195"/>
      <c r="B991" s="196"/>
      <c r="C991" s="196"/>
      <c r="D991" s="196"/>
      <c r="E991" s="196"/>
      <c r="F991" s="196"/>
      <c r="G991" s="196"/>
      <c r="H991" s="196"/>
      <c r="I991" s="196"/>
      <c r="J991" s="197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3.5" customHeight="1">
      <c r="A992" s="195"/>
      <c r="B992" s="196"/>
      <c r="C992" s="196"/>
      <c r="D992" s="196"/>
      <c r="E992" s="196"/>
      <c r="F992" s="196"/>
      <c r="G992" s="196"/>
      <c r="H992" s="196"/>
      <c r="I992" s="196"/>
      <c r="J992" s="197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3.5" customHeight="1">
      <c r="A993" s="195"/>
      <c r="B993" s="196"/>
      <c r="C993" s="196"/>
      <c r="D993" s="196"/>
      <c r="E993" s="196"/>
      <c r="F993" s="196"/>
      <c r="G993" s="196"/>
      <c r="H993" s="196"/>
      <c r="I993" s="196"/>
      <c r="J993" s="197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3.5" customHeight="1">
      <c r="A994" s="195"/>
      <c r="B994" s="196"/>
      <c r="C994" s="196"/>
      <c r="D994" s="196"/>
      <c r="E994" s="196"/>
      <c r="F994" s="196"/>
      <c r="G994" s="196"/>
      <c r="H994" s="196"/>
      <c r="I994" s="196"/>
      <c r="J994" s="197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3.5" customHeight="1">
      <c r="A995" s="195"/>
      <c r="B995" s="196"/>
      <c r="C995" s="196"/>
      <c r="D995" s="196"/>
      <c r="E995" s="196"/>
      <c r="F995" s="196"/>
      <c r="G995" s="196"/>
      <c r="H995" s="196"/>
      <c r="I995" s="196"/>
      <c r="J995" s="197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3.5" customHeight="1">
      <c r="A996" s="195"/>
      <c r="B996" s="196"/>
      <c r="C996" s="196"/>
      <c r="D996" s="196"/>
      <c r="E996" s="196"/>
      <c r="F996" s="196"/>
      <c r="G996" s="196"/>
      <c r="H996" s="196"/>
      <c r="I996" s="196"/>
      <c r="J996" s="197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3.5" customHeight="1">
      <c r="A997" s="195"/>
      <c r="B997" s="196"/>
      <c r="C997" s="196"/>
      <c r="D997" s="196"/>
      <c r="E997" s="196"/>
      <c r="F997" s="196"/>
      <c r="G997" s="196"/>
      <c r="H997" s="196"/>
      <c r="I997" s="196"/>
      <c r="J997" s="197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3.5" customHeight="1">
      <c r="A998" s="195"/>
      <c r="B998" s="196"/>
      <c r="C998" s="196"/>
      <c r="D998" s="196"/>
      <c r="E998" s="196"/>
      <c r="F998" s="196"/>
      <c r="G998" s="196"/>
      <c r="H998" s="196"/>
      <c r="I998" s="196"/>
      <c r="J998" s="197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3.5" customHeight="1">
      <c r="A999" s="195"/>
      <c r="B999" s="196"/>
      <c r="C999" s="196"/>
      <c r="D999" s="196"/>
      <c r="E999" s="196"/>
      <c r="F999" s="196"/>
      <c r="G999" s="196"/>
      <c r="H999" s="196"/>
      <c r="I999" s="196"/>
      <c r="J999" s="197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3.5" customHeight="1">
      <c r="A1000" s="195"/>
      <c r="B1000" s="196"/>
      <c r="C1000" s="196"/>
      <c r="D1000" s="196"/>
      <c r="E1000" s="196"/>
      <c r="F1000" s="196"/>
      <c r="G1000" s="196"/>
      <c r="H1000" s="196"/>
      <c r="I1000" s="196"/>
      <c r="J1000" s="197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13">
    <mergeCell ref="D9:D10"/>
    <mergeCell ref="E9:E10"/>
    <mergeCell ref="A120:B120"/>
    <mergeCell ref="F9:F10"/>
    <mergeCell ref="G9:G10"/>
    <mergeCell ref="A5:H5"/>
    <mergeCell ref="A7:A10"/>
    <mergeCell ref="B7:B8"/>
    <mergeCell ref="C7:H7"/>
    <mergeCell ref="C8:H8"/>
    <mergeCell ref="B9:B10"/>
    <mergeCell ref="C9:C10"/>
    <mergeCell ref="H9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.71"/>
    <col customWidth="1" min="3" max="3" width="24.71"/>
    <col customWidth="1" min="4" max="8" width="16.71"/>
    <col customWidth="1" min="9" max="26" width="8.0"/>
  </cols>
  <sheetData>
    <row r="1" ht="24.0" customHeight="1">
      <c r="A1" s="233"/>
      <c r="B1" s="233" t="s">
        <v>339</v>
      </c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 ht="24.0" customHeight="1">
      <c r="A2" s="233"/>
      <c r="B2" s="233" t="s">
        <v>2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 ht="24.0" customHeight="1">
      <c r="A3" s="233"/>
      <c r="B3" s="233" t="s">
        <v>3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 ht="24.0" customHeight="1">
      <c r="A4" s="233"/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24.0" customHeight="1">
      <c r="A5" s="233"/>
      <c r="B5" s="234" t="s">
        <v>340</v>
      </c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24.0" customHeight="1">
      <c r="A6" s="233"/>
      <c r="B6" s="234" t="s">
        <v>341</v>
      </c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24.0" customHeight="1">
      <c r="A7" s="233"/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24.0" customHeight="1">
      <c r="A8" s="235"/>
      <c r="B8" s="236" t="s">
        <v>16</v>
      </c>
      <c r="C8" s="236" t="s">
        <v>342</v>
      </c>
      <c r="D8" s="236" t="s">
        <v>343</v>
      </c>
      <c r="E8" s="236" t="s">
        <v>18</v>
      </c>
      <c r="F8" s="237" t="s">
        <v>344</v>
      </c>
      <c r="G8" s="34"/>
      <c r="H8" s="236" t="s">
        <v>345</v>
      </c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</row>
    <row r="9" ht="24.0" customHeight="1">
      <c r="A9" s="235"/>
      <c r="B9" s="38"/>
      <c r="C9" s="38"/>
      <c r="D9" s="38"/>
      <c r="E9" s="38"/>
      <c r="F9" s="238">
        <v>0.04</v>
      </c>
      <c r="G9" s="239" t="s">
        <v>346</v>
      </c>
      <c r="H9" s="38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</row>
    <row r="10" ht="24.0" customHeight="1">
      <c r="A10" s="235"/>
      <c r="B10" s="239">
        <v>1.0</v>
      </c>
      <c r="C10" s="239">
        <v>2.0</v>
      </c>
      <c r="D10" s="239">
        <v>3.0</v>
      </c>
      <c r="E10" s="239">
        <v>4.0</v>
      </c>
      <c r="F10" s="238" t="s">
        <v>347</v>
      </c>
      <c r="G10" s="239" t="s">
        <v>348</v>
      </c>
      <c r="H10" s="239" t="s">
        <v>349</v>
      </c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</row>
    <row r="11" ht="24.0" customHeight="1">
      <c r="A11" s="233"/>
      <c r="B11" s="240">
        <v>1.0</v>
      </c>
      <c r="C11" s="241" t="s">
        <v>8</v>
      </c>
      <c r="D11" s="242">
        <v>86.0</v>
      </c>
      <c r="E11" s="243">
        <f>'hitung siltap'!H11</f>
        <v>4275000</v>
      </c>
      <c r="F11" s="243">
        <f t="shared" ref="F11:F14" si="1">4%*E11</f>
        <v>171000</v>
      </c>
      <c r="G11" s="243">
        <f t="shared" ref="G11:G14" si="2">D11*F11</f>
        <v>14706000</v>
      </c>
      <c r="H11" s="243">
        <f t="shared" ref="H11:H14" si="3">G11*12</f>
        <v>176472000</v>
      </c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24.0" customHeight="1">
      <c r="A12" s="233"/>
      <c r="B12" s="240">
        <v>2.0</v>
      </c>
      <c r="C12" s="241" t="s">
        <v>11</v>
      </c>
      <c r="D12" s="242">
        <v>86.0</v>
      </c>
      <c r="E12" s="243">
        <f>'hitung siltap'!H12</f>
        <v>3300000</v>
      </c>
      <c r="F12" s="243">
        <f t="shared" si="1"/>
        <v>132000</v>
      </c>
      <c r="G12" s="243">
        <f t="shared" si="2"/>
        <v>11352000</v>
      </c>
      <c r="H12" s="243">
        <f t="shared" si="3"/>
        <v>136224000</v>
      </c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24.0" customHeight="1">
      <c r="A13" s="233"/>
      <c r="B13" s="240">
        <v>3.0</v>
      </c>
      <c r="C13" s="241" t="s">
        <v>350</v>
      </c>
      <c r="D13" s="242">
        <f>6*86</f>
        <v>516</v>
      </c>
      <c r="E13" s="243">
        <f>'hitung siltap'!H13</f>
        <v>3000000</v>
      </c>
      <c r="F13" s="243">
        <f t="shared" si="1"/>
        <v>120000</v>
      </c>
      <c r="G13" s="243">
        <f t="shared" si="2"/>
        <v>61920000</v>
      </c>
      <c r="H13" s="243">
        <f t="shared" si="3"/>
        <v>743040000</v>
      </c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24.0" customHeight="1">
      <c r="A14" s="233"/>
      <c r="B14" s="240">
        <v>4.0</v>
      </c>
      <c r="C14" s="241" t="s">
        <v>13</v>
      </c>
      <c r="D14" s="242">
        <v>1212.0</v>
      </c>
      <c r="E14" s="243">
        <f>'hitung siltap'!H14</f>
        <v>2900000</v>
      </c>
      <c r="F14" s="243">
        <f t="shared" si="1"/>
        <v>116000</v>
      </c>
      <c r="G14" s="243">
        <f t="shared" si="2"/>
        <v>140592000</v>
      </c>
      <c r="H14" s="243">
        <f t="shared" si="3"/>
        <v>1687104000</v>
      </c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24.0" customHeight="1">
      <c r="A15" s="244"/>
      <c r="B15" s="245"/>
      <c r="C15" s="245" t="s">
        <v>209</v>
      </c>
      <c r="D15" s="246">
        <f>SUM(D11:D14)</f>
        <v>1900</v>
      </c>
      <c r="E15" s="247"/>
      <c r="F15" s="247">
        <f t="shared" ref="F15:H15" si="4">SUM(F11:F14)</f>
        <v>539000</v>
      </c>
      <c r="G15" s="247">
        <f t="shared" si="4"/>
        <v>228570000</v>
      </c>
      <c r="H15" s="247">
        <f t="shared" si="4"/>
        <v>2742840000</v>
      </c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</row>
    <row r="16" ht="24.0" customHeight="1">
      <c r="A16" s="233"/>
      <c r="B16" s="233"/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24.0" customHeight="1">
      <c r="A17" s="233"/>
      <c r="B17" s="233"/>
      <c r="C17" s="233"/>
      <c r="D17" s="248" t="s">
        <v>351</v>
      </c>
      <c r="E17" s="248"/>
      <c r="F17" s="249"/>
      <c r="G17" s="249"/>
      <c r="H17" s="243">
        <v>2.032240195E9</v>
      </c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24.0" customHeight="1">
      <c r="A18" s="233"/>
      <c r="B18" s="233"/>
      <c r="C18" s="233"/>
      <c r="D18" s="248" t="s">
        <v>352</v>
      </c>
      <c r="E18" s="248"/>
      <c r="F18" s="249"/>
      <c r="G18" s="249"/>
      <c r="H18" s="243">
        <f>H15</f>
        <v>2742840000</v>
      </c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</row>
    <row r="19" ht="24.0" customHeight="1">
      <c r="A19" s="233"/>
      <c r="B19" s="233"/>
      <c r="C19" s="233"/>
      <c r="D19" s="250" t="s">
        <v>353</v>
      </c>
      <c r="E19" s="251"/>
      <c r="F19" s="249"/>
      <c r="G19" s="249"/>
      <c r="H19" s="247">
        <f>H18-H17</f>
        <v>710599805</v>
      </c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24.0" customHeight="1">
      <c r="A20" s="233"/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24.0" customHeight="1">
      <c r="A21" s="233"/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</row>
    <row r="22" ht="24.0" customHeight="1">
      <c r="A22" s="252"/>
      <c r="B22" s="252"/>
      <c r="C22" s="252"/>
      <c r="D22" s="252"/>
      <c r="E22" s="252"/>
      <c r="F22" s="252"/>
      <c r="G22" s="252"/>
      <c r="H22" s="253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 ht="24.0" customHeight="1">
      <c r="A23" s="233"/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24.0" customHeight="1">
      <c r="A24" s="233"/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24.0" customHeight="1">
      <c r="A25" s="233"/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24.0" customHeight="1">
      <c r="A26" s="233"/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24.0" customHeight="1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24.0" customHeight="1">
      <c r="A28" s="233"/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24.0" customHeight="1">
      <c r="A29" s="233"/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24.0" customHeight="1">
      <c r="A30" s="233"/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24.0" customHeight="1">
      <c r="A31" s="233"/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24.0" customHeight="1">
      <c r="A32" s="233"/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24.0" customHeight="1">
      <c r="A33" s="233"/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24.0" customHeight="1">
      <c r="A34" s="233"/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24.0" customHeight="1">
      <c r="A35" s="233"/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24.0" customHeight="1">
      <c r="A36" s="233"/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24.0" customHeight="1">
      <c r="A37" s="233"/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24.0" customHeight="1">
      <c r="A38" s="233"/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24.0" customHeight="1">
      <c r="A39" s="233"/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24.0" customHeight="1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24.0" customHeight="1">
      <c r="A41" s="233"/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24.0" customHeight="1">
      <c r="A42" s="233"/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24.0" customHeight="1">
      <c r="A43" s="233"/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24.0" customHeight="1">
      <c r="A44" s="233"/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24.0" customHeight="1">
      <c r="A45" s="233"/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24.0" customHeight="1">
      <c r="A46" s="233"/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24.0" customHeight="1">
      <c r="A47" s="233"/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24.0" customHeight="1">
      <c r="A48" s="233"/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24.0" customHeight="1">
      <c r="A49" s="233"/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24.0" customHeight="1">
      <c r="A50" s="233"/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24.0" customHeight="1">
      <c r="A51" s="233"/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24.0" customHeight="1">
      <c r="A52" s="233"/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24.0" customHeight="1">
      <c r="A53" s="233"/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24.0" customHeight="1">
      <c r="A54" s="233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24.0" customHeight="1">
      <c r="A55" s="233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24.0" customHeight="1">
      <c r="A56" s="233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24.0" customHeight="1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24.0" customHeight="1">
      <c r="A58" s="233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24.0" customHeight="1">
      <c r="A59" s="233"/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24.0" customHeight="1">
      <c r="A60" s="233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24.0" customHeight="1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24.0" customHeight="1">
      <c r="A62" s="233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24.0" customHeight="1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24.0" customHeight="1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24.0" customHeight="1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24.0" customHeight="1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24.0" customHeight="1">
      <c r="A67" s="233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24.0" customHeight="1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24.0" customHeight="1">
      <c r="A69" s="23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24.0" customHeight="1">
      <c r="A70" s="233"/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24.0" customHeight="1">
      <c r="A71" s="233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24.0" customHeight="1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24.0" customHeight="1">
      <c r="A73" s="233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24.0" customHeight="1">
      <c r="A74" s="233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24.0" customHeight="1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24.0" customHeight="1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24.0" customHeight="1">
      <c r="A77" s="233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24.0" customHeight="1">
      <c r="A78" s="233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24.0" customHeight="1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24.0" customHeight="1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24.0" customHeight="1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24.0" customHeight="1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24.0" customHeight="1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24.0" customHeight="1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24.0" customHeight="1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24.0" customHeight="1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24.0" customHeight="1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24.0" customHeight="1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24.0" customHeight="1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24.0" customHeight="1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24.0" customHeight="1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24.0" customHeight="1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24.0" customHeight="1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24.0" customHeight="1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24.0" customHeight="1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24.0" customHeight="1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24.0" customHeight="1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24.0" customHeight="1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24.0" customHeight="1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24.0" customHeight="1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24.0" customHeight="1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24.0" customHeight="1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24.0" customHeight="1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24.0" customHeight="1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24.0" customHeight="1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24.0" customHeight="1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24.0" customHeight="1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24.0" customHeight="1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24.0" customHeight="1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24.0" customHeight="1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24.0" customHeight="1">
      <c r="A111" s="233"/>
      <c r="B111" s="233"/>
      <c r="C111" s="233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24.0" customHeight="1">
      <c r="A112" s="233"/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24.0" customHeight="1">
      <c r="A113" s="233"/>
      <c r="B113" s="233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24.0" customHeight="1">
      <c r="A114" s="233"/>
      <c r="B114" s="233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24.0" customHeight="1">
      <c r="A115" s="233"/>
      <c r="B115" s="233"/>
      <c r="C115" s="233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24.0" customHeight="1">
      <c r="A116" s="233"/>
      <c r="B116" s="233"/>
      <c r="C116" s="233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24.0" customHeight="1">
      <c r="A117" s="233"/>
      <c r="B117" s="233"/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24.0" customHeight="1">
      <c r="A118" s="233"/>
      <c r="B118" s="233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24.0" customHeight="1">
      <c r="A119" s="233"/>
      <c r="B119" s="233"/>
      <c r="C119" s="233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24.0" customHeight="1">
      <c r="A120" s="233"/>
      <c r="B120" s="233"/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24.0" customHeight="1">
      <c r="A121" s="233"/>
      <c r="B121" s="233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24.0" customHeight="1">
      <c r="A122" s="233"/>
      <c r="B122" s="233"/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24.0" customHeight="1">
      <c r="A123" s="233"/>
      <c r="B123" s="233"/>
      <c r="C123" s="233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24.0" customHeight="1">
      <c r="A124" s="233"/>
      <c r="B124" s="233"/>
      <c r="C124" s="233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24.0" customHeight="1">
      <c r="A125" s="233"/>
      <c r="B125" s="233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24.0" customHeight="1">
      <c r="A126" s="233"/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24.0" customHeight="1">
      <c r="A127" s="233"/>
      <c r="B127" s="233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24.0" customHeight="1">
      <c r="A128" s="233"/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24.0" customHeight="1">
      <c r="A129" s="233"/>
      <c r="B129" s="233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24.0" customHeight="1">
      <c r="A130" s="233"/>
      <c r="B130" s="233"/>
      <c r="C130" s="233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24.0" customHeight="1">
      <c r="A131" s="233"/>
      <c r="B131" s="233"/>
      <c r="C131" s="233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24.0" customHeight="1">
      <c r="A132" s="233"/>
      <c r="B132" s="233"/>
      <c r="C132" s="233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24.0" customHeight="1">
      <c r="A133" s="233"/>
      <c r="B133" s="233"/>
      <c r="C133" s="233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24.0" customHeight="1">
      <c r="A134" s="233"/>
      <c r="B134" s="233"/>
      <c r="C134" s="233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24.0" customHeight="1">
      <c r="A135" s="233"/>
      <c r="B135" s="233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24.0" customHeight="1">
      <c r="A136" s="233"/>
      <c r="B136" s="233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24.0" customHeight="1">
      <c r="A137" s="233"/>
      <c r="B137" s="233"/>
      <c r="C137" s="233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24.0" customHeight="1">
      <c r="A138" s="233"/>
      <c r="B138" s="233"/>
      <c r="C138" s="233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24.0" customHeight="1">
      <c r="A139" s="233"/>
      <c r="B139" s="233"/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24.0" customHeight="1">
      <c r="A140" s="233"/>
      <c r="B140" s="233"/>
      <c r="C140" s="233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24.0" customHeight="1">
      <c r="A141" s="233"/>
      <c r="B141" s="233"/>
      <c r="C141" s="233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24.0" customHeight="1">
      <c r="A142" s="233"/>
      <c r="B142" s="233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24.0" customHeight="1">
      <c r="A143" s="233"/>
      <c r="B143" s="233"/>
      <c r="C143" s="233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24.0" customHeight="1">
      <c r="A144" s="233"/>
      <c r="B144" s="233"/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24.0" customHeight="1">
      <c r="A145" s="233"/>
      <c r="B145" s="233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24.0" customHeight="1">
      <c r="A146" s="233"/>
      <c r="B146" s="233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24.0" customHeight="1">
      <c r="A147" s="233"/>
      <c r="B147" s="233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24.0" customHeight="1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24.0" customHeight="1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24.0" customHeight="1">
      <c r="A150" s="233"/>
      <c r="B150" s="233"/>
      <c r="C150" s="233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24.0" customHeight="1">
      <c r="A151" s="233"/>
      <c r="B151" s="233"/>
      <c r="C151" s="233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24.0" customHeight="1">
      <c r="A152" s="233"/>
      <c r="B152" s="233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24.0" customHeight="1">
      <c r="A153" s="233"/>
      <c r="B153" s="233"/>
      <c r="C153" s="233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24.0" customHeight="1">
      <c r="A154" s="233"/>
      <c r="B154" s="233"/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24.0" customHeight="1">
      <c r="A155" s="233"/>
      <c r="B155" s="233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24.0" customHeight="1">
      <c r="A156" s="233"/>
      <c r="B156" s="233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24.0" customHeight="1">
      <c r="A157" s="233"/>
      <c r="B157" s="233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24.0" customHeight="1">
      <c r="A158" s="233"/>
      <c r="B158" s="233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24.0" customHeight="1">
      <c r="A159" s="233"/>
      <c r="B159" s="233"/>
      <c r="C159" s="233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24.0" customHeight="1">
      <c r="A160" s="233"/>
      <c r="B160" s="233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24.0" customHeight="1">
      <c r="A161" s="233"/>
      <c r="B161" s="233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24.0" customHeight="1">
      <c r="A162" s="233"/>
      <c r="B162" s="233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24.0" customHeight="1">
      <c r="A163" s="233"/>
      <c r="B163" s="233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24.0" customHeight="1">
      <c r="A164" s="233"/>
      <c r="B164" s="233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24.0" customHeight="1">
      <c r="A165" s="233"/>
      <c r="B165" s="233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24.0" customHeight="1">
      <c r="A166" s="233"/>
      <c r="B166" s="233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24.0" customHeight="1">
      <c r="A167" s="233"/>
      <c r="B167" s="233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24.0" customHeight="1">
      <c r="A168" s="233"/>
      <c r="B168" s="233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24.0" customHeight="1">
      <c r="A169" s="233"/>
      <c r="B169" s="233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24.0" customHeight="1">
      <c r="A170" s="233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24.0" customHeight="1">
      <c r="A171" s="233"/>
      <c r="B171" s="233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24.0" customHeight="1">
      <c r="A172" s="233"/>
      <c r="B172" s="233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24.0" customHeight="1">
      <c r="A173" s="233"/>
      <c r="B173" s="233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24.0" customHeight="1">
      <c r="A174" s="233"/>
      <c r="B174" s="233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24.0" customHeight="1">
      <c r="A175" s="233"/>
      <c r="B175" s="233"/>
      <c r="C175" s="233"/>
      <c r="D175" s="233"/>
      <c r="E175" s="233"/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24.0" customHeight="1">
      <c r="A176" s="233"/>
      <c r="B176" s="233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24.0" customHeight="1">
      <c r="A177" s="233"/>
      <c r="B177" s="233"/>
      <c r="C177" s="233"/>
      <c r="D177" s="233"/>
      <c r="E177" s="233"/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24.0" customHeight="1">
      <c r="A178" s="233"/>
      <c r="B178" s="233"/>
      <c r="C178" s="233"/>
      <c r="D178" s="233"/>
      <c r="E178" s="233"/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24.0" customHeight="1">
      <c r="A179" s="233"/>
      <c r="B179" s="233"/>
      <c r="C179" s="233"/>
      <c r="D179" s="233"/>
      <c r="E179" s="233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24.0" customHeight="1">
      <c r="A180" s="233"/>
      <c r="B180" s="233"/>
      <c r="C180" s="233"/>
      <c r="D180" s="233"/>
      <c r="E180" s="233"/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24.0" customHeight="1">
      <c r="A181" s="233"/>
      <c r="B181" s="233"/>
      <c r="C181" s="233"/>
      <c r="D181" s="233"/>
      <c r="E181" s="233"/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24.0" customHeight="1">
      <c r="A182" s="233"/>
      <c r="B182" s="233"/>
      <c r="C182" s="233"/>
      <c r="D182" s="233"/>
      <c r="E182" s="233"/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24.0" customHeight="1">
      <c r="A183" s="233"/>
      <c r="B183" s="233"/>
      <c r="C183" s="233"/>
      <c r="D183" s="233"/>
      <c r="E183" s="233"/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24.0" customHeight="1">
      <c r="A184" s="233"/>
      <c r="B184" s="233"/>
      <c r="C184" s="233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24.0" customHeight="1">
      <c r="A185" s="233"/>
      <c r="B185" s="233"/>
      <c r="C185" s="233"/>
      <c r="D185" s="233"/>
      <c r="E185" s="233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24.0" customHeight="1">
      <c r="A186" s="233"/>
      <c r="B186" s="233"/>
      <c r="C186" s="233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24.0" customHeight="1">
      <c r="A187" s="233"/>
      <c r="B187" s="233"/>
      <c r="C187" s="233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24.0" customHeight="1">
      <c r="A188" s="233"/>
      <c r="B188" s="233"/>
      <c r="C188" s="233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24.0" customHeight="1">
      <c r="A189" s="233"/>
      <c r="B189" s="233"/>
      <c r="C189" s="233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24.0" customHeight="1">
      <c r="A190" s="233"/>
      <c r="B190" s="233"/>
      <c r="C190" s="233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24.0" customHeight="1">
      <c r="A191" s="233"/>
      <c r="B191" s="233"/>
      <c r="C191" s="233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24.0" customHeight="1">
      <c r="A192" s="233"/>
      <c r="B192" s="233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24.0" customHeight="1">
      <c r="A193" s="233"/>
      <c r="B193" s="233"/>
      <c r="C193" s="233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24.0" customHeight="1">
      <c r="A194" s="233"/>
      <c r="B194" s="233"/>
      <c r="C194" s="233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24.0" customHeight="1">
      <c r="A195" s="233"/>
      <c r="B195" s="233"/>
      <c r="C195" s="233"/>
      <c r="D195" s="233"/>
      <c r="E195" s="233"/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24.0" customHeight="1">
      <c r="A196" s="233"/>
      <c r="B196" s="233"/>
      <c r="C196" s="233"/>
      <c r="D196" s="233"/>
      <c r="E196" s="233"/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24.0" customHeight="1">
      <c r="A197" s="233"/>
      <c r="B197" s="233"/>
      <c r="C197" s="233"/>
      <c r="D197" s="233"/>
      <c r="E197" s="233"/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24.0" customHeight="1">
      <c r="A198" s="233"/>
      <c r="B198" s="233"/>
      <c r="C198" s="233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24.0" customHeight="1">
      <c r="A199" s="233"/>
      <c r="B199" s="233"/>
      <c r="C199" s="233"/>
      <c r="D199" s="233"/>
      <c r="E199" s="233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24.0" customHeight="1">
      <c r="A200" s="233"/>
      <c r="B200" s="233"/>
      <c r="C200" s="233"/>
      <c r="D200" s="233"/>
      <c r="E200" s="233"/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24.0" customHeight="1">
      <c r="A201" s="233"/>
      <c r="B201" s="233"/>
      <c r="C201" s="233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24.0" customHeight="1">
      <c r="A202" s="233"/>
      <c r="B202" s="233"/>
      <c r="C202" s="233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24.0" customHeight="1">
      <c r="A203" s="233"/>
      <c r="B203" s="233"/>
      <c r="C203" s="233"/>
      <c r="D203" s="233"/>
      <c r="E203" s="233"/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24.0" customHeight="1">
      <c r="A204" s="233"/>
      <c r="B204" s="233"/>
      <c r="C204" s="233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24.0" customHeight="1">
      <c r="A205" s="233"/>
      <c r="B205" s="233"/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24.0" customHeight="1">
      <c r="A206" s="233"/>
      <c r="B206" s="233"/>
      <c r="C206" s="233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24.0" customHeight="1">
      <c r="A207" s="233"/>
      <c r="B207" s="233"/>
      <c r="C207" s="233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24.0" customHeight="1">
      <c r="A208" s="233"/>
      <c r="B208" s="233"/>
      <c r="C208" s="233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24.0" customHeight="1">
      <c r="A209" s="233"/>
      <c r="B209" s="233"/>
      <c r="C209" s="233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24.0" customHeight="1">
      <c r="A210" s="233"/>
      <c r="B210" s="233"/>
      <c r="C210" s="233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24.0" customHeight="1">
      <c r="A211" s="233"/>
      <c r="B211" s="233"/>
      <c r="C211" s="233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24.0" customHeight="1">
      <c r="A212" s="233"/>
      <c r="B212" s="233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24.0" customHeight="1">
      <c r="A213" s="233"/>
      <c r="B213" s="233"/>
      <c r="C213" s="233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24.0" customHeight="1">
      <c r="A214" s="233"/>
      <c r="B214" s="233"/>
      <c r="C214" s="233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24.0" customHeight="1">
      <c r="A215" s="233"/>
      <c r="B215" s="233"/>
      <c r="C215" s="233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24.0" customHeight="1">
      <c r="A216" s="233"/>
      <c r="B216" s="233"/>
      <c r="C216" s="233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24.0" customHeight="1">
      <c r="A217" s="233"/>
      <c r="B217" s="233"/>
      <c r="C217" s="233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24.0" customHeight="1">
      <c r="A218" s="233"/>
      <c r="B218" s="233"/>
      <c r="C218" s="233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24.0" customHeight="1">
      <c r="A219" s="233"/>
      <c r="B219" s="233"/>
      <c r="C219" s="233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24.0" customHeight="1">
      <c r="A220" s="233"/>
      <c r="B220" s="233"/>
      <c r="C220" s="233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24.0" customHeight="1">
      <c r="A221" s="233"/>
      <c r="B221" s="233"/>
      <c r="C221" s="233"/>
      <c r="D221" s="233"/>
      <c r="E221" s="233"/>
      <c r="F221" s="233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24.0" customHeight="1">
      <c r="A222" s="233"/>
      <c r="B222" s="233"/>
      <c r="C222" s="233"/>
      <c r="D222" s="233"/>
      <c r="E222" s="233"/>
      <c r="F222" s="233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24.0" customHeight="1">
      <c r="A223" s="233"/>
      <c r="B223" s="233"/>
      <c r="C223" s="233"/>
      <c r="D223" s="233"/>
      <c r="E223" s="233"/>
      <c r="F223" s="233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24.0" customHeight="1">
      <c r="A224" s="233"/>
      <c r="B224" s="233"/>
      <c r="C224" s="233"/>
      <c r="D224" s="233"/>
      <c r="E224" s="233"/>
      <c r="F224" s="233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24.0" customHeight="1">
      <c r="A225" s="233"/>
      <c r="B225" s="233"/>
      <c r="C225" s="233"/>
      <c r="D225" s="233"/>
      <c r="E225" s="233"/>
      <c r="F225" s="233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24.0" customHeight="1">
      <c r="A226" s="233"/>
      <c r="B226" s="233"/>
      <c r="C226" s="233"/>
      <c r="D226" s="233"/>
      <c r="E226" s="233"/>
      <c r="F226" s="233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24.0" customHeight="1">
      <c r="A227" s="233"/>
      <c r="B227" s="233"/>
      <c r="C227" s="233"/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24.0" customHeight="1">
      <c r="A228" s="233"/>
      <c r="B228" s="233"/>
      <c r="C228" s="233"/>
      <c r="D228" s="233"/>
      <c r="E228" s="233"/>
      <c r="F228" s="233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24.0" customHeight="1">
      <c r="A229" s="233"/>
      <c r="B229" s="233"/>
      <c r="C229" s="233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24.0" customHeight="1">
      <c r="A230" s="233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24.0" customHeight="1">
      <c r="A231" s="233"/>
      <c r="B231" s="233"/>
      <c r="C231" s="233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24.0" customHeight="1">
      <c r="A232" s="233"/>
      <c r="B232" s="233"/>
      <c r="C232" s="233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24.0" customHeight="1">
      <c r="A233" s="233"/>
      <c r="B233" s="233"/>
      <c r="C233" s="233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24.0" customHeight="1">
      <c r="A234" s="233"/>
      <c r="B234" s="233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24.0" customHeight="1">
      <c r="A235" s="233"/>
      <c r="B235" s="233"/>
      <c r="C235" s="233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24.0" customHeight="1">
      <c r="A236" s="233"/>
      <c r="B236" s="233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24.0" customHeight="1">
      <c r="A237" s="233"/>
      <c r="B237" s="233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24.0" customHeight="1">
      <c r="A238" s="233"/>
      <c r="B238" s="233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24.0" customHeight="1">
      <c r="A239" s="233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24.0" customHeight="1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24.0" customHeight="1">
      <c r="A241" s="233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24.0" customHeight="1">
      <c r="A242" s="233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24.0" customHeight="1">
      <c r="A243" s="233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24.0" customHeight="1">
      <c r="A244" s="233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24.0" customHeight="1">
      <c r="A245" s="233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24.0" customHeight="1">
      <c r="A246" s="233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24.0" customHeight="1">
      <c r="A247" s="233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24.0" customHeight="1">
      <c r="A248" s="233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24.0" customHeight="1">
      <c r="A249" s="233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24.0" customHeight="1">
      <c r="A250" s="233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24.0" customHeight="1">
      <c r="A251" s="233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24.0" customHeight="1">
      <c r="A252" s="233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24.0" customHeight="1">
      <c r="A253" s="233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24.0" customHeight="1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24.0" customHeight="1">
      <c r="A255" s="233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24.0" customHeight="1">
      <c r="A256" s="233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24.0" customHeight="1">
      <c r="A257" s="233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24.0" customHeight="1">
      <c r="A258" s="233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24.0" customHeight="1">
      <c r="A259" s="233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24.0" customHeight="1">
      <c r="A260" s="233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24.0" customHeight="1">
      <c r="A261" s="233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24.0" customHeight="1">
      <c r="A262" s="233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24.0" customHeight="1">
      <c r="A263" s="233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24.0" customHeight="1">
      <c r="A264" s="233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24.0" customHeight="1">
      <c r="A265" s="233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24.0" customHeight="1">
      <c r="A266" s="233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24.0" customHeight="1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24.0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24.0" customHeight="1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24.0" customHeight="1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24.0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24.0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24.0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24.0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24.0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24.0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24.0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24.0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24.0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24.0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24.0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24.0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24.0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24.0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24.0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24.0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24.0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24.0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24.0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24.0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24.0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24.0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24.0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24.0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24.0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24.0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24.0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24.0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24.0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24.0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24.0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24.0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24.0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24.0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24.0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24.0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24.0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24.0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24.0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24.0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24.0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24.0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24.0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24.0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24.0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24.0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24.0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24.0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24.0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24.0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24.0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24.0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24.0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24.0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24.0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24.0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24.0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24.0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24.0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24.0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24.0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24.0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24.0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24.0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24.0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24.0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24.0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24.0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24.0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24.0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24.0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24.0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24.0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24.0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24.0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24.0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24.0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24.0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24.0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24.0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24.0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24.0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24.0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24.0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24.0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24.0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24.0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24.0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24.0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24.0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24.0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24.0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24.0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24.0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24.0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24.0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24.0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24.0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24.0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24.0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24.0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24.0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24.0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24.0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24.0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24.0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24.0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24.0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24.0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24.0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24.0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24.0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24.0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24.0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24.0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24.0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24.0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24.0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24.0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24.0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24.0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24.0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24.0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24.0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24.0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24.0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24.0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24.0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24.0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24.0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24.0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24.0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24.0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24.0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24.0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24.0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24.0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24.0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24.0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24.0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24.0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24.0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24.0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24.0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24.0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24.0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24.0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24.0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24.0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24.0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24.0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24.0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24.0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24.0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24.0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24.0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24.0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24.0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24.0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24.0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24.0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24.0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24.0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24.0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24.0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24.0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24.0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24.0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24.0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24.0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24.0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24.0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24.0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24.0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24.0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24.0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24.0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24.0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24.0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24.0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24.0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24.0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24.0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24.0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24.0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24.0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24.0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24.0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24.0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24.0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24.0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24.0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24.0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24.0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24.0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24.0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24.0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24.0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24.0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24.0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24.0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24.0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24.0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24.0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24.0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24.0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24.0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24.0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24.0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24.0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24.0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24.0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24.0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24.0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24.0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24.0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24.0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24.0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24.0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24.0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24.0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24.0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24.0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24.0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24.0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24.0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24.0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24.0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24.0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24.0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24.0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24.0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24.0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24.0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24.0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24.0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24.0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24.0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24.0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24.0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24.0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24.0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24.0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24.0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24.0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24.0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24.0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24.0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24.0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24.0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24.0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24.0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24.0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24.0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24.0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24.0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24.0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24.0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24.0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24.0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24.0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24.0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24.0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24.0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24.0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24.0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24.0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24.0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24.0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24.0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24.0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24.0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24.0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24.0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24.0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24.0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24.0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24.0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24.0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24.0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24.0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24.0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24.0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24.0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24.0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24.0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24.0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24.0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24.0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24.0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24.0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24.0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24.0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24.0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24.0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24.0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24.0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24.0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24.0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24.0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24.0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24.0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24.0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24.0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24.0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24.0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24.0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24.0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24.0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24.0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24.0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24.0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24.0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24.0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24.0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24.0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24.0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24.0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24.0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24.0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24.0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24.0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24.0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24.0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24.0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24.0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24.0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24.0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24.0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24.0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24.0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24.0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24.0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24.0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24.0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24.0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24.0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24.0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24.0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24.0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24.0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24.0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24.0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24.0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24.0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24.0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24.0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24.0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24.0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24.0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24.0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24.0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24.0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24.0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24.0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24.0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24.0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24.0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24.0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24.0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24.0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24.0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24.0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24.0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24.0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24.0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24.0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24.0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24.0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24.0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24.0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24.0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24.0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24.0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24.0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24.0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24.0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24.0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24.0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24.0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24.0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24.0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24.0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24.0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24.0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24.0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24.0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24.0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24.0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24.0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24.0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24.0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24.0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24.0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24.0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24.0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24.0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24.0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24.0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24.0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24.0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24.0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24.0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24.0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24.0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24.0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24.0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24.0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24.0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24.0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24.0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24.0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24.0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24.0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24.0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24.0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24.0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24.0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24.0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24.0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24.0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24.0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24.0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24.0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24.0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24.0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24.0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24.0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24.0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24.0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24.0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24.0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24.0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24.0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24.0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24.0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24.0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24.0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24.0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24.0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24.0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24.0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24.0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24.0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24.0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24.0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24.0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24.0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24.0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24.0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24.0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24.0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24.0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24.0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24.0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24.0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24.0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24.0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24.0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24.0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24.0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24.0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24.0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24.0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24.0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24.0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24.0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24.0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24.0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24.0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24.0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24.0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24.0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24.0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24.0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24.0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24.0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24.0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24.0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24.0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24.0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24.0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24.0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24.0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24.0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24.0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24.0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24.0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24.0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24.0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24.0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24.0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24.0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24.0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24.0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24.0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24.0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24.0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24.0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24.0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24.0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24.0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24.0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24.0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24.0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24.0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24.0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24.0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24.0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24.0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24.0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24.0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24.0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24.0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24.0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24.0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24.0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24.0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24.0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24.0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24.0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24.0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24.0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24.0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24.0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24.0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24.0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24.0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24.0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24.0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24.0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24.0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24.0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24.0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24.0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24.0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24.0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24.0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24.0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24.0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24.0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24.0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24.0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24.0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24.0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24.0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24.0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24.0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24.0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24.0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24.0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24.0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24.0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24.0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24.0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24.0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24.0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24.0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24.0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24.0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24.0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24.0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24.0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24.0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24.0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24.0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24.0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24.0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24.0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24.0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24.0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24.0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24.0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24.0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24.0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24.0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24.0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24.0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24.0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24.0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24.0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24.0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24.0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24.0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24.0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24.0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24.0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24.0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24.0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24.0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24.0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24.0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24.0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24.0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24.0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24.0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24.0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24.0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24.0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24.0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24.0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24.0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24.0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24.0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24.0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24.0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24.0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24.0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24.0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24.0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24.0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24.0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24.0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24.0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24.0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24.0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24.0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24.0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24.0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24.0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24.0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24.0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24.0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24.0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24.0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24.0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24.0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24.0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24.0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24.0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24.0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24.0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24.0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24.0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24.0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24.0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24.0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24.0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24.0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24.0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24.0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24.0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24.0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24.0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24.0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24.0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24.0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24.0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24.0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24.0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24.0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24.0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24.0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24.0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24.0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24.0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24.0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24.0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24.0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24.0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24.0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24.0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24.0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24.0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24.0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24.0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24.0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24.0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24.0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24.0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24.0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24.0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24.0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24.0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24.0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24.0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24.0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24.0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24.0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24.0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24.0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24.0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24.0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24.0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24.0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24.0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24.0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24.0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24.0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24.0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24.0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24.0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24.0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24.0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24.0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24.0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24.0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24.0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24.0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24.0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24.0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24.0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24.0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ht="24.0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ht="24.0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ht="24.0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ht="24.0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ht="24.0" customHeight="1">
      <c r="A978" s="233"/>
      <c r="B978" s="233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ht="24.0" customHeight="1">
      <c r="A979" s="233"/>
      <c r="B979" s="233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ht="24.0" customHeight="1">
      <c r="A980" s="233"/>
      <c r="B980" s="233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ht="24.0" customHeight="1">
      <c r="A981" s="233"/>
      <c r="B981" s="233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ht="24.0" customHeight="1">
      <c r="A982" s="233"/>
      <c r="B982" s="233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ht="24.0" customHeight="1">
      <c r="A983" s="233"/>
      <c r="B983" s="233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ht="24.0" customHeight="1">
      <c r="A984" s="233"/>
      <c r="B984" s="233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ht="24.0" customHeight="1">
      <c r="A985" s="233"/>
      <c r="B985" s="233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ht="24.0" customHeight="1">
      <c r="A986" s="233"/>
      <c r="B986" s="233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ht="24.0" customHeight="1">
      <c r="A987" s="233"/>
      <c r="B987" s="233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ht="24.0" customHeight="1">
      <c r="A988" s="233"/>
      <c r="B988" s="233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ht="24.0" customHeight="1">
      <c r="A989" s="233"/>
      <c r="B989" s="233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ht="24.0" customHeight="1">
      <c r="A990" s="233"/>
      <c r="B990" s="233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ht="24.0" customHeight="1">
      <c r="A991" s="233"/>
      <c r="B991" s="233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ht="24.0" customHeight="1">
      <c r="A992" s="233"/>
      <c r="B992" s="233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ht="24.0" customHeight="1">
      <c r="A993" s="233"/>
      <c r="B993" s="233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ht="24.0" customHeight="1">
      <c r="A994" s="233"/>
      <c r="B994" s="233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ht="24.0" customHeight="1">
      <c r="A995" s="233"/>
      <c r="B995" s="233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ht="24.0" customHeight="1">
      <c r="A996" s="233"/>
      <c r="B996" s="233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ht="24.0" customHeight="1">
      <c r="A997" s="233"/>
      <c r="B997" s="233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ht="24.0" customHeight="1">
      <c r="A998" s="233"/>
      <c r="B998" s="233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 ht="24.0" customHeight="1">
      <c r="A999" s="233"/>
      <c r="B999" s="233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 ht="24.0" customHeight="1">
      <c r="A1000" s="233"/>
      <c r="B1000" s="233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mergeCells count="8">
    <mergeCell ref="B5:H5"/>
    <mergeCell ref="B6:H6"/>
    <mergeCell ref="B8:B9"/>
    <mergeCell ref="C8:C9"/>
    <mergeCell ref="D8:D9"/>
    <mergeCell ref="E8:E9"/>
    <mergeCell ref="F8:G8"/>
    <mergeCell ref="H8:H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.71"/>
    <col customWidth="1" min="3" max="3" width="40.71"/>
    <col customWidth="1" min="4" max="5" width="24.71"/>
    <col customWidth="1" min="6" max="6" width="8.86"/>
    <col customWidth="1" min="7" max="8" width="20.0"/>
    <col customWidth="1" min="9" max="26" width="8.0"/>
  </cols>
  <sheetData>
    <row r="1" ht="24.0" customHeight="1">
      <c r="A1" s="233"/>
      <c r="B1" s="234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</row>
    <row r="2" ht="24.0" customHeight="1">
      <c r="A2" s="233"/>
      <c r="B2" s="254" t="s">
        <v>354</v>
      </c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</row>
    <row r="3" ht="24.0" customHeight="1">
      <c r="A3" s="233"/>
      <c r="B3" s="254" t="s">
        <v>2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</row>
    <row r="4" ht="24.0" customHeight="1">
      <c r="A4" s="233"/>
      <c r="B4" s="254" t="s">
        <v>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</row>
    <row r="5" ht="24.0" customHeight="1">
      <c r="A5" s="233"/>
      <c r="B5" s="234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</row>
    <row r="6" ht="24.0" customHeight="1">
      <c r="A6" s="233"/>
      <c r="B6" s="234" t="s">
        <v>355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</row>
    <row r="7" ht="24.0" customHeight="1">
      <c r="A7" s="233"/>
      <c r="B7" s="234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</row>
    <row r="8" ht="36.0" customHeight="1">
      <c r="A8" s="235"/>
      <c r="B8" s="236" t="s">
        <v>16</v>
      </c>
      <c r="C8" s="236" t="s">
        <v>342</v>
      </c>
      <c r="D8" s="236" t="s">
        <v>356</v>
      </c>
      <c r="E8" s="236" t="s">
        <v>357</v>
      </c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</row>
    <row r="9" ht="36.0" customHeight="1">
      <c r="A9" s="235"/>
      <c r="B9" s="38"/>
      <c r="C9" s="38"/>
      <c r="D9" s="38"/>
      <c r="E9" s="38"/>
      <c r="F9" s="235"/>
      <c r="G9" s="235" t="s">
        <v>358</v>
      </c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</row>
    <row r="10" ht="24.0" customHeight="1">
      <c r="A10" s="235"/>
      <c r="B10" s="239">
        <v>1.0</v>
      </c>
      <c r="C10" s="239">
        <v>2.0</v>
      </c>
      <c r="D10" s="239">
        <v>3.0</v>
      </c>
      <c r="E10" s="239">
        <v>6.0</v>
      </c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</row>
    <row r="11" ht="24.0" customHeight="1">
      <c r="A11" s="233"/>
      <c r="B11" s="240">
        <v>1.0</v>
      </c>
      <c r="C11" s="241" t="s">
        <v>359</v>
      </c>
      <c r="D11" s="255">
        <v>5.42952E10</v>
      </c>
      <c r="E11" s="255">
        <f>'lamp. sk'!C120</f>
        <v>68571000000</v>
      </c>
      <c r="F11" s="233"/>
      <c r="G11" s="233"/>
      <c r="H11" s="256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</row>
    <row r="12" ht="24.0" customHeight="1">
      <c r="A12" s="233"/>
      <c r="B12" s="240">
        <v>2.0</v>
      </c>
      <c r="C12" s="241" t="s">
        <v>360</v>
      </c>
      <c r="D12" s="255">
        <v>8.14541948E8</v>
      </c>
      <c r="E12" s="255">
        <f>'lamp. sk'!D120</f>
        <v>866681856</v>
      </c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</row>
    <row r="13" ht="24.0" customHeight="1">
      <c r="A13" s="233"/>
      <c r="B13" s="240">
        <v>3.0</v>
      </c>
      <c r="C13" s="241" t="s">
        <v>361</v>
      </c>
      <c r="D13" s="255">
        <v>4.867874149E9</v>
      </c>
      <c r="E13" s="255">
        <f>'lamp. sk'!E120</f>
        <v>5630854116</v>
      </c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</row>
    <row r="14" ht="24.0" customHeight="1">
      <c r="A14" s="233"/>
      <c r="B14" s="240">
        <v>4.0</v>
      </c>
      <c r="C14" s="241" t="s">
        <v>362</v>
      </c>
      <c r="D14" s="255">
        <v>9.0492E9</v>
      </c>
      <c r="E14" s="255">
        <f>'lamp. sk'!F120</f>
        <v>11428500000</v>
      </c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</row>
    <row r="15" ht="24.0" customHeight="1">
      <c r="A15" s="233"/>
      <c r="B15" s="240">
        <v>5.0</v>
      </c>
      <c r="C15" s="241" t="s">
        <v>363</v>
      </c>
      <c r="D15" s="255">
        <v>5.4943374853E10</v>
      </c>
      <c r="E15" s="255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</row>
    <row r="16" ht="24.0" customHeight="1">
      <c r="A16" s="233"/>
      <c r="B16" s="240"/>
      <c r="C16" s="241" t="s">
        <v>364</v>
      </c>
      <c r="D16" s="255">
        <v>0.0</v>
      </c>
      <c r="E16" s="255">
        <f>'rekap hitungan'!H125</f>
        <v>15774000000</v>
      </c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</row>
    <row r="17" ht="24.0" customHeight="1">
      <c r="A17" s="233"/>
      <c r="B17" s="240"/>
      <c r="C17" s="241" t="s">
        <v>365</v>
      </c>
      <c r="D17" s="255"/>
      <c r="E17" s="255">
        <f>'rekap hitungan'!I125</f>
        <v>44135754834</v>
      </c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</row>
    <row r="18" ht="24.0" customHeight="1">
      <c r="A18" s="244"/>
      <c r="B18" s="257"/>
      <c r="C18" s="245" t="s">
        <v>366</v>
      </c>
      <c r="D18" s="258">
        <f t="shared" ref="D18:E18" si="1">SUM(D11:D17)</f>
        <v>123970190950</v>
      </c>
      <c r="E18" s="258">
        <f t="shared" si="1"/>
        <v>146406790806</v>
      </c>
      <c r="F18" s="244"/>
      <c r="G18" s="259">
        <f>E18-D18</f>
        <v>22436599856</v>
      </c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</row>
    <row r="19" ht="24.0" customHeight="1">
      <c r="A19" s="233"/>
      <c r="B19" s="234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</row>
    <row r="20" ht="24.0" customHeight="1">
      <c r="A20" s="233"/>
      <c r="B20" s="234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</row>
    <row r="21" ht="24.0" customHeight="1">
      <c r="A21" s="252"/>
      <c r="B21" s="260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 ht="24.0" customHeight="1">
      <c r="A22" s="233"/>
      <c r="B22" s="234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</row>
    <row r="23" ht="24.0" customHeight="1">
      <c r="A23" s="233"/>
      <c r="B23" s="234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</row>
    <row r="24" ht="24.0" customHeight="1">
      <c r="A24" s="233"/>
      <c r="B24" s="234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</row>
    <row r="25" ht="24.0" customHeight="1">
      <c r="A25" s="233"/>
      <c r="B25" s="234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</row>
    <row r="26" ht="24.0" customHeight="1">
      <c r="A26" s="233"/>
      <c r="B26" s="234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</row>
    <row r="27" ht="24.0" customHeight="1">
      <c r="A27" s="233"/>
      <c r="B27" s="234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</row>
    <row r="28" ht="24.0" customHeight="1">
      <c r="A28" s="233"/>
      <c r="B28" s="234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</row>
    <row r="29" ht="24.0" customHeight="1">
      <c r="A29" s="233"/>
      <c r="B29" s="234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</row>
    <row r="30" ht="24.0" customHeight="1">
      <c r="A30" s="233"/>
      <c r="B30" s="234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</row>
    <row r="31" ht="24.0" customHeight="1">
      <c r="A31" s="233"/>
      <c r="B31" s="234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</row>
    <row r="32" ht="24.0" customHeight="1">
      <c r="A32" s="233"/>
      <c r="B32" s="234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</row>
    <row r="33" ht="24.0" customHeight="1">
      <c r="A33" s="233"/>
      <c r="B33" s="234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</row>
    <row r="34" ht="24.0" customHeight="1">
      <c r="A34" s="233"/>
      <c r="B34" s="234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</row>
    <row r="35" ht="24.0" customHeight="1">
      <c r="A35" s="233"/>
      <c r="B35" s="234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</row>
    <row r="36" ht="24.0" customHeight="1">
      <c r="A36" s="233"/>
      <c r="B36" s="234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</row>
    <row r="37" ht="24.0" customHeight="1">
      <c r="A37" s="233"/>
      <c r="B37" s="234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</row>
    <row r="38" ht="24.0" customHeight="1">
      <c r="A38" s="233"/>
      <c r="B38" s="234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</row>
    <row r="39" ht="24.0" customHeight="1">
      <c r="A39" s="233"/>
      <c r="B39" s="234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</row>
    <row r="40" ht="24.0" customHeight="1">
      <c r="A40" s="233"/>
      <c r="B40" s="234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</row>
    <row r="41" ht="24.0" customHeight="1">
      <c r="A41" s="233"/>
      <c r="B41" s="234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</row>
    <row r="42" ht="24.0" customHeight="1">
      <c r="A42" s="233"/>
      <c r="B42" s="234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</row>
    <row r="43" ht="24.0" customHeight="1">
      <c r="A43" s="233"/>
      <c r="B43" s="234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</row>
    <row r="44" ht="24.0" customHeight="1">
      <c r="A44" s="233"/>
      <c r="B44" s="234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</row>
    <row r="45" ht="24.0" customHeight="1">
      <c r="A45" s="233"/>
      <c r="B45" s="234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</row>
    <row r="46" ht="24.0" customHeight="1">
      <c r="A46" s="233"/>
      <c r="B46" s="234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</row>
    <row r="47" ht="24.0" customHeight="1">
      <c r="A47" s="233"/>
      <c r="B47" s="234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</row>
    <row r="48" ht="24.0" customHeight="1">
      <c r="A48" s="233"/>
      <c r="B48" s="234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ht="24.0" customHeight="1">
      <c r="A49" s="233"/>
      <c r="B49" s="234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</row>
    <row r="50" ht="24.0" customHeight="1">
      <c r="A50" s="233"/>
      <c r="B50" s="234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</row>
    <row r="51" ht="24.0" customHeight="1">
      <c r="A51" s="233"/>
      <c r="B51" s="234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</row>
    <row r="52" ht="24.0" customHeight="1">
      <c r="A52" s="233"/>
      <c r="B52" s="234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</row>
    <row r="53" ht="24.0" customHeight="1">
      <c r="A53" s="233"/>
      <c r="B53" s="234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</row>
    <row r="54" ht="24.0" customHeight="1">
      <c r="A54" s="233"/>
      <c r="B54" s="234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</row>
    <row r="55" ht="24.0" customHeight="1">
      <c r="A55" s="233"/>
      <c r="B55" s="234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</row>
    <row r="56" ht="24.0" customHeight="1">
      <c r="A56" s="233"/>
      <c r="B56" s="234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</row>
    <row r="57" ht="24.0" customHeight="1">
      <c r="A57" s="233"/>
      <c r="B57" s="234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</row>
    <row r="58" ht="24.0" customHeight="1">
      <c r="A58" s="233"/>
      <c r="B58" s="234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</row>
    <row r="59" ht="24.0" customHeight="1">
      <c r="A59" s="233"/>
      <c r="B59" s="234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</row>
    <row r="60" ht="24.0" customHeight="1">
      <c r="A60" s="233"/>
      <c r="B60" s="234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</row>
    <row r="61" ht="24.0" customHeight="1">
      <c r="A61" s="233"/>
      <c r="B61" s="234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</row>
    <row r="62" ht="24.0" customHeight="1">
      <c r="A62" s="233"/>
      <c r="B62" s="234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</row>
    <row r="63" ht="24.0" customHeight="1">
      <c r="A63" s="233"/>
      <c r="B63" s="234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</row>
    <row r="64" ht="24.0" customHeight="1">
      <c r="A64" s="233"/>
      <c r="B64" s="234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</row>
    <row r="65" ht="24.0" customHeight="1">
      <c r="A65" s="233"/>
      <c r="B65" s="234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</row>
    <row r="66" ht="24.0" customHeight="1">
      <c r="A66" s="233"/>
      <c r="B66" s="234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</row>
    <row r="67" ht="24.0" customHeight="1">
      <c r="A67" s="233"/>
      <c r="B67" s="234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</row>
    <row r="68" ht="24.0" customHeight="1">
      <c r="A68" s="233"/>
      <c r="B68" s="234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</row>
    <row r="69" ht="24.0" customHeight="1">
      <c r="A69" s="233"/>
      <c r="B69" s="234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</row>
    <row r="70" ht="24.0" customHeight="1">
      <c r="A70" s="233"/>
      <c r="B70" s="234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</row>
    <row r="71" ht="24.0" customHeight="1">
      <c r="A71" s="233"/>
      <c r="B71" s="234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</row>
    <row r="72" ht="24.0" customHeight="1">
      <c r="A72" s="233"/>
      <c r="B72" s="234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</row>
    <row r="73" ht="24.0" customHeight="1">
      <c r="A73" s="233"/>
      <c r="B73" s="234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</row>
    <row r="74" ht="24.0" customHeight="1">
      <c r="A74" s="233"/>
      <c r="B74" s="234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</row>
    <row r="75" ht="24.0" customHeight="1">
      <c r="A75" s="233"/>
      <c r="B75" s="234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</row>
    <row r="76" ht="24.0" customHeight="1">
      <c r="A76" s="233"/>
      <c r="B76" s="234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</row>
    <row r="77" ht="24.0" customHeight="1">
      <c r="A77" s="233"/>
      <c r="B77" s="234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</row>
    <row r="78" ht="24.0" customHeight="1">
      <c r="A78" s="233"/>
      <c r="B78" s="234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</row>
    <row r="79" ht="24.0" customHeight="1">
      <c r="A79" s="233"/>
      <c r="B79" s="234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</row>
    <row r="80" ht="24.0" customHeight="1">
      <c r="A80" s="233"/>
      <c r="B80" s="234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</row>
    <row r="81" ht="24.0" customHeight="1">
      <c r="A81" s="233"/>
      <c r="B81" s="234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</row>
    <row r="82" ht="24.0" customHeight="1">
      <c r="A82" s="233"/>
      <c r="B82" s="234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</row>
    <row r="83" ht="24.0" customHeight="1">
      <c r="A83" s="233"/>
      <c r="B83" s="234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</row>
    <row r="84" ht="24.0" customHeight="1">
      <c r="A84" s="233"/>
      <c r="B84" s="234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</row>
    <row r="85" ht="24.0" customHeight="1">
      <c r="A85" s="233"/>
      <c r="B85" s="234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</row>
    <row r="86" ht="24.0" customHeight="1">
      <c r="A86" s="233"/>
      <c r="B86" s="234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</row>
    <row r="87" ht="24.0" customHeight="1">
      <c r="A87" s="233"/>
      <c r="B87" s="234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</row>
    <row r="88" ht="24.0" customHeight="1">
      <c r="A88" s="233"/>
      <c r="B88" s="234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</row>
    <row r="89" ht="24.0" customHeight="1">
      <c r="A89" s="233"/>
      <c r="B89" s="234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</row>
    <row r="90" ht="24.0" customHeight="1">
      <c r="A90" s="233"/>
      <c r="B90" s="234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</row>
    <row r="91" ht="24.0" customHeight="1">
      <c r="A91" s="233"/>
      <c r="B91" s="234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</row>
    <row r="92" ht="24.0" customHeight="1">
      <c r="A92" s="233"/>
      <c r="B92" s="234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</row>
    <row r="93" ht="24.0" customHeight="1">
      <c r="A93" s="233"/>
      <c r="B93" s="234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</row>
    <row r="94" ht="24.0" customHeight="1">
      <c r="A94" s="233"/>
      <c r="B94" s="234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</row>
    <row r="95" ht="24.0" customHeight="1">
      <c r="A95" s="233"/>
      <c r="B95" s="234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</row>
    <row r="96" ht="24.0" customHeight="1">
      <c r="A96" s="233"/>
      <c r="B96" s="234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</row>
    <row r="97" ht="24.0" customHeight="1">
      <c r="A97" s="233"/>
      <c r="B97" s="234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</row>
    <row r="98" ht="24.0" customHeight="1">
      <c r="A98" s="233"/>
      <c r="B98" s="234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</row>
    <row r="99" ht="24.0" customHeight="1">
      <c r="A99" s="233"/>
      <c r="B99" s="234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</row>
    <row r="100" ht="24.0" customHeight="1">
      <c r="A100" s="233"/>
      <c r="B100" s="234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</row>
    <row r="101" ht="24.0" customHeight="1">
      <c r="A101" s="233"/>
      <c r="B101" s="234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</row>
    <row r="102" ht="24.0" customHeight="1">
      <c r="A102" s="233"/>
      <c r="B102" s="234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</row>
    <row r="103" ht="24.0" customHeight="1">
      <c r="A103" s="233"/>
      <c r="B103" s="234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</row>
    <row r="104" ht="24.0" customHeight="1">
      <c r="A104" s="233"/>
      <c r="B104" s="234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</row>
    <row r="105" ht="24.0" customHeight="1">
      <c r="A105" s="233"/>
      <c r="B105" s="234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</row>
    <row r="106" ht="24.0" customHeight="1">
      <c r="A106" s="233"/>
      <c r="B106" s="234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</row>
    <row r="107" ht="24.0" customHeight="1">
      <c r="A107" s="233"/>
      <c r="B107" s="234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</row>
    <row r="108" ht="24.0" customHeight="1">
      <c r="A108" s="233"/>
      <c r="B108" s="234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</row>
    <row r="109" ht="24.0" customHeight="1">
      <c r="A109" s="233"/>
      <c r="B109" s="234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</row>
    <row r="110" ht="24.0" customHeight="1">
      <c r="A110" s="233"/>
      <c r="B110" s="234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</row>
    <row r="111" ht="24.0" customHeight="1">
      <c r="A111" s="233"/>
      <c r="B111" s="234"/>
      <c r="C111" s="233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</row>
    <row r="112" ht="24.0" customHeight="1">
      <c r="A112" s="233"/>
      <c r="B112" s="234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</row>
    <row r="113" ht="24.0" customHeight="1">
      <c r="A113" s="233"/>
      <c r="B113" s="234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</row>
    <row r="114" ht="24.0" customHeight="1">
      <c r="A114" s="233"/>
      <c r="B114" s="234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</row>
    <row r="115" ht="24.0" customHeight="1">
      <c r="A115" s="233"/>
      <c r="B115" s="234"/>
      <c r="C115" s="233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</row>
    <row r="116" ht="24.0" customHeight="1">
      <c r="A116" s="233"/>
      <c r="B116" s="234"/>
      <c r="C116" s="233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</row>
    <row r="117" ht="24.0" customHeight="1">
      <c r="A117" s="233"/>
      <c r="B117" s="234"/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</row>
    <row r="118" ht="24.0" customHeight="1">
      <c r="A118" s="233"/>
      <c r="B118" s="234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</row>
    <row r="119" ht="24.0" customHeight="1">
      <c r="A119" s="233"/>
      <c r="B119" s="234"/>
      <c r="C119" s="233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</row>
    <row r="120" ht="24.0" customHeight="1">
      <c r="A120" s="233"/>
      <c r="B120" s="234"/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</row>
    <row r="121" ht="24.0" customHeight="1">
      <c r="A121" s="233"/>
      <c r="B121" s="234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</row>
    <row r="122" ht="24.0" customHeight="1">
      <c r="A122" s="233"/>
      <c r="B122" s="234"/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</row>
    <row r="123" ht="24.0" customHeight="1">
      <c r="A123" s="233"/>
      <c r="B123" s="234"/>
      <c r="C123" s="233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</row>
    <row r="124" ht="24.0" customHeight="1">
      <c r="A124" s="233"/>
      <c r="B124" s="234"/>
      <c r="C124" s="233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</row>
    <row r="125" ht="24.0" customHeight="1">
      <c r="A125" s="233"/>
      <c r="B125" s="234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</row>
    <row r="126" ht="24.0" customHeight="1">
      <c r="A126" s="233"/>
      <c r="B126" s="234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</row>
    <row r="127" ht="24.0" customHeight="1">
      <c r="A127" s="233"/>
      <c r="B127" s="234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</row>
    <row r="128" ht="24.0" customHeight="1">
      <c r="A128" s="233"/>
      <c r="B128" s="234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</row>
    <row r="129" ht="24.0" customHeight="1">
      <c r="A129" s="233"/>
      <c r="B129" s="234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</row>
    <row r="130" ht="24.0" customHeight="1">
      <c r="A130" s="233"/>
      <c r="B130" s="234"/>
      <c r="C130" s="233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</row>
    <row r="131" ht="24.0" customHeight="1">
      <c r="A131" s="233"/>
      <c r="B131" s="234"/>
      <c r="C131" s="233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</row>
    <row r="132" ht="24.0" customHeight="1">
      <c r="A132" s="233"/>
      <c r="B132" s="234"/>
      <c r="C132" s="233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</row>
    <row r="133" ht="24.0" customHeight="1">
      <c r="A133" s="233"/>
      <c r="B133" s="234"/>
      <c r="C133" s="233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</row>
    <row r="134" ht="24.0" customHeight="1">
      <c r="A134" s="233"/>
      <c r="B134" s="234"/>
      <c r="C134" s="233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</row>
    <row r="135" ht="24.0" customHeight="1">
      <c r="A135" s="233"/>
      <c r="B135" s="234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</row>
    <row r="136" ht="24.0" customHeight="1">
      <c r="A136" s="233"/>
      <c r="B136" s="234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</row>
    <row r="137" ht="24.0" customHeight="1">
      <c r="A137" s="233"/>
      <c r="B137" s="234"/>
      <c r="C137" s="233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</row>
    <row r="138" ht="24.0" customHeight="1">
      <c r="A138" s="233"/>
      <c r="B138" s="234"/>
      <c r="C138" s="233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</row>
    <row r="139" ht="24.0" customHeight="1">
      <c r="A139" s="233"/>
      <c r="B139" s="234"/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</row>
    <row r="140" ht="24.0" customHeight="1">
      <c r="A140" s="233"/>
      <c r="B140" s="234"/>
      <c r="C140" s="233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</row>
    <row r="141" ht="24.0" customHeight="1">
      <c r="A141" s="233"/>
      <c r="B141" s="234"/>
      <c r="C141" s="233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</row>
    <row r="142" ht="24.0" customHeight="1">
      <c r="A142" s="233"/>
      <c r="B142" s="234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</row>
    <row r="143" ht="24.0" customHeight="1">
      <c r="A143" s="233"/>
      <c r="B143" s="234"/>
      <c r="C143" s="233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</row>
    <row r="144" ht="24.0" customHeight="1">
      <c r="A144" s="233"/>
      <c r="B144" s="234"/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</row>
    <row r="145" ht="24.0" customHeight="1">
      <c r="A145" s="233"/>
      <c r="B145" s="234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</row>
    <row r="146" ht="24.0" customHeight="1">
      <c r="A146" s="233"/>
      <c r="B146" s="234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</row>
    <row r="147" ht="24.0" customHeight="1">
      <c r="A147" s="233"/>
      <c r="B147" s="234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</row>
    <row r="148" ht="24.0" customHeight="1">
      <c r="A148" s="233"/>
      <c r="B148" s="234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</row>
    <row r="149" ht="24.0" customHeight="1">
      <c r="A149" s="233"/>
      <c r="B149" s="234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</row>
    <row r="150" ht="24.0" customHeight="1">
      <c r="A150" s="233"/>
      <c r="B150" s="234"/>
      <c r="C150" s="233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</row>
    <row r="151" ht="24.0" customHeight="1">
      <c r="A151" s="233"/>
      <c r="B151" s="234"/>
      <c r="C151" s="233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</row>
    <row r="152" ht="24.0" customHeight="1">
      <c r="A152" s="233"/>
      <c r="B152" s="234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</row>
    <row r="153" ht="24.0" customHeight="1">
      <c r="A153" s="233"/>
      <c r="B153" s="234"/>
      <c r="C153" s="233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</row>
    <row r="154" ht="24.0" customHeight="1">
      <c r="A154" s="233"/>
      <c r="B154" s="234"/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</row>
    <row r="155" ht="24.0" customHeight="1">
      <c r="A155" s="233"/>
      <c r="B155" s="234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</row>
    <row r="156" ht="24.0" customHeight="1">
      <c r="A156" s="233"/>
      <c r="B156" s="234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</row>
    <row r="157" ht="24.0" customHeight="1">
      <c r="A157" s="233"/>
      <c r="B157" s="234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</row>
    <row r="158" ht="24.0" customHeight="1">
      <c r="A158" s="233"/>
      <c r="B158" s="234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</row>
    <row r="159" ht="24.0" customHeight="1">
      <c r="A159" s="233"/>
      <c r="B159" s="234"/>
      <c r="C159" s="233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</row>
    <row r="160" ht="24.0" customHeight="1">
      <c r="A160" s="233"/>
      <c r="B160" s="234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</row>
    <row r="161" ht="24.0" customHeight="1">
      <c r="A161" s="233"/>
      <c r="B161" s="234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</row>
    <row r="162" ht="24.0" customHeight="1">
      <c r="A162" s="233"/>
      <c r="B162" s="234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</row>
    <row r="163" ht="24.0" customHeight="1">
      <c r="A163" s="233"/>
      <c r="B163" s="234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</row>
    <row r="164" ht="24.0" customHeight="1">
      <c r="A164" s="233"/>
      <c r="B164" s="234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</row>
    <row r="165" ht="24.0" customHeight="1">
      <c r="A165" s="233"/>
      <c r="B165" s="234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</row>
    <row r="166" ht="24.0" customHeight="1">
      <c r="A166" s="233"/>
      <c r="B166" s="234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</row>
    <row r="167" ht="24.0" customHeight="1">
      <c r="A167" s="233"/>
      <c r="B167" s="234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</row>
    <row r="168" ht="24.0" customHeight="1">
      <c r="A168" s="233"/>
      <c r="B168" s="234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</row>
    <row r="169" ht="24.0" customHeight="1">
      <c r="A169" s="233"/>
      <c r="B169" s="234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</row>
    <row r="170" ht="24.0" customHeight="1">
      <c r="A170" s="233"/>
      <c r="B170" s="234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</row>
    <row r="171" ht="24.0" customHeight="1">
      <c r="A171" s="233"/>
      <c r="B171" s="234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</row>
    <row r="172" ht="24.0" customHeight="1">
      <c r="A172" s="233"/>
      <c r="B172" s="234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</row>
    <row r="173" ht="24.0" customHeight="1">
      <c r="A173" s="233"/>
      <c r="B173" s="234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</row>
    <row r="174" ht="24.0" customHeight="1">
      <c r="A174" s="233"/>
      <c r="B174" s="234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</row>
    <row r="175" ht="24.0" customHeight="1">
      <c r="A175" s="233"/>
      <c r="B175" s="234"/>
      <c r="C175" s="233"/>
      <c r="D175" s="233"/>
      <c r="E175" s="233"/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</row>
    <row r="176" ht="24.0" customHeight="1">
      <c r="A176" s="233"/>
      <c r="B176" s="234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</row>
    <row r="177" ht="24.0" customHeight="1">
      <c r="A177" s="233"/>
      <c r="B177" s="234"/>
      <c r="C177" s="233"/>
      <c r="D177" s="233"/>
      <c r="E177" s="233"/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</row>
    <row r="178" ht="24.0" customHeight="1">
      <c r="A178" s="233"/>
      <c r="B178" s="234"/>
      <c r="C178" s="233"/>
      <c r="D178" s="233"/>
      <c r="E178" s="233"/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</row>
    <row r="179" ht="24.0" customHeight="1">
      <c r="A179" s="233"/>
      <c r="B179" s="234"/>
      <c r="C179" s="233"/>
      <c r="D179" s="233"/>
      <c r="E179" s="233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</row>
    <row r="180" ht="24.0" customHeight="1">
      <c r="A180" s="233"/>
      <c r="B180" s="234"/>
      <c r="C180" s="233"/>
      <c r="D180" s="233"/>
      <c r="E180" s="233"/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</row>
    <row r="181" ht="24.0" customHeight="1">
      <c r="A181" s="233"/>
      <c r="B181" s="234"/>
      <c r="C181" s="233"/>
      <c r="D181" s="233"/>
      <c r="E181" s="233"/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</row>
    <row r="182" ht="24.0" customHeight="1">
      <c r="A182" s="233"/>
      <c r="B182" s="234"/>
      <c r="C182" s="233"/>
      <c r="D182" s="233"/>
      <c r="E182" s="233"/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</row>
    <row r="183" ht="24.0" customHeight="1">
      <c r="A183" s="233"/>
      <c r="B183" s="234"/>
      <c r="C183" s="233"/>
      <c r="D183" s="233"/>
      <c r="E183" s="233"/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</row>
    <row r="184" ht="24.0" customHeight="1">
      <c r="A184" s="233"/>
      <c r="B184" s="234"/>
      <c r="C184" s="233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</row>
    <row r="185" ht="24.0" customHeight="1">
      <c r="A185" s="233"/>
      <c r="B185" s="234"/>
      <c r="C185" s="233"/>
      <c r="D185" s="233"/>
      <c r="E185" s="233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</row>
    <row r="186" ht="24.0" customHeight="1">
      <c r="A186" s="233"/>
      <c r="B186" s="234"/>
      <c r="C186" s="233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</row>
    <row r="187" ht="24.0" customHeight="1">
      <c r="A187" s="233"/>
      <c r="B187" s="234"/>
      <c r="C187" s="233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</row>
    <row r="188" ht="24.0" customHeight="1">
      <c r="A188" s="233"/>
      <c r="B188" s="234"/>
      <c r="C188" s="233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</row>
    <row r="189" ht="24.0" customHeight="1">
      <c r="A189" s="233"/>
      <c r="B189" s="234"/>
      <c r="C189" s="233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</row>
    <row r="190" ht="24.0" customHeight="1">
      <c r="A190" s="233"/>
      <c r="B190" s="234"/>
      <c r="C190" s="233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</row>
    <row r="191" ht="24.0" customHeight="1">
      <c r="A191" s="233"/>
      <c r="B191" s="234"/>
      <c r="C191" s="233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</row>
    <row r="192" ht="24.0" customHeight="1">
      <c r="A192" s="233"/>
      <c r="B192" s="234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</row>
    <row r="193" ht="24.0" customHeight="1">
      <c r="A193" s="233"/>
      <c r="B193" s="234"/>
      <c r="C193" s="233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</row>
    <row r="194" ht="24.0" customHeight="1">
      <c r="A194" s="233"/>
      <c r="B194" s="234"/>
      <c r="C194" s="233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</row>
    <row r="195" ht="24.0" customHeight="1">
      <c r="A195" s="233"/>
      <c r="B195" s="234"/>
      <c r="C195" s="233"/>
      <c r="D195" s="233"/>
      <c r="E195" s="233"/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</row>
    <row r="196" ht="24.0" customHeight="1">
      <c r="A196" s="233"/>
      <c r="B196" s="234"/>
      <c r="C196" s="233"/>
      <c r="D196" s="233"/>
      <c r="E196" s="233"/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</row>
    <row r="197" ht="24.0" customHeight="1">
      <c r="A197" s="233"/>
      <c r="B197" s="234"/>
      <c r="C197" s="233"/>
      <c r="D197" s="233"/>
      <c r="E197" s="233"/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</row>
    <row r="198" ht="24.0" customHeight="1">
      <c r="A198" s="233"/>
      <c r="B198" s="234"/>
      <c r="C198" s="233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</row>
    <row r="199" ht="24.0" customHeight="1">
      <c r="A199" s="233"/>
      <c r="B199" s="234"/>
      <c r="C199" s="233"/>
      <c r="D199" s="233"/>
      <c r="E199" s="233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</row>
    <row r="200" ht="24.0" customHeight="1">
      <c r="A200" s="233"/>
      <c r="B200" s="234"/>
      <c r="C200" s="233"/>
      <c r="D200" s="233"/>
      <c r="E200" s="233"/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</row>
    <row r="201" ht="24.0" customHeight="1">
      <c r="A201" s="233"/>
      <c r="B201" s="234"/>
      <c r="C201" s="233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</row>
    <row r="202" ht="24.0" customHeight="1">
      <c r="A202" s="233"/>
      <c r="B202" s="234"/>
      <c r="C202" s="233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</row>
    <row r="203" ht="24.0" customHeight="1">
      <c r="A203" s="233"/>
      <c r="B203" s="234"/>
      <c r="C203" s="233"/>
      <c r="D203" s="233"/>
      <c r="E203" s="233"/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</row>
    <row r="204" ht="24.0" customHeight="1">
      <c r="A204" s="233"/>
      <c r="B204" s="234"/>
      <c r="C204" s="233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</row>
    <row r="205" ht="24.0" customHeight="1">
      <c r="A205" s="233"/>
      <c r="B205" s="234"/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</row>
    <row r="206" ht="24.0" customHeight="1">
      <c r="A206" s="233"/>
      <c r="B206" s="234"/>
      <c r="C206" s="233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</row>
    <row r="207" ht="24.0" customHeight="1">
      <c r="A207" s="233"/>
      <c r="B207" s="234"/>
      <c r="C207" s="233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</row>
    <row r="208" ht="24.0" customHeight="1">
      <c r="A208" s="233"/>
      <c r="B208" s="234"/>
      <c r="C208" s="233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</row>
    <row r="209" ht="24.0" customHeight="1">
      <c r="A209" s="233"/>
      <c r="B209" s="234"/>
      <c r="C209" s="233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</row>
    <row r="210" ht="24.0" customHeight="1">
      <c r="A210" s="233"/>
      <c r="B210" s="234"/>
      <c r="C210" s="233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</row>
    <row r="211" ht="24.0" customHeight="1">
      <c r="A211" s="233"/>
      <c r="B211" s="234"/>
      <c r="C211" s="233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</row>
    <row r="212" ht="24.0" customHeight="1">
      <c r="A212" s="233"/>
      <c r="B212" s="234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</row>
    <row r="213" ht="24.0" customHeight="1">
      <c r="A213" s="233"/>
      <c r="B213" s="234"/>
      <c r="C213" s="233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</row>
    <row r="214" ht="24.0" customHeight="1">
      <c r="A214" s="233"/>
      <c r="B214" s="234"/>
      <c r="C214" s="233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</row>
    <row r="215" ht="24.0" customHeight="1">
      <c r="A215" s="233"/>
      <c r="B215" s="234"/>
      <c r="C215" s="233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</row>
    <row r="216" ht="24.0" customHeight="1">
      <c r="A216" s="233"/>
      <c r="B216" s="234"/>
      <c r="C216" s="233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</row>
    <row r="217" ht="24.0" customHeight="1">
      <c r="A217" s="233"/>
      <c r="B217" s="234"/>
      <c r="C217" s="233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</row>
    <row r="218" ht="24.0" customHeight="1">
      <c r="A218" s="233"/>
      <c r="B218" s="234"/>
      <c r="C218" s="233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</row>
    <row r="219" ht="24.0" customHeight="1">
      <c r="A219" s="233"/>
      <c r="B219" s="234"/>
      <c r="C219" s="233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</row>
    <row r="220" ht="24.0" customHeight="1">
      <c r="A220" s="233"/>
      <c r="B220" s="234"/>
      <c r="C220" s="233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</row>
    <row r="221" ht="24.0" customHeight="1">
      <c r="A221" s="233"/>
      <c r="B221" s="234"/>
      <c r="C221" s="233"/>
      <c r="D221" s="233"/>
      <c r="E221" s="233"/>
      <c r="F221" s="233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</row>
    <row r="222" ht="24.0" customHeight="1">
      <c r="A222" s="233"/>
      <c r="B222" s="234"/>
      <c r="C222" s="233"/>
      <c r="D222" s="233"/>
      <c r="E222" s="233"/>
      <c r="F222" s="233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</row>
    <row r="223" ht="24.0" customHeight="1">
      <c r="A223" s="233"/>
      <c r="B223" s="234"/>
      <c r="C223" s="233"/>
      <c r="D223" s="233"/>
      <c r="E223" s="233"/>
      <c r="F223" s="233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</row>
    <row r="224" ht="24.0" customHeight="1">
      <c r="A224" s="233"/>
      <c r="B224" s="234"/>
      <c r="C224" s="233"/>
      <c r="D224" s="233"/>
      <c r="E224" s="233"/>
      <c r="F224" s="233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</row>
    <row r="225" ht="24.0" customHeight="1">
      <c r="A225" s="233"/>
      <c r="B225" s="234"/>
      <c r="C225" s="233"/>
      <c r="D225" s="233"/>
      <c r="E225" s="233"/>
      <c r="F225" s="233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</row>
    <row r="226" ht="24.0" customHeight="1">
      <c r="A226" s="233"/>
      <c r="B226" s="234"/>
      <c r="C226" s="233"/>
      <c r="D226" s="233"/>
      <c r="E226" s="233"/>
      <c r="F226" s="233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</row>
    <row r="227" ht="24.0" customHeight="1">
      <c r="A227" s="233"/>
      <c r="B227" s="234"/>
      <c r="C227" s="233"/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</row>
    <row r="228" ht="24.0" customHeight="1">
      <c r="A228" s="233"/>
      <c r="B228" s="234"/>
      <c r="C228" s="233"/>
      <c r="D228" s="233"/>
      <c r="E228" s="233"/>
      <c r="F228" s="233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</row>
    <row r="229" ht="24.0" customHeight="1">
      <c r="A229" s="233"/>
      <c r="B229" s="234"/>
      <c r="C229" s="233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</row>
    <row r="230" ht="24.0" customHeight="1">
      <c r="A230" s="233"/>
      <c r="B230" s="234"/>
      <c r="C230" s="233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</row>
    <row r="231" ht="24.0" customHeight="1">
      <c r="A231" s="233"/>
      <c r="B231" s="234"/>
      <c r="C231" s="233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</row>
    <row r="232" ht="24.0" customHeight="1">
      <c r="A232" s="233"/>
      <c r="B232" s="234"/>
      <c r="C232" s="233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</row>
    <row r="233" ht="24.0" customHeight="1">
      <c r="A233" s="233"/>
      <c r="B233" s="234"/>
      <c r="C233" s="233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</row>
    <row r="234" ht="24.0" customHeight="1">
      <c r="A234" s="233"/>
      <c r="B234" s="234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</row>
    <row r="235" ht="24.0" customHeight="1">
      <c r="A235" s="233"/>
      <c r="B235" s="234"/>
      <c r="C235" s="233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</row>
    <row r="236" ht="24.0" customHeight="1">
      <c r="A236" s="233"/>
      <c r="B236" s="234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</row>
    <row r="237" ht="24.0" customHeight="1">
      <c r="A237" s="233"/>
      <c r="B237" s="234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</row>
    <row r="238" ht="24.0" customHeight="1">
      <c r="A238" s="233"/>
      <c r="B238" s="234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</row>
    <row r="239" ht="24.0" customHeight="1">
      <c r="A239" s="233"/>
      <c r="B239" s="234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</row>
    <row r="240" ht="24.0" customHeight="1">
      <c r="A240" s="233"/>
      <c r="B240" s="234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</row>
    <row r="241" ht="24.0" customHeight="1">
      <c r="A241" s="233"/>
      <c r="B241" s="234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</row>
    <row r="242" ht="24.0" customHeight="1">
      <c r="A242" s="233"/>
      <c r="B242" s="234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</row>
    <row r="243" ht="24.0" customHeight="1">
      <c r="A243" s="233"/>
      <c r="B243" s="234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</row>
    <row r="244" ht="24.0" customHeight="1">
      <c r="A244" s="233"/>
      <c r="B244" s="234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</row>
    <row r="245" ht="24.0" customHeight="1">
      <c r="A245" s="233"/>
      <c r="B245" s="234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</row>
    <row r="246" ht="24.0" customHeight="1">
      <c r="A246" s="233"/>
      <c r="B246" s="234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</row>
    <row r="247" ht="24.0" customHeight="1">
      <c r="A247" s="233"/>
      <c r="B247" s="234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</row>
    <row r="248" ht="24.0" customHeight="1">
      <c r="A248" s="233"/>
      <c r="B248" s="234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</row>
    <row r="249" ht="24.0" customHeight="1">
      <c r="A249" s="233"/>
      <c r="B249" s="234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</row>
    <row r="250" ht="24.0" customHeight="1">
      <c r="A250" s="233"/>
      <c r="B250" s="234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</row>
    <row r="251" ht="24.0" customHeight="1">
      <c r="A251" s="233"/>
      <c r="B251" s="234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</row>
    <row r="252" ht="24.0" customHeight="1">
      <c r="A252" s="233"/>
      <c r="B252" s="234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</row>
    <row r="253" ht="24.0" customHeight="1">
      <c r="A253" s="233"/>
      <c r="B253" s="234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</row>
    <row r="254" ht="24.0" customHeight="1">
      <c r="A254" s="233"/>
      <c r="B254" s="234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</row>
    <row r="255" ht="24.0" customHeight="1">
      <c r="A255" s="233"/>
      <c r="B255" s="234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</row>
    <row r="256" ht="24.0" customHeight="1">
      <c r="A256" s="233"/>
      <c r="B256" s="234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</row>
    <row r="257" ht="24.0" customHeight="1">
      <c r="A257" s="233"/>
      <c r="B257" s="234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</row>
    <row r="258" ht="24.0" customHeight="1">
      <c r="A258" s="233"/>
      <c r="B258" s="234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</row>
    <row r="259" ht="24.0" customHeight="1">
      <c r="A259" s="233"/>
      <c r="B259" s="234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</row>
    <row r="260" ht="24.0" customHeight="1">
      <c r="A260" s="233"/>
      <c r="B260" s="234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</row>
    <row r="261" ht="24.0" customHeight="1">
      <c r="A261" s="233"/>
      <c r="B261" s="234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</row>
    <row r="262" ht="24.0" customHeight="1">
      <c r="A262" s="233"/>
      <c r="B262" s="234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</row>
    <row r="263" ht="24.0" customHeight="1">
      <c r="A263" s="233"/>
      <c r="B263" s="234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</row>
    <row r="264" ht="24.0" customHeight="1">
      <c r="A264" s="233"/>
      <c r="B264" s="234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</row>
    <row r="265" ht="24.0" customHeight="1">
      <c r="A265" s="233"/>
      <c r="B265" s="234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</row>
    <row r="266" ht="24.0" customHeight="1">
      <c r="A266" s="233"/>
      <c r="B266" s="234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</row>
    <row r="267" ht="24.0" customHeight="1">
      <c r="A267" s="233"/>
      <c r="B267" s="234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</row>
    <row r="268" ht="24.0" customHeight="1">
      <c r="A268" s="233"/>
      <c r="B268" s="234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</row>
    <row r="269" ht="24.0" customHeight="1">
      <c r="A269" s="233"/>
      <c r="B269" s="234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</row>
    <row r="270" ht="24.0" customHeight="1">
      <c r="A270" s="233"/>
      <c r="B270" s="234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</row>
    <row r="271" ht="24.0" customHeight="1">
      <c r="A271" s="233"/>
      <c r="B271" s="234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</row>
    <row r="272" ht="24.0" customHeight="1">
      <c r="A272" s="233"/>
      <c r="B272" s="234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</row>
    <row r="273" ht="24.0" customHeight="1">
      <c r="A273" s="233"/>
      <c r="B273" s="234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</row>
    <row r="274" ht="24.0" customHeight="1">
      <c r="A274" s="233"/>
      <c r="B274" s="234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</row>
    <row r="275" ht="24.0" customHeight="1">
      <c r="A275" s="233"/>
      <c r="B275" s="234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</row>
    <row r="276" ht="24.0" customHeight="1">
      <c r="A276" s="233"/>
      <c r="B276" s="234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</row>
    <row r="277" ht="24.0" customHeight="1">
      <c r="A277" s="233"/>
      <c r="B277" s="234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</row>
    <row r="278" ht="24.0" customHeight="1">
      <c r="A278" s="233"/>
      <c r="B278" s="234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</row>
    <row r="279" ht="24.0" customHeight="1">
      <c r="A279" s="233"/>
      <c r="B279" s="234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</row>
    <row r="280" ht="24.0" customHeight="1">
      <c r="A280" s="233"/>
      <c r="B280" s="234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</row>
    <row r="281" ht="24.0" customHeight="1">
      <c r="A281" s="233"/>
      <c r="B281" s="234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</row>
    <row r="282" ht="24.0" customHeight="1">
      <c r="A282" s="233"/>
      <c r="B282" s="234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</row>
    <row r="283" ht="24.0" customHeight="1">
      <c r="A283" s="233"/>
      <c r="B283" s="234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</row>
    <row r="284" ht="24.0" customHeight="1">
      <c r="A284" s="233"/>
      <c r="B284" s="234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</row>
    <row r="285" ht="24.0" customHeight="1">
      <c r="A285" s="233"/>
      <c r="B285" s="234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</row>
    <row r="286" ht="24.0" customHeight="1">
      <c r="A286" s="233"/>
      <c r="B286" s="234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</row>
    <row r="287" ht="24.0" customHeight="1">
      <c r="A287" s="233"/>
      <c r="B287" s="234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</row>
    <row r="288" ht="24.0" customHeight="1">
      <c r="A288" s="233"/>
      <c r="B288" s="234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</row>
    <row r="289" ht="24.0" customHeight="1">
      <c r="A289" s="233"/>
      <c r="B289" s="234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</row>
    <row r="290" ht="24.0" customHeight="1">
      <c r="A290" s="233"/>
      <c r="B290" s="234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</row>
    <row r="291" ht="24.0" customHeight="1">
      <c r="A291" s="233"/>
      <c r="B291" s="234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</row>
    <row r="292" ht="24.0" customHeight="1">
      <c r="A292" s="233"/>
      <c r="B292" s="234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</row>
    <row r="293" ht="24.0" customHeight="1">
      <c r="A293" s="233"/>
      <c r="B293" s="234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</row>
    <row r="294" ht="24.0" customHeight="1">
      <c r="A294" s="233"/>
      <c r="B294" s="234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</row>
    <row r="295" ht="24.0" customHeight="1">
      <c r="A295" s="233"/>
      <c r="B295" s="234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</row>
    <row r="296" ht="24.0" customHeight="1">
      <c r="A296" s="233"/>
      <c r="B296" s="234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</row>
    <row r="297" ht="24.0" customHeight="1">
      <c r="A297" s="233"/>
      <c r="B297" s="234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</row>
    <row r="298" ht="24.0" customHeight="1">
      <c r="A298" s="233"/>
      <c r="B298" s="234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</row>
    <row r="299" ht="24.0" customHeight="1">
      <c r="A299" s="233"/>
      <c r="B299" s="234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</row>
    <row r="300" ht="24.0" customHeight="1">
      <c r="A300" s="233"/>
      <c r="B300" s="234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</row>
    <row r="301" ht="24.0" customHeight="1">
      <c r="A301" s="233"/>
      <c r="B301" s="234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</row>
    <row r="302" ht="24.0" customHeight="1">
      <c r="A302" s="233"/>
      <c r="B302" s="234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ht="24.0" customHeight="1">
      <c r="A303" s="233"/>
      <c r="B303" s="234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</row>
    <row r="304" ht="24.0" customHeight="1">
      <c r="A304" s="233"/>
      <c r="B304" s="234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</row>
    <row r="305" ht="24.0" customHeight="1">
      <c r="A305" s="233"/>
      <c r="B305" s="234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</row>
    <row r="306" ht="24.0" customHeight="1">
      <c r="A306" s="233"/>
      <c r="B306" s="234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</row>
    <row r="307" ht="24.0" customHeight="1">
      <c r="A307" s="233"/>
      <c r="B307" s="234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ht="24.0" customHeight="1">
      <c r="A308" s="233"/>
      <c r="B308" s="234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</row>
    <row r="309" ht="24.0" customHeight="1">
      <c r="A309" s="233"/>
      <c r="B309" s="234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</row>
    <row r="310" ht="24.0" customHeight="1">
      <c r="A310" s="233"/>
      <c r="B310" s="234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</row>
    <row r="311" ht="24.0" customHeight="1">
      <c r="A311" s="233"/>
      <c r="B311" s="234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</row>
    <row r="312" ht="24.0" customHeight="1">
      <c r="A312" s="233"/>
      <c r="B312" s="234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ht="24.0" customHeight="1">
      <c r="A313" s="233"/>
      <c r="B313" s="234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</row>
    <row r="314" ht="24.0" customHeight="1">
      <c r="A314" s="233"/>
      <c r="B314" s="234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</row>
    <row r="315" ht="24.0" customHeight="1">
      <c r="A315" s="233"/>
      <c r="B315" s="234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</row>
    <row r="316" ht="24.0" customHeight="1">
      <c r="A316" s="233"/>
      <c r="B316" s="234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</row>
    <row r="317" ht="24.0" customHeight="1">
      <c r="A317" s="233"/>
      <c r="B317" s="234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ht="24.0" customHeight="1">
      <c r="A318" s="233"/>
      <c r="B318" s="234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</row>
    <row r="319" ht="24.0" customHeight="1">
      <c r="A319" s="233"/>
      <c r="B319" s="234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</row>
    <row r="320" ht="24.0" customHeight="1">
      <c r="A320" s="233"/>
      <c r="B320" s="234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</row>
    <row r="321" ht="24.0" customHeight="1">
      <c r="A321" s="233"/>
      <c r="B321" s="234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ht="24.0" customHeight="1">
      <c r="A322" s="233"/>
      <c r="B322" s="234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</row>
    <row r="323" ht="24.0" customHeight="1">
      <c r="A323" s="233"/>
      <c r="B323" s="234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</row>
    <row r="324" ht="24.0" customHeight="1">
      <c r="A324" s="233"/>
      <c r="B324" s="234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</row>
    <row r="325" ht="24.0" customHeight="1">
      <c r="A325" s="233"/>
      <c r="B325" s="234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</row>
    <row r="326" ht="24.0" customHeight="1">
      <c r="A326" s="233"/>
      <c r="B326" s="234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</row>
    <row r="327" ht="24.0" customHeight="1">
      <c r="A327" s="233"/>
      <c r="B327" s="234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</row>
    <row r="328" ht="24.0" customHeight="1">
      <c r="A328" s="233"/>
      <c r="B328" s="234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</row>
    <row r="329" ht="24.0" customHeight="1">
      <c r="A329" s="233"/>
      <c r="B329" s="234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</row>
    <row r="330" ht="24.0" customHeight="1">
      <c r="A330" s="233"/>
      <c r="B330" s="234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</row>
    <row r="331" ht="24.0" customHeight="1">
      <c r="A331" s="233"/>
      <c r="B331" s="234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</row>
    <row r="332" ht="24.0" customHeight="1">
      <c r="A332" s="233"/>
      <c r="B332" s="234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</row>
    <row r="333" ht="24.0" customHeight="1">
      <c r="A333" s="233"/>
      <c r="B333" s="234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</row>
    <row r="334" ht="24.0" customHeight="1">
      <c r="A334" s="233"/>
      <c r="B334" s="234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</row>
    <row r="335" ht="24.0" customHeight="1">
      <c r="A335" s="233"/>
      <c r="B335" s="234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</row>
    <row r="336" ht="24.0" customHeight="1">
      <c r="A336" s="233"/>
      <c r="B336" s="234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</row>
    <row r="337" ht="24.0" customHeight="1">
      <c r="A337" s="233"/>
      <c r="B337" s="234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</row>
    <row r="338" ht="24.0" customHeight="1">
      <c r="A338" s="233"/>
      <c r="B338" s="234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</row>
    <row r="339" ht="24.0" customHeight="1">
      <c r="A339" s="233"/>
      <c r="B339" s="234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</row>
    <row r="340" ht="24.0" customHeight="1">
      <c r="A340" s="233"/>
      <c r="B340" s="234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</row>
    <row r="341" ht="24.0" customHeight="1">
      <c r="A341" s="233"/>
      <c r="B341" s="234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</row>
    <row r="342" ht="24.0" customHeight="1">
      <c r="A342" s="233"/>
      <c r="B342" s="234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</row>
    <row r="343" ht="24.0" customHeight="1">
      <c r="A343" s="233"/>
      <c r="B343" s="234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</row>
    <row r="344" ht="24.0" customHeight="1">
      <c r="A344" s="233"/>
      <c r="B344" s="234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</row>
    <row r="345" ht="24.0" customHeight="1">
      <c r="A345" s="233"/>
      <c r="B345" s="234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</row>
    <row r="346" ht="24.0" customHeight="1">
      <c r="A346" s="233"/>
      <c r="B346" s="234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</row>
    <row r="347" ht="24.0" customHeight="1">
      <c r="A347" s="233"/>
      <c r="B347" s="234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</row>
    <row r="348" ht="24.0" customHeight="1">
      <c r="A348" s="233"/>
      <c r="B348" s="234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</row>
    <row r="349" ht="24.0" customHeight="1">
      <c r="A349" s="233"/>
      <c r="B349" s="234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</row>
    <row r="350" ht="24.0" customHeight="1">
      <c r="A350" s="233"/>
      <c r="B350" s="234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</row>
    <row r="351" ht="24.0" customHeight="1">
      <c r="A351" s="233"/>
      <c r="B351" s="234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</row>
    <row r="352" ht="24.0" customHeight="1">
      <c r="A352" s="233"/>
      <c r="B352" s="234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</row>
    <row r="353" ht="24.0" customHeight="1">
      <c r="A353" s="233"/>
      <c r="B353" s="234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</row>
    <row r="354" ht="24.0" customHeight="1">
      <c r="A354" s="233"/>
      <c r="B354" s="234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</row>
    <row r="355" ht="24.0" customHeight="1">
      <c r="A355" s="233"/>
      <c r="B355" s="234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</row>
    <row r="356" ht="24.0" customHeight="1">
      <c r="A356" s="233"/>
      <c r="B356" s="234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</row>
    <row r="357" ht="24.0" customHeight="1">
      <c r="A357" s="233"/>
      <c r="B357" s="234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</row>
    <row r="358" ht="24.0" customHeight="1">
      <c r="A358" s="233"/>
      <c r="B358" s="234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</row>
    <row r="359" ht="24.0" customHeight="1">
      <c r="A359" s="233"/>
      <c r="B359" s="234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</row>
    <row r="360" ht="24.0" customHeight="1">
      <c r="A360" s="233"/>
      <c r="B360" s="234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</row>
    <row r="361" ht="24.0" customHeight="1">
      <c r="A361" s="233"/>
      <c r="B361" s="234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</row>
    <row r="362" ht="24.0" customHeight="1">
      <c r="A362" s="233"/>
      <c r="B362" s="234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</row>
    <row r="363" ht="24.0" customHeight="1">
      <c r="A363" s="233"/>
      <c r="B363" s="234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</row>
    <row r="364" ht="24.0" customHeight="1">
      <c r="A364" s="233"/>
      <c r="B364" s="234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</row>
    <row r="365" ht="24.0" customHeight="1">
      <c r="A365" s="233"/>
      <c r="B365" s="234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</row>
    <row r="366" ht="24.0" customHeight="1">
      <c r="A366" s="233"/>
      <c r="B366" s="234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</row>
    <row r="367" ht="24.0" customHeight="1">
      <c r="A367" s="233"/>
      <c r="B367" s="234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</row>
    <row r="368" ht="24.0" customHeight="1">
      <c r="A368" s="233"/>
      <c r="B368" s="234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</row>
    <row r="369" ht="24.0" customHeight="1">
      <c r="A369" s="233"/>
      <c r="B369" s="234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</row>
    <row r="370" ht="24.0" customHeight="1">
      <c r="A370" s="233"/>
      <c r="B370" s="234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</row>
    <row r="371" ht="24.0" customHeight="1">
      <c r="A371" s="233"/>
      <c r="B371" s="234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</row>
    <row r="372" ht="24.0" customHeight="1">
      <c r="A372" s="233"/>
      <c r="B372" s="234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</row>
    <row r="373" ht="24.0" customHeight="1">
      <c r="A373" s="233"/>
      <c r="B373" s="234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</row>
    <row r="374" ht="24.0" customHeight="1">
      <c r="A374" s="233"/>
      <c r="B374" s="234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</row>
    <row r="375" ht="24.0" customHeight="1">
      <c r="A375" s="233"/>
      <c r="B375" s="234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</row>
    <row r="376" ht="24.0" customHeight="1">
      <c r="A376" s="233"/>
      <c r="B376" s="234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</row>
    <row r="377" ht="24.0" customHeight="1">
      <c r="A377" s="233"/>
      <c r="B377" s="234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</row>
    <row r="378" ht="24.0" customHeight="1">
      <c r="A378" s="233"/>
      <c r="B378" s="234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</row>
    <row r="379" ht="24.0" customHeight="1">
      <c r="A379" s="233"/>
      <c r="B379" s="234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</row>
    <row r="380" ht="24.0" customHeight="1">
      <c r="A380" s="233"/>
      <c r="B380" s="234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</row>
    <row r="381" ht="24.0" customHeight="1">
      <c r="A381" s="233"/>
      <c r="B381" s="234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</row>
    <row r="382" ht="24.0" customHeight="1">
      <c r="A382" s="233"/>
      <c r="B382" s="234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</row>
    <row r="383" ht="24.0" customHeight="1">
      <c r="A383" s="233"/>
      <c r="B383" s="234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</row>
    <row r="384" ht="24.0" customHeight="1">
      <c r="A384" s="233"/>
      <c r="B384" s="234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</row>
    <row r="385" ht="24.0" customHeight="1">
      <c r="A385" s="233"/>
      <c r="B385" s="234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</row>
    <row r="386" ht="24.0" customHeight="1">
      <c r="A386" s="233"/>
      <c r="B386" s="234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</row>
    <row r="387" ht="24.0" customHeight="1">
      <c r="A387" s="233"/>
      <c r="B387" s="234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</row>
    <row r="388" ht="24.0" customHeight="1">
      <c r="A388" s="233"/>
      <c r="B388" s="234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</row>
    <row r="389" ht="24.0" customHeight="1">
      <c r="A389" s="233"/>
      <c r="B389" s="234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</row>
    <row r="390" ht="24.0" customHeight="1">
      <c r="A390" s="233"/>
      <c r="B390" s="234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</row>
    <row r="391" ht="24.0" customHeight="1">
      <c r="A391" s="233"/>
      <c r="B391" s="234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</row>
    <row r="392" ht="24.0" customHeight="1">
      <c r="A392" s="233"/>
      <c r="B392" s="234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</row>
    <row r="393" ht="24.0" customHeight="1">
      <c r="A393" s="233"/>
      <c r="B393" s="234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</row>
    <row r="394" ht="24.0" customHeight="1">
      <c r="A394" s="233"/>
      <c r="B394" s="234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</row>
    <row r="395" ht="24.0" customHeight="1">
      <c r="A395" s="233"/>
      <c r="B395" s="234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</row>
    <row r="396" ht="24.0" customHeight="1">
      <c r="A396" s="233"/>
      <c r="B396" s="234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</row>
    <row r="397" ht="24.0" customHeight="1">
      <c r="A397" s="233"/>
      <c r="B397" s="234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</row>
    <row r="398" ht="24.0" customHeight="1">
      <c r="A398" s="233"/>
      <c r="B398" s="234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</row>
    <row r="399" ht="24.0" customHeight="1">
      <c r="A399" s="233"/>
      <c r="B399" s="234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</row>
    <row r="400" ht="24.0" customHeight="1">
      <c r="A400" s="233"/>
      <c r="B400" s="234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</row>
    <row r="401" ht="24.0" customHeight="1">
      <c r="A401" s="233"/>
      <c r="B401" s="234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</row>
    <row r="402" ht="24.0" customHeight="1">
      <c r="A402" s="233"/>
      <c r="B402" s="234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</row>
    <row r="403" ht="24.0" customHeight="1">
      <c r="A403" s="233"/>
      <c r="B403" s="234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</row>
    <row r="404" ht="24.0" customHeight="1">
      <c r="A404" s="233"/>
      <c r="B404" s="234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</row>
    <row r="405" ht="24.0" customHeight="1">
      <c r="A405" s="233"/>
      <c r="B405" s="234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</row>
    <row r="406" ht="24.0" customHeight="1">
      <c r="A406" s="233"/>
      <c r="B406" s="234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</row>
    <row r="407" ht="24.0" customHeight="1">
      <c r="A407" s="233"/>
      <c r="B407" s="234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</row>
    <row r="408" ht="24.0" customHeight="1">
      <c r="A408" s="233"/>
      <c r="B408" s="234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</row>
    <row r="409" ht="24.0" customHeight="1">
      <c r="A409" s="233"/>
      <c r="B409" s="234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</row>
    <row r="410" ht="24.0" customHeight="1">
      <c r="A410" s="233"/>
      <c r="B410" s="234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</row>
    <row r="411" ht="24.0" customHeight="1">
      <c r="A411" s="233"/>
      <c r="B411" s="234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</row>
    <row r="412" ht="24.0" customHeight="1">
      <c r="A412" s="233"/>
      <c r="B412" s="234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</row>
    <row r="413" ht="24.0" customHeight="1">
      <c r="A413" s="233"/>
      <c r="B413" s="234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</row>
    <row r="414" ht="24.0" customHeight="1">
      <c r="A414" s="233"/>
      <c r="B414" s="234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</row>
    <row r="415" ht="24.0" customHeight="1">
      <c r="A415" s="233"/>
      <c r="B415" s="234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</row>
    <row r="416" ht="24.0" customHeight="1">
      <c r="A416" s="233"/>
      <c r="B416" s="234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</row>
    <row r="417" ht="24.0" customHeight="1">
      <c r="A417" s="233"/>
      <c r="B417" s="234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</row>
    <row r="418" ht="24.0" customHeight="1">
      <c r="A418" s="233"/>
      <c r="B418" s="234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</row>
    <row r="419" ht="24.0" customHeight="1">
      <c r="A419" s="233"/>
      <c r="B419" s="234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</row>
    <row r="420" ht="24.0" customHeight="1">
      <c r="A420" s="233"/>
      <c r="B420" s="234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</row>
    <row r="421" ht="24.0" customHeight="1">
      <c r="A421" s="233"/>
      <c r="B421" s="234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</row>
    <row r="422" ht="24.0" customHeight="1">
      <c r="A422" s="233"/>
      <c r="B422" s="234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</row>
    <row r="423" ht="24.0" customHeight="1">
      <c r="A423" s="233"/>
      <c r="B423" s="234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</row>
    <row r="424" ht="24.0" customHeight="1">
      <c r="A424" s="233"/>
      <c r="B424" s="234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</row>
    <row r="425" ht="24.0" customHeight="1">
      <c r="A425" s="233"/>
      <c r="B425" s="234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</row>
    <row r="426" ht="24.0" customHeight="1">
      <c r="A426" s="233"/>
      <c r="B426" s="234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</row>
    <row r="427" ht="24.0" customHeight="1">
      <c r="A427" s="233"/>
      <c r="B427" s="234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</row>
    <row r="428" ht="24.0" customHeight="1">
      <c r="A428" s="233"/>
      <c r="B428" s="234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</row>
    <row r="429" ht="24.0" customHeight="1">
      <c r="A429" s="233"/>
      <c r="B429" s="234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</row>
    <row r="430" ht="24.0" customHeight="1">
      <c r="A430" s="233"/>
      <c r="B430" s="234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</row>
    <row r="431" ht="24.0" customHeight="1">
      <c r="A431" s="233"/>
      <c r="B431" s="234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</row>
    <row r="432" ht="24.0" customHeight="1">
      <c r="A432" s="233"/>
      <c r="B432" s="234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</row>
    <row r="433" ht="24.0" customHeight="1">
      <c r="A433" s="233"/>
      <c r="B433" s="234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</row>
    <row r="434" ht="24.0" customHeight="1">
      <c r="A434" s="233"/>
      <c r="B434" s="234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</row>
    <row r="435" ht="24.0" customHeight="1">
      <c r="A435" s="233"/>
      <c r="B435" s="234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</row>
    <row r="436" ht="24.0" customHeight="1">
      <c r="A436" s="233"/>
      <c r="B436" s="234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</row>
    <row r="437" ht="24.0" customHeight="1">
      <c r="A437" s="233"/>
      <c r="B437" s="234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</row>
    <row r="438" ht="24.0" customHeight="1">
      <c r="A438" s="233"/>
      <c r="B438" s="234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</row>
    <row r="439" ht="24.0" customHeight="1">
      <c r="A439" s="233"/>
      <c r="B439" s="234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</row>
    <row r="440" ht="24.0" customHeight="1">
      <c r="A440" s="233"/>
      <c r="B440" s="234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</row>
    <row r="441" ht="24.0" customHeight="1">
      <c r="A441" s="233"/>
      <c r="B441" s="234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</row>
    <row r="442" ht="24.0" customHeight="1">
      <c r="A442" s="233"/>
      <c r="B442" s="234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</row>
    <row r="443" ht="24.0" customHeight="1">
      <c r="A443" s="233"/>
      <c r="B443" s="234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</row>
    <row r="444" ht="24.0" customHeight="1">
      <c r="A444" s="233"/>
      <c r="B444" s="234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</row>
    <row r="445" ht="24.0" customHeight="1">
      <c r="A445" s="233"/>
      <c r="B445" s="234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</row>
    <row r="446" ht="24.0" customHeight="1">
      <c r="A446" s="233"/>
      <c r="B446" s="234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</row>
    <row r="447" ht="24.0" customHeight="1">
      <c r="A447" s="233"/>
      <c r="B447" s="234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</row>
    <row r="448" ht="24.0" customHeight="1">
      <c r="A448" s="233"/>
      <c r="B448" s="234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</row>
    <row r="449" ht="24.0" customHeight="1">
      <c r="A449" s="233"/>
      <c r="B449" s="234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</row>
    <row r="450" ht="24.0" customHeight="1">
      <c r="A450" s="233"/>
      <c r="B450" s="234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</row>
    <row r="451" ht="24.0" customHeight="1">
      <c r="A451" s="233"/>
      <c r="B451" s="234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</row>
    <row r="452" ht="24.0" customHeight="1">
      <c r="A452" s="233"/>
      <c r="B452" s="234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</row>
    <row r="453" ht="24.0" customHeight="1">
      <c r="A453" s="233"/>
      <c r="B453" s="234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</row>
    <row r="454" ht="24.0" customHeight="1">
      <c r="A454" s="233"/>
      <c r="B454" s="234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</row>
    <row r="455" ht="24.0" customHeight="1">
      <c r="A455" s="233"/>
      <c r="B455" s="234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</row>
    <row r="456" ht="24.0" customHeight="1">
      <c r="A456" s="233"/>
      <c r="B456" s="234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</row>
    <row r="457" ht="24.0" customHeight="1">
      <c r="A457" s="233"/>
      <c r="B457" s="234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</row>
    <row r="458" ht="24.0" customHeight="1">
      <c r="A458" s="233"/>
      <c r="B458" s="234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</row>
    <row r="459" ht="24.0" customHeight="1">
      <c r="A459" s="233"/>
      <c r="B459" s="234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</row>
    <row r="460" ht="24.0" customHeight="1">
      <c r="A460" s="233"/>
      <c r="B460" s="234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</row>
    <row r="461" ht="24.0" customHeight="1">
      <c r="A461" s="233"/>
      <c r="B461" s="234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</row>
    <row r="462" ht="24.0" customHeight="1">
      <c r="A462" s="233"/>
      <c r="B462" s="234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</row>
    <row r="463" ht="24.0" customHeight="1">
      <c r="A463" s="233"/>
      <c r="B463" s="234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</row>
    <row r="464" ht="24.0" customHeight="1">
      <c r="A464" s="233"/>
      <c r="B464" s="234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</row>
    <row r="465" ht="24.0" customHeight="1">
      <c r="A465" s="233"/>
      <c r="B465" s="234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</row>
    <row r="466" ht="24.0" customHeight="1">
      <c r="A466" s="233"/>
      <c r="B466" s="234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</row>
    <row r="467" ht="24.0" customHeight="1">
      <c r="A467" s="233"/>
      <c r="B467" s="234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</row>
    <row r="468" ht="24.0" customHeight="1">
      <c r="A468" s="233"/>
      <c r="B468" s="234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</row>
    <row r="469" ht="24.0" customHeight="1">
      <c r="A469" s="233"/>
      <c r="B469" s="234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</row>
    <row r="470" ht="24.0" customHeight="1">
      <c r="A470" s="233"/>
      <c r="B470" s="234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</row>
    <row r="471" ht="24.0" customHeight="1">
      <c r="A471" s="233"/>
      <c r="B471" s="234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</row>
    <row r="472" ht="24.0" customHeight="1">
      <c r="A472" s="233"/>
      <c r="B472" s="234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</row>
    <row r="473" ht="24.0" customHeight="1">
      <c r="A473" s="233"/>
      <c r="B473" s="234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</row>
    <row r="474" ht="24.0" customHeight="1">
      <c r="A474" s="233"/>
      <c r="B474" s="234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</row>
    <row r="475" ht="24.0" customHeight="1">
      <c r="A475" s="233"/>
      <c r="B475" s="234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</row>
    <row r="476" ht="24.0" customHeight="1">
      <c r="A476" s="233"/>
      <c r="B476" s="234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</row>
    <row r="477" ht="24.0" customHeight="1">
      <c r="A477" s="233"/>
      <c r="B477" s="234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</row>
    <row r="478" ht="24.0" customHeight="1">
      <c r="A478" s="233"/>
      <c r="B478" s="234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</row>
    <row r="479" ht="24.0" customHeight="1">
      <c r="A479" s="233"/>
      <c r="B479" s="234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</row>
    <row r="480" ht="24.0" customHeight="1">
      <c r="A480" s="233"/>
      <c r="B480" s="234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</row>
    <row r="481" ht="24.0" customHeight="1">
      <c r="A481" s="233"/>
      <c r="B481" s="234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</row>
    <row r="482" ht="24.0" customHeight="1">
      <c r="A482" s="233"/>
      <c r="B482" s="234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</row>
    <row r="483" ht="24.0" customHeight="1">
      <c r="A483" s="233"/>
      <c r="B483" s="234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</row>
    <row r="484" ht="24.0" customHeight="1">
      <c r="A484" s="233"/>
      <c r="B484" s="234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</row>
    <row r="485" ht="24.0" customHeight="1">
      <c r="A485" s="233"/>
      <c r="B485" s="234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</row>
    <row r="486" ht="24.0" customHeight="1">
      <c r="A486" s="233"/>
      <c r="B486" s="234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</row>
    <row r="487" ht="24.0" customHeight="1">
      <c r="A487" s="233"/>
      <c r="B487" s="234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</row>
    <row r="488" ht="24.0" customHeight="1">
      <c r="A488" s="233"/>
      <c r="B488" s="234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</row>
    <row r="489" ht="24.0" customHeight="1">
      <c r="A489" s="233"/>
      <c r="B489" s="234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</row>
    <row r="490" ht="24.0" customHeight="1">
      <c r="A490" s="233"/>
      <c r="B490" s="234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</row>
    <row r="491" ht="24.0" customHeight="1">
      <c r="A491" s="233"/>
      <c r="B491" s="234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</row>
    <row r="492" ht="24.0" customHeight="1">
      <c r="A492" s="233"/>
      <c r="B492" s="234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</row>
    <row r="493" ht="24.0" customHeight="1">
      <c r="A493" s="233"/>
      <c r="B493" s="234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</row>
    <row r="494" ht="24.0" customHeight="1">
      <c r="A494" s="233"/>
      <c r="B494" s="234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</row>
    <row r="495" ht="24.0" customHeight="1">
      <c r="A495" s="233"/>
      <c r="B495" s="234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</row>
    <row r="496" ht="24.0" customHeight="1">
      <c r="A496" s="233"/>
      <c r="B496" s="234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</row>
    <row r="497" ht="24.0" customHeight="1">
      <c r="A497" s="233"/>
      <c r="B497" s="234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</row>
    <row r="498" ht="24.0" customHeight="1">
      <c r="A498" s="233"/>
      <c r="B498" s="234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</row>
    <row r="499" ht="24.0" customHeight="1">
      <c r="A499" s="233"/>
      <c r="B499" s="234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</row>
    <row r="500" ht="24.0" customHeight="1">
      <c r="A500" s="233"/>
      <c r="B500" s="234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</row>
    <row r="501" ht="24.0" customHeight="1">
      <c r="A501" s="233"/>
      <c r="B501" s="234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</row>
    <row r="502" ht="24.0" customHeight="1">
      <c r="A502" s="233"/>
      <c r="B502" s="234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</row>
    <row r="503" ht="24.0" customHeight="1">
      <c r="A503" s="233"/>
      <c r="B503" s="234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</row>
    <row r="504" ht="24.0" customHeight="1">
      <c r="A504" s="233"/>
      <c r="B504" s="234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</row>
    <row r="505" ht="24.0" customHeight="1">
      <c r="A505" s="233"/>
      <c r="B505" s="234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</row>
    <row r="506" ht="24.0" customHeight="1">
      <c r="A506" s="233"/>
      <c r="B506" s="234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</row>
    <row r="507" ht="24.0" customHeight="1">
      <c r="A507" s="233"/>
      <c r="B507" s="234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</row>
    <row r="508" ht="24.0" customHeight="1">
      <c r="A508" s="233"/>
      <c r="B508" s="234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</row>
    <row r="509" ht="24.0" customHeight="1">
      <c r="A509" s="233"/>
      <c r="B509" s="234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</row>
    <row r="510" ht="24.0" customHeight="1">
      <c r="A510" s="233"/>
      <c r="B510" s="234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</row>
    <row r="511" ht="24.0" customHeight="1">
      <c r="A511" s="233"/>
      <c r="B511" s="234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</row>
    <row r="512" ht="24.0" customHeight="1">
      <c r="A512" s="233"/>
      <c r="B512" s="234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</row>
    <row r="513" ht="24.0" customHeight="1">
      <c r="A513" s="233"/>
      <c r="B513" s="234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</row>
    <row r="514" ht="24.0" customHeight="1">
      <c r="A514" s="233"/>
      <c r="B514" s="234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</row>
    <row r="515" ht="24.0" customHeight="1">
      <c r="A515" s="233"/>
      <c r="B515" s="234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</row>
    <row r="516" ht="24.0" customHeight="1">
      <c r="A516" s="233"/>
      <c r="B516" s="234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</row>
    <row r="517" ht="24.0" customHeight="1">
      <c r="A517" s="233"/>
      <c r="B517" s="234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</row>
    <row r="518" ht="24.0" customHeight="1">
      <c r="A518" s="233"/>
      <c r="B518" s="234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</row>
    <row r="519" ht="24.0" customHeight="1">
      <c r="A519" s="233"/>
      <c r="B519" s="234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</row>
    <row r="520" ht="24.0" customHeight="1">
      <c r="A520" s="233"/>
      <c r="B520" s="234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</row>
    <row r="521" ht="24.0" customHeight="1">
      <c r="A521" s="233"/>
      <c r="B521" s="234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</row>
    <row r="522" ht="24.0" customHeight="1">
      <c r="A522" s="233"/>
      <c r="B522" s="234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</row>
    <row r="523" ht="24.0" customHeight="1">
      <c r="A523" s="233"/>
      <c r="B523" s="234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</row>
    <row r="524" ht="24.0" customHeight="1">
      <c r="A524" s="233"/>
      <c r="B524" s="234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</row>
    <row r="525" ht="24.0" customHeight="1">
      <c r="A525" s="233"/>
      <c r="B525" s="234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</row>
    <row r="526" ht="24.0" customHeight="1">
      <c r="A526" s="233"/>
      <c r="B526" s="234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</row>
    <row r="527" ht="24.0" customHeight="1">
      <c r="A527" s="233"/>
      <c r="B527" s="234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</row>
    <row r="528" ht="24.0" customHeight="1">
      <c r="A528" s="233"/>
      <c r="B528" s="234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</row>
    <row r="529" ht="24.0" customHeight="1">
      <c r="A529" s="233"/>
      <c r="B529" s="234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</row>
    <row r="530" ht="24.0" customHeight="1">
      <c r="A530" s="233"/>
      <c r="B530" s="234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</row>
    <row r="531" ht="24.0" customHeight="1">
      <c r="A531" s="233"/>
      <c r="B531" s="234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</row>
    <row r="532" ht="24.0" customHeight="1">
      <c r="A532" s="233"/>
      <c r="B532" s="234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</row>
    <row r="533" ht="24.0" customHeight="1">
      <c r="A533" s="233"/>
      <c r="B533" s="234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</row>
    <row r="534" ht="24.0" customHeight="1">
      <c r="A534" s="233"/>
      <c r="B534" s="234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</row>
    <row r="535" ht="24.0" customHeight="1">
      <c r="A535" s="233"/>
      <c r="B535" s="234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</row>
    <row r="536" ht="24.0" customHeight="1">
      <c r="A536" s="233"/>
      <c r="B536" s="234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</row>
    <row r="537" ht="24.0" customHeight="1">
      <c r="A537" s="233"/>
      <c r="B537" s="234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</row>
    <row r="538" ht="24.0" customHeight="1">
      <c r="A538" s="233"/>
      <c r="B538" s="234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</row>
    <row r="539" ht="24.0" customHeight="1">
      <c r="A539" s="233"/>
      <c r="B539" s="234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</row>
    <row r="540" ht="24.0" customHeight="1">
      <c r="A540" s="233"/>
      <c r="B540" s="234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</row>
    <row r="541" ht="24.0" customHeight="1">
      <c r="A541" s="233"/>
      <c r="B541" s="234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</row>
    <row r="542" ht="24.0" customHeight="1">
      <c r="A542" s="233"/>
      <c r="B542" s="234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</row>
    <row r="543" ht="24.0" customHeight="1">
      <c r="A543" s="233"/>
      <c r="B543" s="234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</row>
    <row r="544" ht="24.0" customHeight="1">
      <c r="A544" s="233"/>
      <c r="B544" s="234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</row>
    <row r="545" ht="24.0" customHeight="1">
      <c r="A545" s="233"/>
      <c r="B545" s="234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</row>
    <row r="546" ht="24.0" customHeight="1">
      <c r="A546" s="233"/>
      <c r="B546" s="234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</row>
    <row r="547" ht="24.0" customHeight="1">
      <c r="A547" s="233"/>
      <c r="B547" s="234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</row>
    <row r="548" ht="24.0" customHeight="1">
      <c r="A548" s="233"/>
      <c r="B548" s="234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</row>
    <row r="549" ht="24.0" customHeight="1">
      <c r="A549" s="233"/>
      <c r="B549" s="234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</row>
    <row r="550" ht="24.0" customHeight="1">
      <c r="A550" s="233"/>
      <c r="B550" s="234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</row>
    <row r="551" ht="24.0" customHeight="1">
      <c r="A551" s="233"/>
      <c r="B551" s="234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</row>
    <row r="552" ht="24.0" customHeight="1">
      <c r="A552" s="233"/>
      <c r="B552" s="234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</row>
    <row r="553" ht="24.0" customHeight="1">
      <c r="A553" s="233"/>
      <c r="B553" s="234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</row>
    <row r="554" ht="24.0" customHeight="1">
      <c r="A554" s="233"/>
      <c r="B554" s="234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</row>
    <row r="555" ht="24.0" customHeight="1">
      <c r="A555" s="233"/>
      <c r="B555" s="234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</row>
    <row r="556" ht="24.0" customHeight="1">
      <c r="A556" s="233"/>
      <c r="B556" s="234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</row>
    <row r="557" ht="24.0" customHeight="1">
      <c r="A557" s="233"/>
      <c r="B557" s="234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</row>
    <row r="558" ht="24.0" customHeight="1">
      <c r="A558" s="233"/>
      <c r="B558" s="234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</row>
    <row r="559" ht="24.0" customHeight="1">
      <c r="A559" s="233"/>
      <c r="B559" s="234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</row>
    <row r="560" ht="24.0" customHeight="1">
      <c r="A560" s="233"/>
      <c r="B560" s="234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</row>
    <row r="561" ht="24.0" customHeight="1">
      <c r="A561" s="233"/>
      <c r="B561" s="234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</row>
    <row r="562" ht="24.0" customHeight="1">
      <c r="A562" s="233"/>
      <c r="B562" s="234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</row>
    <row r="563" ht="24.0" customHeight="1">
      <c r="A563" s="233"/>
      <c r="B563" s="234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</row>
    <row r="564" ht="24.0" customHeight="1">
      <c r="A564" s="233"/>
      <c r="B564" s="234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</row>
    <row r="565" ht="24.0" customHeight="1">
      <c r="A565" s="233"/>
      <c r="B565" s="234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</row>
    <row r="566" ht="24.0" customHeight="1">
      <c r="A566" s="233"/>
      <c r="B566" s="234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</row>
    <row r="567" ht="24.0" customHeight="1">
      <c r="A567" s="233"/>
      <c r="B567" s="234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</row>
    <row r="568" ht="24.0" customHeight="1">
      <c r="A568" s="233"/>
      <c r="B568" s="234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</row>
    <row r="569" ht="24.0" customHeight="1">
      <c r="A569" s="233"/>
      <c r="B569" s="234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</row>
    <row r="570" ht="24.0" customHeight="1">
      <c r="A570" s="233"/>
      <c r="B570" s="234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</row>
    <row r="571" ht="24.0" customHeight="1">
      <c r="A571" s="233"/>
      <c r="B571" s="234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</row>
    <row r="572" ht="24.0" customHeight="1">
      <c r="A572" s="233"/>
      <c r="B572" s="234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</row>
    <row r="573" ht="24.0" customHeight="1">
      <c r="A573" s="233"/>
      <c r="B573" s="234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</row>
    <row r="574" ht="24.0" customHeight="1">
      <c r="A574" s="233"/>
      <c r="B574" s="234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</row>
    <row r="575" ht="24.0" customHeight="1">
      <c r="A575" s="233"/>
      <c r="B575" s="234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</row>
    <row r="576" ht="24.0" customHeight="1">
      <c r="A576" s="233"/>
      <c r="B576" s="234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</row>
    <row r="577" ht="24.0" customHeight="1">
      <c r="A577" s="233"/>
      <c r="B577" s="234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</row>
    <row r="578" ht="24.0" customHeight="1">
      <c r="A578" s="233"/>
      <c r="B578" s="234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</row>
    <row r="579" ht="24.0" customHeight="1">
      <c r="A579" s="233"/>
      <c r="B579" s="234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</row>
    <row r="580" ht="24.0" customHeight="1">
      <c r="A580" s="233"/>
      <c r="B580" s="234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</row>
    <row r="581" ht="24.0" customHeight="1">
      <c r="A581" s="233"/>
      <c r="B581" s="234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</row>
    <row r="582" ht="24.0" customHeight="1">
      <c r="A582" s="233"/>
      <c r="B582" s="234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</row>
    <row r="583" ht="24.0" customHeight="1">
      <c r="A583" s="233"/>
      <c r="B583" s="234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</row>
    <row r="584" ht="24.0" customHeight="1">
      <c r="A584" s="233"/>
      <c r="B584" s="234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</row>
    <row r="585" ht="24.0" customHeight="1">
      <c r="A585" s="233"/>
      <c r="B585" s="234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</row>
    <row r="586" ht="24.0" customHeight="1">
      <c r="A586" s="233"/>
      <c r="B586" s="234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</row>
    <row r="587" ht="24.0" customHeight="1">
      <c r="A587" s="233"/>
      <c r="B587" s="234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</row>
    <row r="588" ht="24.0" customHeight="1">
      <c r="A588" s="233"/>
      <c r="B588" s="234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</row>
    <row r="589" ht="24.0" customHeight="1">
      <c r="A589" s="233"/>
      <c r="B589" s="234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</row>
    <row r="590" ht="24.0" customHeight="1">
      <c r="A590" s="233"/>
      <c r="B590" s="234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</row>
    <row r="591" ht="24.0" customHeight="1">
      <c r="A591" s="233"/>
      <c r="B591" s="234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</row>
    <row r="592" ht="24.0" customHeight="1">
      <c r="A592" s="233"/>
      <c r="B592" s="234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</row>
    <row r="593" ht="24.0" customHeight="1">
      <c r="A593" s="233"/>
      <c r="B593" s="234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</row>
    <row r="594" ht="24.0" customHeight="1">
      <c r="A594" s="233"/>
      <c r="B594" s="234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</row>
    <row r="595" ht="24.0" customHeight="1">
      <c r="A595" s="233"/>
      <c r="B595" s="234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</row>
    <row r="596" ht="24.0" customHeight="1">
      <c r="A596" s="233"/>
      <c r="B596" s="234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</row>
    <row r="597" ht="24.0" customHeight="1">
      <c r="A597" s="233"/>
      <c r="B597" s="234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</row>
    <row r="598" ht="24.0" customHeight="1">
      <c r="A598" s="233"/>
      <c r="B598" s="234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</row>
    <row r="599" ht="24.0" customHeight="1">
      <c r="A599" s="233"/>
      <c r="B599" s="234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</row>
    <row r="600" ht="24.0" customHeight="1">
      <c r="A600" s="233"/>
      <c r="B600" s="234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</row>
    <row r="601" ht="24.0" customHeight="1">
      <c r="A601" s="233"/>
      <c r="B601" s="234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</row>
    <row r="602" ht="24.0" customHeight="1">
      <c r="A602" s="233"/>
      <c r="B602" s="234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</row>
    <row r="603" ht="24.0" customHeight="1">
      <c r="A603" s="233"/>
      <c r="B603" s="234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</row>
    <row r="604" ht="24.0" customHeight="1">
      <c r="A604" s="233"/>
      <c r="B604" s="234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</row>
    <row r="605" ht="24.0" customHeight="1">
      <c r="A605" s="233"/>
      <c r="B605" s="234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</row>
    <row r="606" ht="24.0" customHeight="1">
      <c r="A606" s="233"/>
      <c r="B606" s="234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</row>
    <row r="607" ht="24.0" customHeight="1">
      <c r="A607" s="233"/>
      <c r="B607" s="234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</row>
    <row r="608" ht="24.0" customHeight="1">
      <c r="A608" s="233"/>
      <c r="B608" s="234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</row>
    <row r="609" ht="24.0" customHeight="1">
      <c r="A609" s="233"/>
      <c r="B609" s="234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</row>
    <row r="610" ht="24.0" customHeight="1">
      <c r="A610" s="233"/>
      <c r="B610" s="234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</row>
    <row r="611" ht="24.0" customHeight="1">
      <c r="A611" s="233"/>
      <c r="B611" s="234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</row>
    <row r="612" ht="24.0" customHeight="1">
      <c r="A612" s="233"/>
      <c r="B612" s="234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</row>
    <row r="613" ht="24.0" customHeight="1">
      <c r="A613" s="233"/>
      <c r="B613" s="234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</row>
    <row r="614" ht="24.0" customHeight="1">
      <c r="A614" s="233"/>
      <c r="B614" s="234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</row>
    <row r="615" ht="24.0" customHeight="1">
      <c r="A615" s="233"/>
      <c r="B615" s="234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</row>
    <row r="616" ht="24.0" customHeight="1">
      <c r="A616" s="233"/>
      <c r="B616" s="234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</row>
    <row r="617" ht="24.0" customHeight="1">
      <c r="A617" s="233"/>
      <c r="B617" s="234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</row>
    <row r="618" ht="24.0" customHeight="1">
      <c r="A618" s="233"/>
      <c r="B618" s="234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</row>
    <row r="619" ht="24.0" customHeight="1">
      <c r="A619" s="233"/>
      <c r="B619" s="234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</row>
    <row r="620" ht="24.0" customHeight="1">
      <c r="A620" s="233"/>
      <c r="B620" s="234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</row>
    <row r="621" ht="24.0" customHeight="1">
      <c r="A621" s="233"/>
      <c r="B621" s="234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</row>
    <row r="622" ht="24.0" customHeight="1">
      <c r="A622" s="233"/>
      <c r="B622" s="234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</row>
    <row r="623" ht="24.0" customHeight="1">
      <c r="A623" s="233"/>
      <c r="B623" s="234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</row>
    <row r="624" ht="24.0" customHeight="1">
      <c r="A624" s="233"/>
      <c r="B624" s="234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</row>
    <row r="625" ht="24.0" customHeight="1">
      <c r="A625" s="233"/>
      <c r="B625" s="234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</row>
    <row r="626" ht="24.0" customHeight="1">
      <c r="A626" s="233"/>
      <c r="B626" s="234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</row>
    <row r="627" ht="24.0" customHeight="1">
      <c r="A627" s="233"/>
      <c r="B627" s="234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</row>
    <row r="628" ht="24.0" customHeight="1">
      <c r="A628" s="233"/>
      <c r="B628" s="234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</row>
    <row r="629" ht="24.0" customHeight="1">
      <c r="A629" s="233"/>
      <c r="B629" s="234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</row>
    <row r="630" ht="24.0" customHeight="1">
      <c r="A630" s="233"/>
      <c r="B630" s="234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</row>
    <row r="631" ht="24.0" customHeight="1">
      <c r="A631" s="233"/>
      <c r="B631" s="234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</row>
    <row r="632" ht="24.0" customHeight="1">
      <c r="A632" s="233"/>
      <c r="B632" s="234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</row>
    <row r="633" ht="24.0" customHeight="1">
      <c r="A633" s="233"/>
      <c r="B633" s="234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</row>
    <row r="634" ht="24.0" customHeight="1">
      <c r="A634" s="233"/>
      <c r="B634" s="234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</row>
    <row r="635" ht="24.0" customHeight="1">
      <c r="A635" s="233"/>
      <c r="B635" s="234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</row>
    <row r="636" ht="24.0" customHeight="1">
      <c r="A636" s="233"/>
      <c r="B636" s="234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</row>
    <row r="637" ht="24.0" customHeight="1">
      <c r="A637" s="233"/>
      <c r="B637" s="234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</row>
    <row r="638" ht="24.0" customHeight="1">
      <c r="A638" s="233"/>
      <c r="B638" s="234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</row>
    <row r="639" ht="24.0" customHeight="1">
      <c r="A639" s="233"/>
      <c r="B639" s="234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</row>
    <row r="640" ht="24.0" customHeight="1">
      <c r="A640" s="233"/>
      <c r="B640" s="234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</row>
    <row r="641" ht="24.0" customHeight="1">
      <c r="A641" s="233"/>
      <c r="B641" s="234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</row>
    <row r="642" ht="24.0" customHeight="1">
      <c r="A642" s="233"/>
      <c r="B642" s="234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</row>
    <row r="643" ht="24.0" customHeight="1">
      <c r="A643" s="233"/>
      <c r="B643" s="234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</row>
    <row r="644" ht="24.0" customHeight="1">
      <c r="A644" s="233"/>
      <c r="B644" s="234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</row>
    <row r="645" ht="24.0" customHeight="1">
      <c r="A645" s="233"/>
      <c r="B645" s="234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</row>
    <row r="646" ht="24.0" customHeight="1">
      <c r="A646" s="233"/>
      <c r="B646" s="234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</row>
    <row r="647" ht="24.0" customHeight="1">
      <c r="A647" s="233"/>
      <c r="B647" s="234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</row>
    <row r="648" ht="24.0" customHeight="1">
      <c r="A648" s="233"/>
      <c r="B648" s="234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</row>
    <row r="649" ht="24.0" customHeight="1">
      <c r="A649" s="233"/>
      <c r="B649" s="234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</row>
    <row r="650" ht="24.0" customHeight="1">
      <c r="A650" s="233"/>
      <c r="B650" s="234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</row>
    <row r="651" ht="24.0" customHeight="1">
      <c r="A651" s="233"/>
      <c r="B651" s="234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</row>
    <row r="652" ht="24.0" customHeight="1">
      <c r="A652" s="233"/>
      <c r="B652" s="234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</row>
    <row r="653" ht="24.0" customHeight="1">
      <c r="A653" s="233"/>
      <c r="B653" s="234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</row>
    <row r="654" ht="24.0" customHeight="1">
      <c r="A654" s="233"/>
      <c r="B654" s="234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</row>
    <row r="655" ht="24.0" customHeight="1">
      <c r="A655" s="233"/>
      <c r="B655" s="234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</row>
    <row r="656" ht="24.0" customHeight="1">
      <c r="A656" s="233"/>
      <c r="B656" s="234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</row>
    <row r="657" ht="24.0" customHeight="1">
      <c r="A657" s="233"/>
      <c r="B657" s="234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</row>
    <row r="658" ht="24.0" customHeight="1">
      <c r="A658" s="233"/>
      <c r="B658" s="234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</row>
    <row r="659" ht="24.0" customHeight="1">
      <c r="A659" s="233"/>
      <c r="B659" s="234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</row>
    <row r="660" ht="24.0" customHeight="1">
      <c r="A660" s="233"/>
      <c r="B660" s="234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</row>
    <row r="661" ht="24.0" customHeight="1">
      <c r="A661" s="233"/>
      <c r="B661" s="234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</row>
    <row r="662" ht="24.0" customHeight="1">
      <c r="A662" s="233"/>
      <c r="B662" s="234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</row>
    <row r="663" ht="24.0" customHeight="1">
      <c r="A663" s="233"/>
      <c r="B663" s="234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</row>
    <row r="664" ht="24.0" customHeight="1">
      <c r="A664" s="233"/>
      <c r="B664" s="234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</row>
    <row r="665" ht="24.0" customHeight="1">
      <c r="A665" s="233"/>
      <c r="B665" s="234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</row>
    <row r="666" ht="24.0" customHeight="1">
      <c r="A666" s="233"/>
      <c r="B666" s="234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</row>
    <row r="667" ht="24.0" customHeight="1">
      <c r="A667" s="233"/>
      <c r="B667" s="234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</row>
    <row r="668" ht="24.0" customHeight="1">
      <c r="A668" s="233"/>
      <c r="B668" s="234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</row>
    <row r="669" ht="24.0" customHeight="1">
      <c r="A669" s="233"/>
      <c r="B669" s="234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</row>
    <row r="670" ht="24.0" customHeight="1">
      <c r="A670" s="233"/>
      <c r="B670" s="234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</row>
    <row r="671" ht="24.0" customHeight="1">
      <c r="A671" s="233"/>
      <c r="B671" s="234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</row>
    <row r="672" ht="24.0" customHeight="1">
      <c r="A672" s="233"/>
      <c r="B672" s="234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</row>
    <row r="673" ht="24.0" customHeight="1">
      <c r="A673" s="233"/>
      <c r="B673" s="234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</row>
    <row r="674" ht="24.0" customHeight="1">
      <c r="A674" s="233"/>
      <c r="B674" s="234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</row>
    <row r="675" ht="24.0" customHeight="1">
      <c r="A675" s="233"/>
      <c r="B675" s="234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</row>
    <row r="676" ht="24.0" customHeight="1">
      <c r="A676" s="233"/>
      <c r="B676" s="234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</row>
    <row r="677" ht="24.0" customHeight="1">
      <c r="A677" s="233"/>
      <c r="B677" s="234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</row>
    <row r="678" ht="24.0" customHeight="1">
      <c r="A678" s="233"/>
      <c r="B678" s="234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</row>
    <row r="679" ht="24.0" customHeight="1">
      <c r="A679" s="233"/>
      <c r="B679" s="234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</row>
    <row r="680" ht="24.0" customHeight="1">
      <c r="A680" s="233"/>
      <c r="B680" s="234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</row>
    <row r="681" ht="24.0" customHeight="1">
      <c r="A681" s="233"/>
      <c r="B681" s="234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</row>
    <row r="682" ht="24.0" customHeight="1">
      <c r="A682" s="233"/>
      <c r="B682" s="234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</row>
    <row r="683" ht="24.0" customHeight="1">
      <c r="A683" s="233"/>
      <c r="B683" s="234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</row>
    <row r="684" ht="24.0" customHeight="1">
      <c r="A684" s="233"/>
      <c r="B684" s="234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</row>
    <row r="685" ht="24.0" customHeight="1">
      <c r="A685" s="233"/>
      <c r="B685" s="234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</row>
    <row r="686" ht="24.0" customHeight="1">
      <c r="A686" s="233"/>
      <c r="B686" s="234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</row>
    <row r="687" ht="24.0" customHeight="1">
      <c r="A687" s="233"/>
      <c r="B687" s="234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</row>
    <row r="688" ht="24.0" customHeight="1">
      <c r="A688" s="233"/>
      <c r="B688" s="234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</row>
    <row r="689" ht="24.0" customHeight="1">
      <c r="A689" s="233"/>
      <c r="B689" s="234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</row>
    <row r="690" ht="24.0" customHeight="1">
      <c r="A690" s="233"/>
      <c r="B690" s="234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</row>
    <row r="691" ht="24.0" customHeight="1">
      <c r="A691" s="233"/>
      <c r="B691" s="234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</row>
    <row r="692" ht="24.0" customHeight="1">
      <c r="A692" s="233"/>
      <c r="B692" s="234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</row>
    <row r="693" ht="24.0" customHeight="1">
      <c r="A693" s="233"/>
      <c r="B693" s="234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</row>
    <row r="694" ht="24.0" customHeight="1">
      <c r="A694" s="233"/>
      <c r="B694" s="234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</row>
    <row r="695" ht="24.0" customHeight="1">
      <c r="A695" s="233"/>
      <c r="B695" s="234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</row>
    <row r="696" ht="24.0" customHeight="1">
      <c r="A696" s="233"/>
      <c r="B696" s="234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</row>
    <row r="697" ht="24.0" customHeight="1">
      <c r="A697" s="233"/>
      <c r="B697" s="234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</row>
    <row r="698" ht="24.0" customHeight="1">
      <c r="A698" s="233"/>
      <c r="B698" s="234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</row>
    <row r="699" ht="24.0" customHeight="1">
      <c r="A699" s="233"/>
      <c r="B699" s="234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</row>
    <row r="700" ht="24.0" customHeight="1">
      <c r="A700" s="233"/>
      <c r="B700" s="234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</row>
    <row r="701" ht="24.0" customHeight="1">
      <c r="A701" s="233"/>
      <c r="B701" s="234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</row>
    <row r="702" ht="24.0" customHeight="1">
      <c r="A702" s="233"/>
      <c r="B702" s="234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</row>
    <row r="703" ht="24.0" customHeight="1">
      <c r="A703" s="233"/>
      <c r="B703" s="234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</row>
    <row r="704" ht="24.0" customHeight="1">
      <c r="A704" s="233"/>
      <c r="B704" s="234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</row>
    <row r="705" ht="24.0" customHeight="1">
      <c r="A705" s="233"/>
      <c r="B705" s="234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</row>
    <row r="706" ht="24.0" customHeight="1">
      <c r="A706" s="233"/>
      <c r="B706" s="234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</row>
    <row r="707" ht="24.0" customHeight="1">
      <c r="A707" s="233"/>
      <c r="B707" s="234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</row>
    <row r="708" ht="24.0" customHeight="1">
      <c r="A708" s="233"/>
      <c r="B708" s="234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</row>
    <row r="709" ht="24.0" customHeight="1">
      <c r="A709" s="233"/>
      <c r="B709" s="234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</row>
    <row r="710" ht="24.0" customHeight="1">
      <c r="A710" s="233"/>
      <c r="B710" s="234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</row>
    <row r="711" ht="24.0" customHeight="1">
      <c r="A711" s="233"/>
      <c r="B711" s="234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</row>
    <row r="712" ht="24.0" customHeight="1">
      <c r="A712" s="233"/>
      <c r="B712" s="234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</row>
    <row r="713" ht="24.0" customHeight="1">
      <c r="A713" s="233"/>
      <c r="B713" s="234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</row>
    <row r="714" ht="24.0" customHeight="1">
      <c r="A714" s="233"/>
      <c r="B714" s="234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</row>
    <row r="715" ht="24.0" customHeight="1">
      <c r="A715" s="233"/>
      <c r="B715" s="234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</row>
    <row r="716" ht="24.0" customHeight="1">
      <c r="A716" s="233"/>
      <c r="B716" s="234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</row>
    <row r="717" ht="24.0" customHeight="1">
      <c r="A717" s="233"/>
      <c r="B717" s="234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</row>
    <row r="718" ht="24.0" customHeight="1">
      <c r="A718" s="233"/>
      <c r="B718" s="234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</row>
    <row r="719" ht="24.0" customHeight="1">
      <c r="A719" s="233"/>
      <c r="B719" s="234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</row>
    <row r="720" ht="24.0" customHeight="1">
      <c r="A720" s="233"/>
      <c r="B720" s="234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</row>
    <row r="721" ht="24.0" customHeight="1">
      <c r="A721" s="233"/>
      <c r="B721" s="234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</row>
    <row r="722" ht="24.0" customHeight="1">
      <c r="A722" s="233"/>
      <c r="B722" s="234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</row>
    <row r="723" ht="24.0" customHeight="1">
      <c r="A723" s="233"/>
      <c r="B723" s="234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</row>
    <row r="724" ht="24.0" customHeight="1">
      <c r="A724" s="233"/>
      <c r="B724" s="234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</row>
    <row r="725" ht="24.0" customHeight="1">
      <c r="A725" s="233"/>
      <c r="B725" s="234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</row>
    <row r="726" ht="24.0" customHeight="1">
      <c r="A726" s="233"/>
      <c r="B726" s="234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</row>
    <row r="727" ht="24.0" customHeight="1">
      <c r="A727" s="233"/>
      <c r="B727" s="234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</row>
    <row r="728" ht="24.0" customHeight="1">
      <c r="A728" s="233"/>
      <c r="B728" s="234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</row>
    <row r="729" ht="24.0" customHeight="1">
      <c r="A729" s="233"/>
      <c r="B729" s="234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</row>
    <row r="730" ht="24.0" customHeight="1">
      <c r="A730" s="233"/>
      <c r="B730" s="234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</row>
    <row r="731" ht="24.0" customHeight="1">
      <c r="A731" s="233"/>
      <c r="B731" s="234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</row>
    <row r="732" ht="24.0" customHeight="1">
      <c r="A732" s="233"/>
      <c r="B732" s="234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</row>
    <row r="733" ht="24.0" customHeight="1">
      <c r="A733" s="233"/>
      <c r="B733" s="234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</row>
    <row r="734" ht="24.0" customHeight="1">
      <c r="A734" s="233"/>
      <c r="B734" s="234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</row>
    <row r="735" ht="24.0" customHeight="1">
      <c r="A735" s="233"/>
      <c r="B735" s="234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</row>
    <row r="736" ht="24.0" customHeight="1">
      <c r="A736" s="233"/>
      <c r="B736" s="234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</row>
    <row r="737" ht="24.0" customHeight="1">
      <c r="A737" s="233"/>
      <c r="B737" s="234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</row>
    <row r="738" ht="24.0" customHeight="1">
      <c r="A738" s="233"/>
      <c r="B738" s="234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</row>
    <row r="739" ht="24.0" customHeight="1">
      <c r="A739" s="233"/>
      <c r="B739" s="234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</row>
    <row r="740" ht="24.0" customHeight="1">
      <c r="A740" s="233"/>
      <c r="B740" s="234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</row>
    <row r="741" ht="24.0" customHeight="1">
      <c r="A741" s="233"/>
      <c r="B741" s="234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</row>
    <row r="742" ht="24.0" customHeight="1">
      <c r="A742" s="233"/>
      <c r="B742" s="234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</row>
    <row r="743" ht="24.0" customHeight="1">
      <c r="A743" s="233"/>
      <c r="B743" s="234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</row>
    <row r="744" ht="24.0" customHeight="1">
      <c r="A744" s="233"/>
      <c r="B744" s="234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</row>
    <row r="745" ht="24.0" customHeight="1">
      <c r="A745" s="233"/>
      <c r="B745" s="234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</row>
    <row r="746" ht="24.0" customHeight="1">
      <c r="A746" s="233"/>
      <c r="B746" s="234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</row>
    <row r="747" ht="24.0" customHeight="1">
      <c r="A747" s="233"/>
      <c r="B747" s="234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</row>
    <row r="748" ht="24.0" customHeight="1">
      <c r="A748" s="233"/>
      <c r="B748" s="234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</row>
    <row r="749" ht="24.0" customHeight="1">
      <c r="A749" s="233"/>
      <c r="B749" s="234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</row>
    <row r="750" ht="24.0" customHeight="1">
      <c r="A750" s="233"/>
      <c r="B750" s="234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</row>
    <row r="751" ht="24.0" customHeight="1">
      <c r="A751" s="233"/>
      <c r="B751" s="234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</row>
    <row r="752" ht="24.0" customHeight="1">
      <c r="A752" s="233"/>
      <c r="B752" s="234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</row>
    <row r="753" ht="24.0" customHeight="1">
      <c r="A753" s="233"/>
      <c r="B753" s="234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</row>
    <row r="754" ht="24.0" customHeight="1">
      <c r="A754" s="233"/>
      <c r="B754" s="234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</row>
    <row r="755" ht="24.0" customHeight="1">
      <c r="A755" s="233"/>
      <c r="B755" s="234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</row>
    <row r="756" ht="24.0" customHeight="1">
      <c r="A756" s="233"/>
      <c r="B756" s="234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</row>
    <row r="757" ht="24.0" customHeight="1">
      <c r="A757" s="233"/>
      <c r="B757" s="234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</row>
    <row r="758" ht="24.0" customHeight="1">
      <c r="A758" s="233"/>
      <c r="B758" s="234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</row>
    <row r="759" ht="24.0" customHeight="1">
      <c r="A759" s="233"/>
      <c r="B759" s="234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</row>
    <row r="760" ht="24.0" customHeight="1">
      <c r="A760" s="233"/>
      <c r="B760" s="234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</row>
    <row r="761" ht="24.0" customHeight="1">
      <c r="A761" s="233"/>
      <c r="B761" s="234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</row>
    <row r="762" ht="24.0" customHeight="1">
      <c r="A762" s="233"/>
      <c r="B762" s="234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</row>
    <row r="763" ht="24.0" customHeight="1">
      <c r="A763" s="233"/>
      <c r="B763" s="234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</row>
    <row r="764" ht="24.0" customHeight="1">
      <c r="A764" s="233"/>
      <c r="B764" s="234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</row>
    <row r="765" ht="24.0" customHeight="1">
      <c r="A765" s="233"/>
      <c r="B765" s="234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</row>
    <row r="766" ht="24.0" customHeight="1">
      <c r="A766" s="233"/>
      <c r="B766" s="234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</row>
    <row r="767" ht="24.0" customHeight="1">
      <c r="A767" s="233"/>
      <c r="B767" s="234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</row>
    <row r="768" ht="24.0" customHeight="1">
      <c r="A768" s="233"/>
      <c r="B768" s="234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</row>
    <row r="769" ht="24.0" customHeight="1">
      <c r="A769" s="233"/>
      <c r="B769" s="234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</row>
    <row r="770" ht="24.0" customHeight="1">
      <c r="A770" s="233"/>
      <c r="B770" s="234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</row>
    <row r="771" ht="24.0" customHeight="1">
      <c r="A771" s="233"/>
      <c r="B771" s="234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</row>
    <row r="772" ht="24.0" customHeight="1">
      <c r="A772" s="233"/>
      <c r="B772" s="234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</row>
    <row r="773" ht="24.0" customHeight="1">
      <c r="A773" s="233"/>
      <c r="B773" s="234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</row>
    <row r="774" ht="24.0" customHeight="1">
      <c r="A774" s="233"/>
      <c r="B774" s="234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</row>
    <row r="775" ht="24.0" customHeight="1">
      <c r="A775" s="233"/>
      <c r="B775" s="234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</row>
    <row r="776" ht="24.0" customHeight="1">
      <c r="A776" s="233"/>
      <c r="B776" s="234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</row>
    <row r="777" ht="24.0" customHeight="1">
      <c r="A777" s="233"/>
      <c r="B777" s="234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</row>
    <row r="778" ht="24.0" customHeight="1">
      <c r="A778" s="233"/>
      <c r="B778" s="234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</row>
    <row r="779" ht="24.0" customHeight="1">
      <c r="A779" s="233"/>
      <c r="B779" s="234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</row>
    <row r="780" ht="24.0" customHeight="1">
      <c r="A780" s="233"/>
      <c r="B780" s="234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</row>
    <row r="781" ht="24.0" customHeight="1">
      <c r="A781" s="233"/>
      <c r="B781" s="234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</row>
    <row r="782" ht="24.0" customHeight="1">
      <c r="A782" s="233"/>
      <c r="B782" s="234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</row>
    <row r="783" ht="24.0" customHeight="1">
      <c r="A783" s="233"/>
      <c r="B783" s="234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</row>
    <row r="784" ht="24.0" customHeight="1">
      <c r="A784" s="233"/>
      <c r="B784" s="234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</row>
    <row r="785" ht="24.0" customHeight="1">
      <c r="A785" s="233"/>
      <c r="B785" s="234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</row>
    <row r="786" ht="24.0" customHeight="1">
      <c r="A786" s="233"/>
      <c r="B786" s="234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</row>
    <row r="787" ht="24.0" customHeight="1">
      <c r="A787" s="233"/>
      <c r="B787" s="234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</row>
    <row r="788" ht="24.0" customHeight="1">
      <c r="A788" s="233"/>
      <c r="B788" s="234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</row>
    <row r="789" ht="24.0" customHeight="1">
      <c r="A789" s="233"/>
      <c r="B789" s="234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</row>
    <row r="790" ht="24.0" customHeight="1">
      <c r="A790" s="233"/>
      <c r="B790" s="234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</row>
    <row r="791" ht="24.0" customHeight="1">
      <c r="A791" s="233"/>
      <c r="B791" s="234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</row>
    <row r="792" ht="24.0" customHeight="1">
      <c r="A792" s="233"/>
      <c r="B792" s="234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</row>
    <row r="793" ht="24.0" customHeight="1">
      <c r="A793" s="233"/>
      <c r="B793" s="234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</row>
    <row r="794" ht="24.0" customHeight="1">
      <c r="A794" s="233"/>
      <c r="B794" s="234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</row>
    <row r="795" ht="24.0" customHeight="1">
      <c r="A795" s="233"/>
      <c r="B795" s="234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</row>
    <row r="796" ht="24.0" customHeight="1">
      <c r="A796" s="233"/>
      <c r="B796" s="234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</row>
    <row r="797" ht="24.0" customHeight="1">
      <c r="A797" s="233"/>
      <c r="B797" s="234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</row>
    <row r="798" ht="24.0" customHeight="1">
      <c r="A798" s="233"/>
      <c r="B798" s="234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</row>
    <row r="799" ht="24.0" customHeight="1">
      <c r="A799" s="233"/>
      <c r="B799" s="234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</row>
    <row r="800" ht="24.0" customHeight="1">
      <c r="A800" s="233"/>
      <c r="B800" s="234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</row>
    <row r="801" ht="24.0" customHeight="1">
      <c r="A801" s="233"/>
      <c r="B801" s="234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</row>
    <row r="802" ht="24.0" customHeight="1">
      <c r="A802" s="233"/>
      <c r="B802" s="234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</row>
    <row r="803" ht="24.0" customHeight="1">
      <c r="A803" s="233"/>
      <c r="B803" s="234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</row>
    <row r="804" ht="24.0" customHeight="1">
      <c r="A804" s="233"/>
      <c r="B804" s="234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</row>
    <row r="805" ht="24.0" customHeight="1">
      <c r="A805" s="233"/>
      <c r="B805" s="234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</row>
    <row r="806" ht="24.0" customHeight="1">
      <c r="A806" s="233"/>
      <c r="B806" s="234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</row>
    <row r="807" ht="24.0" customHeight="1">
      <c r="A807" s="233"/>
      <c r="B807" s="234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</row>
    <row r="808" ht="24.0" customHeight="1">
      <c r="A808" s="233"/>
      <c r="B808" s="234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</row>
    <row r="809" ht="24.0" customHeight="1">
      <c r="A809" s="233"/>
      <c r="B809" s="234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</row>
    <row r="810" ht="24.0" customHeight="1">
      <c r="A810" s="233"/>
      <c r="B810" s="234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</row>
    <row r="811" ht="24.0" customHeight="1">
      <c r="A811" s="233"/>
      <c r="B811" s="234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</row>
    <row r="812" ht="24.0" customHeight="1">
      <c r="A812" s="233"/>
      <c r="B812" s="234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</row>
    <row r="813" ht="24.0" customHeight="1">
      <c r="A813" s="233"/>
      <c r="B813" s="234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</row>
    <row r="814" ht="24.0" customHeight="1">
      <c r="A814" s="233"/>
      <c r="B814" s="234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</row>
    <row r="815" ht="24.0" customHeight="1">
      <c r="A815" s="233"/>
      <c r="B815" s="234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</row>
    <row r="816" ht="24.0" customHeight="1">
      <c r="A816" s="233"/>
      <c r="B816" s="234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</row>
    <row r="817" ht="24.0" customHeight="1">
      <c r="A817" s="233"/>
      <c r="B817" s="234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</row>
    <row r="818" ht="24.0" customHeight="1">
      <c r="A818" s="233"/>
      <c r="B818" s="234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</row>
    <row r="819" ht="24.0" customHeight="1">
      <c r="A819" s="233"/>
      <c r="B819" s="234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</row>
    <row r="820" ht="24.0" customHeight="1">
      <c r="A820" s="233"/>
      <c r="B820" s="234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</row>
    <row r="821" ht="24.0" customHeight="1">
      <c r="A821" s="233"/>
      <c r="B821" s="234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</row>
    <row r="822" ht="24.0" customHeight="1">
      <c r="A822" s="233"/>
      <c r="B822" s="234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</row>
    <row r="823" ht="24.0" customHeight="1">
      <c r="A823" s="233"/>
      <c r="B823" s="234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</row>
    <row r="824" ht="24.0" customHeight="1">
      <c r="A824" s="233"/>
      <c r="B824" s="234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</row>
    <row r="825" ht="24.0" customHeight="1">
      <c r="A825" s="233"/>
      <c r="B825" s="234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</row>
    <row r="826" ht="24.0" customHeight="1">
      <c r="A826" s="233"/>
      <c r="B826" s="234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</row>
    <row r="827" ht="24.0" customHeight="1">
      <c r="A827" s="233"/>
      <c r="B827" s="234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</row>
    <row r="828" ht="24.0" customHeight="1">
      <c r="A828" s="233"/>
      <c r="B828" s="234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</row>
    <row r="829" ht="24.0" customHeight="1">
      <c r="A829" s="233"/>
      <c r="B829" s="234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</row>
    <row r="830" ht="24.0" customHeight="1">
      <c r="A830" s="233"/>
      <c r="B830" s="234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</row>
    <row r="831" ht="24.0" customHeight="1">
      <c r="A831" s="233"/>
      <c r="B831" s="234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</row>
    <row r="832" ht="24.0" customHeight="1">
      <c r="A832" s="233"/>
      <c r="B832" s="234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</row>
    <row r="833" ht="24.0" customHeight="1">
      <c r="A833" s="233"/>
      <c r="B833" s="234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</row>
    <row r="834" ht="24.0" customHeight="1">
      <c r="A834" s="233"/>
      <c r="B834" s="234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</row>
    <row r="835" ht="24.0" customHeight="1">
      <c r="A835" s="233"/>
      <c r="B835" s="234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</row>
    <row r="836" ht="24.0" customHeight="1">
      <c r="A836" s="233"/>
      <c r="B836" s="234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</row>
    <row r="837" ht="24.0" customHeight="1">
      <c r="A837" s="233"/>
      <c r="B837" s="234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</row>
    <row r="838" ht="24.0" customHeight="1">
      <c r="A838" s="233"/>
      <c r="B838" s="234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</row>
    <row r="839" ht="24.0" customHeight="1">
      <c r="A839" s="233"/>
      <c r="B839" s="234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</row>
    <row r="840" ht="24.0" customHeight="1">
      <c r="A840" s="233"/>
      <c r="B840" s="234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</row>
    <row r="841" ht="24.0" customHeight="1">
      <c r="A841" s="233"/>
      <c r="B841" s="234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</row>
    <row r="842" ht="24.0" customHeight="1">
      <c r="A842" s="233"/>
      <c r="B842" s="234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</row>
    <row r="843" ht="24.0" customHeight="1">
      <c r="A843" s="233"/>
      <c r="B843" s="234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</row>
    <row r="844" ht="24.0" customHeight="1">
      <c r="A844" s="233"/>
      <c r="B844" s="234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</row>
    <row r="845" ht="24.0" customHeight="1">
      <c r="A845" s="233"/>
      <c r="B845" s="234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</row>
    <row r="846" ht="24.0" customHeight="1">
      <c r="A846" s="233"/>
      <c r="B846" s="234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</row>
    <row r="847" ht="24.0" customHeight="1">
      <c r="A847" s="233"/>
      <c r="B847" s="234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</row>
    <row r="848" ht="24.0" customHeight="1">
      <c r="A848" s="233"/>
      <c r="B848" s="234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</row>
    <row r="849" ht="24.0" customHeight="1">
      <c r="A849" s="233"/>
      <c r="B849" s="234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</row>
    <row r="850" ht="24.0" customHeight="1">
      <c r="A850" s="233"/>
      <c r="B850" s="234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</row>
    <row r="851" ht="24.0" customHeight="1">
      <c r="A851" s="233"/>
      <c r="B851" s="234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</row>
    <row r="852" ht="24.0" customHeight="1">
      <c r="A852" s="233"/>
      <c r="B852" s="234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</row>
    <row r="853" ht="24.0" customHeight="1">
      <c r="A853" s="233"/>
      <c r="B853" s="234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</row>
    <row r="854" ht="24.0" customHeight="1">
      <c r="A854" s="233"/>
      <c r="B854" s="234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</row>
    <row r="855" ht="24.0" customHeight="1">
      <c r="A855" s="233"/>
      <c r="B855" s="234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</row>
    <row r="856" ht="24.0" customHeight="1">
      <c r="A856" s="233"/>
      <c r="B856" s="234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</row>
    <row r="857" ht="24.0" customHeight="1">
      <c r="A857" s="233"/>
      <c r="B857" s="234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</row>
    <row r="858" ht="24.0" customHeight="1">
      <c r="A858" s="233"/>
      <c r="B858" s="234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</row>
    <row r="859" ht="24.0" customHeight="1">
      <c r="A859" s="233"/>
      <c r="B859" s="234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</row>
    <row r="860" ht="24.0" customHeight="1">
      <c r="A860" s="233"/>
      <c r="B860" s="234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</row>
    <row r="861" ht="24.0" customHeight="1">
      <c r="A861" s="233"/>
      <c r="B861" s="234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</row>
    <row r="862" ht="24.0" customHeight="1">
      <c r="A862" s="233"/>
      <c r="B862" s="234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</row>
    <row r="863" ht="24.0" customHeight="1">
      <c r="A863" s="233"/>
      <c r="B863" s="234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</row>
    <row r="864" ht="24.0" customHeight="1">
      <c r="A864" s="233"/>
      <c r="B864" s="234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</row>
    <row r="865" ht="24.0" customHeight="1">
      <c r="A865" s="233"/>
      <c r="B865" s="234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</row>
    <row r="866" ht="24.0" customHeight="1">
      <c r="A866" s="233"/>
      <c r="B866" s="234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</row>
    <row r="867" ht="24.0" customHeight="1">
      <c r="A867" s="233"/>
      <c r="B867" s="234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</row>
    <row r="868" ht="24.0" customHeight="1">
      <c r="A868" s="233"/>
      <c r="B868" s="234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</row>
    <row r="869" ht="24.0" customHeight="1">
      <c r="A869" s="233"/>
      <c r="B869" s="234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</row>
    <row r="870" ht="24.0" customHeight="1">
      <c r="A870" s="233"/>
      <c r="B870" s="234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</row>
    <row r="871" ht="24.0" customHeight="1">
      <c r="A871" s="233"/>
      <c r="B871" s="234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</row>
    <row r="872" ht="24.0" customHeight="1">
      <c r="A872" s="233"/>
      <c r="B872" s="234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</row>
    <row r="873" ht="24.0" customHeight="1">
      <c r="A873" s="233"/>
      <c r="B873" s="234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</row>
    <row r="874" ht="24.0" customHeight="1">
      <c r="A874" s="233"/>
      <c r="B874" s="234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</row>
    <row r="875" ht="24.0" customHeight="1">
      <c r="A875" s="233"/>
      <c r="B875" s="234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</row>
    <row r="876" ht="24.0" customHeight="1">
      <c r="A876" s="233"/>
      <c r="B876" s="234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</row>
    <row r="877" ht="24.0" customHeight="1">
      <c r="A877" s="233"/>
      <c r="B877" s="234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</row>
    <row r="878" ht="24.0" customHeight="1">
      <c r="A878" s="233"/>
      <c r="B878" s="234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</row>
    <row r="879" ht="24.0" customHeight="1">
      <c r="A879" s="233"/>
      <c r="B879" s="234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</row>
    <row r="880" ht="24.0" customHeight="1">
      <c r="A880" s="233"/>
      <c r="B880" s="234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</row>
    <row r="881" ht="24.0" customHeight="1">
      <c r="A881" s="233"/>
      <c r="B881" s="234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</row>
    <row r="882" ht="24.0" customHeight="1">
      <c r="A882" s="233"/>
      <c r="B882" s="234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</row>
    <row r="883" ht="24.0" customHeight="1">
      <c r="A883" s="233"/>
      <c r="B883" s="234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</row>
    <row r="884" ht="24.0" customHeight="1">
      <c r="A884" s="233"/>
      <c r="B884" s="234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</row>
    <row r="885" ht="24.0" customHeight="1">
      <c r="A885" s="233"/>
      <c r="B885" s="234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</row>
    <row r="886" ht="24.0" customHeight="1">
      <c r="A886" s="233"/>
      <c r="B886" s="234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</row>
    <row r="887" ht="24.0" customHeight="1">
      <c r="A887" s="233"/>
      <c r="B887" s="234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</row>
    <row r="888" ht="24.0" customHeight="1">
      <c r="A888" s="233"/>
      <c r="B888" s="234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</row>
    <row r="889" ht="24.0" customHeight="1">
      <c r="A889" s="233"/>
      <c r="B889" s="234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</row>
    <row r="890" ht="24.0" customHeight="1">
      <c r="A890" s="233"/>
      <c r="B890" s="234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</row>
    <row r="891" ht="24.0" customHeight="1">
      <c r="A891" s="233"/>
      <c r="B891" s="234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</row>
    <row r="892" ht="24.0" customHeight="1">
      <c r="A892" s="233"/>
      <c r="B892" s="234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</row>
    <row r="893" ht="24.0" customHeight="1">
      <c r="A893" s="233"/>
      <c r="B893" s="234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</row>
    <row r="894" ht="24.0" customHeight="1">
      <c r="A894" s="233"/>
      <c r="B894" s="234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</row>
    <row r="895" ht="24.0" customHeight="1">
      <c r="A895" s="233"/>
      <c r="B895" s="234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</row>
    <row r="896" ht="24.0" customHeight="1">
      <c r="A896" s="233"/>
      <c r="B896" s="234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</row>
    <row r="897" ht="24.0" customHeight="1">
      <c r="A897" s="233"/>
      <c r="B897" s="234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</row>
    <row r="898" ht="24.0" customHeight="1">
      <c r="A898" s="233"/>
      <c r="B898" s="234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</row>
    <row r="899" ht="24.0" customHeight="1">
      <c r="A899" s="233"/>
      <c r="B899" s="234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</row>
    <row r="900" ht="24.0" customHeight="1">
      <c r="A900" s="233"/>
      <c r="B900" s="234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</row>
    <row r="901" ht="24.0" customHeight="1">
      <c r="A901" s="233"/>
      <c r="B901" s="234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</row>
    <row r="902" ht="24.0" customHeight="1">
      <c r="A902" s="233"/>
      <c r="B902" s="234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</row>
    <row r="903" ht="24.0" customHeight="1">
      <c r="A903" s="233"/>
      <c r="B903" s="234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</row>
    <row r="904" ht="24.0" customHeight="1">
      <c r="A904" s="233"/>
      <c r="B904" s="234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</row>
    <row r="905" ht="24.0" customHeight="1">
      <c r="A905" s="233"/>
      <c r="B905" s="234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</row>
    <row r="906" ht="24.0" customHeight="1">
      <c r="A906" s="233"/>
      <c r="B906" s="234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</row>
    <row r="907" ht="24.0" customHeight="1">
      <c r="A907" s="233"/>
      <c r="B907" s="234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</row>
    <row r="908" ht="24.0" customHeight="1">
      <c r="A908" s="233"/>
      <c r="B908" s="234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</row>
    <row r="909" ht="24.0" customHeight="1">
      <c r="A909" s="233"/>
      <c r="B909" s="234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</row>
    <row r="910" ht="24.0" customHeight="1">
      <c r="A910" s="233"/>
      <c r="B910" s="234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</row>
    <row r="911" ht="24.0" customHeight="1">
      <c r="A911" s="233"/>
      <c r="B911" s="234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</row>
    <row r="912" ht="24.0" customHeight="1">
      <c r="A912" s="233"/>
      <c r="B912" s="234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</row>
    <row r="913" ht="24.0" customHeight="1">
      <c r="A913" s="233"/>
      <c r="B913" s="234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</row>
    <row r="914" ht="24.0" customHeight="1">
      <c r="A914" s="233"/>
      <c r="B914" s="234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</row>
    <row r="915" ht="24.0" customHeight="1">
      <c r="A915" s="233"/>
      <c r="B915" s="234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</row>
    <row r="916" ht="24.0" customHeight="1">
      <c r="A916" s="233"/>
      <c r="B916" s="234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</row>
    <row r="917" ht="24.0" customHeight="1">
      <c r="A917" s="233"/>
      <c r="B917" s="234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</row>
    <row r="918" ht="24.0" customHeight="1">
      <c r="A918" s="233"/>
      <c r="B918" s="234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</row>
    <row r="919" ht="24.0" customHeight="1">
      <c r="A919" s="233"/>
      <c r="B919" s="234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</row>
    <row r="920" ht="24.0" customHeight="1">
      <c r="A920" s="233"/>
      <c r="B920" s="234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</row>
    <row r="921" ht="24.0" customHeight="1">
      <c r="A921" s="233"/>
      <c r="B921" s="234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</row>
    <row r="922" ht="24.0" customHeight="1">
      <c r="A922" s="233"/>
      <c r="B922" s="234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</row>
    <row r="923" ht="24.0" customHeight="1">
      <c r="A923" s="233"/>
      <c r="B923" s="234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</row>
    <row r="924" ht="24.0" customHeight="1">
      <c r="A924" s="233"/>
      <c r="B924" s="234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</row>
    <row r="925" ht="24.0" customHeight="1">
      <c r="A925" s="233"/>
      <c r="B925" s="234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</row>
    <row r="926" ht="24.0" customHeight="1">
      <c r="A926" s="233"/>
      <c r="B926" s="234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</row>
    <row r="927" ht="24.0" customHeight="1">
      <c r="A927" s="233"/>
      <c r="B927" s="234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</row>
    <row r="928" ht="24.0" customHeight="1">
      <c r="A928" s="233"/>
      <c r="B928" s="234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</row>
    <row r="929" ht="24.0" customHeight="1">
      <c r="A929" s="233"/>
      <c r="B929" s="234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</row>
    <row r="930" ht="24.0" customHeight="1">
      <c r="A930" s="233"/>
      <c r="B930" s="234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</row>
    <row r="931" ht="24.0" customHeight="1">
      <c r="A931" s="233"/>
      <c r="B931" s="234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</row>
    <row r="932" ht="24.0" customHeight="1">
      <c r="A932" s="233"/>
      <c r="B932" s="234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</row>
    <row r="933" ht="24.0" customHeight="1">
      <c r="A933" s="233"/>
      <c r="B933" s="234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</row>
    <row r="934" ht="24.0" customHeight="1">
      <c r="A934" s="233"/>
      <c r="B934" s="234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</row>
    <row r="935" ht="24.0" customHeight="1">
      <c r="A935" s="233"/>
      <c r="B935" s="234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</row>
    <row r="936" ht="24.0" customHeight="1">
      <c r="A936" s="233"/>
      <c r="B936" s="234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</row>
    <row r="937" ht="24.0" customHeight="1">
      <c r="A937" s="233"/>
      <c r="B937" s="234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</row>
    <row r="938" ht="24.0" customHeight="1">
      <c r="A938" s="233"/>
      <c r="B938" s="234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</row>
    <row r="939" ht="24.0" customHeight="1">
      <c r="A939" s="233"/>
      <c r="B939" s="234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</row>
    <row r="940" ht="24.0" customHeight="1">
      <c r="A940" s="233"/>
      <c r="B940" s="234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</row>
    <row r="941" ht="24.0" customHeight="1">
      <c r="A941" s="233"/>
      <c r="B941" s="234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</row>
    <row r="942" ht="24.0" customHeight="1">
      <c r="A942" s="233"/>
      <c r="B942" s="234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</row>
    <row r="943" ht="24.0" customHeight="1">
      <c r="A943" s="233"/>
      <c r="B943" s="234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</row>
    <row r="944" ht="24.0" customHeight="1">
      <c r="A944" s="233"/>
      <c r="B944" s="234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</row>
    <row r="945" ht="24.0" customHeight="1">
      <c r="A945" s="233"/>
      <c r="B945" s="234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</row>
    <row r="946" ht="24.0" customHeight="1">
      <c r="A946" s="233"/>
      <c r="B946" s="234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</row>
    <row r="947" ht="24.0" customHeight="1">
      <c r="A947" s="233"/>
      <c r="B947" s="234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</row>
    <row r="948" ht="24.0" customHeight="1">
      <c r="A948" s="233"/>
      <c r="B948" s="234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</row>
    <row r="949" ht="24.0" customHeight="1">
      <c r="A949" s="233"/>
      <c r="B949" s="234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</row>
    <row r="950" ht="24.0" customHeight="1">
      <c r="A950" s="233"/>
      <c r="B950" s="234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</row>
    <row r="951" ht="24.0" customHeight="1">
      <c r="A951" s="233"/>
      <c r="B951" s="234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</row>
    <row r="952" ht="24.0" customHeight="1">
      <c r="A952" s="233"/>
      <c r="B952" s="234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</row>
    <row r="953" ht="24.0" customHeight="1">
      <c r="A953" s="233"/>
      <c r="B953" s="234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</row>
    <row r="954" ht="24.0" customHeight="1">
      <c r="A954" s="233"/>
      <c r="B954" s="234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</row>
    <row r="955" ht="24.0" customHeight="1">
      <c r="A955" s="233"/>
      <c r="B955" s="234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</row>
    <row r="956" ht="24.0" customHeight="1">
      <c r="A956" s="233"/>
      <c r="B956" s="234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</row>
    <row r="957" ht="24.0" customHeight="1">
      <c r="A957" s="233"/>
      <c r="B957" s="234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</row>
    <row r="958" ht="24.0" customHeight="1">
      <c r="A958" s="233"/>
      <c r="B958" s="234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</row>
    <row r="959" ht="24.0" customHeight="1">
      <c r="A959" s="233"/>
      <c r="B959" s="234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</row>
    <row r="960" ht="24.0" customHeight="1">
      <c r="A960" s="233"/>
      <c r="B960" s="234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</row>
    <row r="961" ht="24.0" customHeight="1">
      <c r="A961" s="233"/>
      <c r="B961" s="234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</row>
    <row r="962" ht="24.0" customHeight="1">
      <c r="A962" s="233"/>
      <c r="B962" s="234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</row>
    <row r="963" ht="24.0" customHeight="1">
      <c r="A963" s="233"/>
      <c r="B963" s="234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</row>
    <row r="964" ht="24.0" customHeight="1">
      <c r="A964" s="233"/>
      <c r="B964" s="234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</row>
    <row r="965" ht="24.0" customHeight="1">
      <c r="A965" s="233"/>
      <c r="B965" s="234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</row>
    <row r="966" ht="24.0" customHeight="1">
      <c r="A966" s="233"/>
      <c r="B966" s="234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</row>
    <row r="967" ht="24.0" customHeight="1">
      <c r="A967" s="233"/>
      <c r="B967" s="234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</row>
    <row r="968" ht="24.0" customHeight="1">
      <c r="A968" s="233"/>
      <c r="B968" s="234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</row>
    <row r="969" ht="24.0" customHeight="1">
      <c r="A969" s="233"/>
      <c r="B969" s="234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</row>
    <row r="970" ht="24.0" customHeight="1">
      <c r="A970" s="233"/>
      <c r="B970" s="234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</row>
    <row r="971" ht="24.0" customHeight="1">
      <c r="A971" s="233"/>
      <c r="B971" s="234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</row>
    <row r="972" ht="24.0" customHeight="1">
      <c r="A972" s="233"/>
      <c r="B972" s="234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</row>
    <row r="973" ht="24.0" customHeight="1">
      <c r="A973" s="233"/>
      <c r="B973" s="234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</row>
    <row r="974" ht="24.0" customHeight="1">
      <c r="A974" s="233"/>
      <c r="B974" s="234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</row>
    <row r="975" ht="24.0" customHeight="1">
      <c r="A975" s="233"/>
      <c r="B975" s="234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</row>
    <row r="976" ht="24.0" customHeight="1">
      <c r="A976" s="233"/>
      <c r="B976" s="234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</row>
    <row r="977" ht="24.0" customHeight="1">
      <c r="A977" s="233"/>
      <c r="B977" s="234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</row>
    <row r="978" ht="24.0" customHeight="1">
      <c r="A978" s="233"/>
      <c r="B978" s="234"/>
      <c r="C978" s="233"/>
      <c r="D978" s="233"/>
      <c r="E978" s="233"/>
      <c r="F978" s="233"/>
      <c r="G978" s="233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</row>
    <row r="979" ht="24.0" customHeight="1">
      <c r="A979" s="233"/>
      <c r="B979" s="234"/>
      <c r="C979" s="233"/>
      <c r="D979" s="233"/>
      <c r="E979" s="233"/>
      <c r="F979" s="233"/>
      <c r="G979" s="233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</row>
    <row r="980" ht="24.0" customHeight="1">
      <c r="A980" s="233"/>
      <c r="B980" s="234"/>
      <c r="C980" s="233"/>
      <c r="D980" s="233"/>
      <c r="E980" s="233"/>
      <c r="F980" s="233"/>
      <c r="G980" s="233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</row>
    <row r="981" ht="24.0" customHeight="1">
      <c r="A981" s="233"/>
      <c r="B981" s="234"/>
      <c r="C981" s="233"/>
      <c r="D981" s="233"/>
      <c r="E981" s="233"/>
      <c r="F981" s="233"/>
      <c r="G981" s="233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</row>
    <row r="982" ht="24.0" customHeight="1">
      <c r="A982" s="233"/>
      <c r="B982" s="234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</row>
    <row r="983" ht="24.0" customHeight="1">
      <c r="A983" s="233"/>
      <c r="B983" s="234"/>
      <c r="C983" s="233"/>
      <c r="D983" s="233"/>
      <c r="E983" s="233"/>
      <c r="F983" s="233"/>
      <c r="G983" s="233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</row>
    <row r="984" ht="24.0" customHeight="1">
      <c r="A984" s="233"/>
      <c r="B984" s="234"/>
      <c r="C984" s="233"/>
      <c r="D984" s="233"/>
      <c r="E984" s="233"/>
      <c r="F984" s="233"/>
      <c r="G984" s="233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</row>
    <row r="985" ht="24.0" customHeight="1">
      <c r="A985" s="233"/>
      <c r="B985" s="234"/>
      <c r="C985" s="233"/>
      <c r="D985" s="233"/>
      <c r="E985" s="233"/>
      <c r="F985" s="233"/>
      <c r="G985" s="233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</row>
    <row r="986" ht="24.0" customHeight="1">
      <c r="A986" s="233"/>
      <c r="B986" s="234"/>
      <c r="C986" s="233"/>
      <c r="D986" s="233"/>
      <c r="E986" s="233"/>
      <c r="F986" s="233"/>
      <c r="G986" s="233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</row>
    <row r="987" ht="24.0" customHeight="1">
      <c r="A987" s="233"/>
      <c r="B987" s="234"/>
      <c r="C987" s="233"/>
      <c r="D987" s="233"/>
      <c r="E987" s="233"/>
      <c r="F987" s="233"/>
      <c r="G987" s="233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</row>
    <row r="988" ht="24.0" customHeight="1">
      <c r="A988" s="233"/>
      <c r="B988" s="234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</row>
    <row r="989" ht="24.0" customHeight="1">
      <c r="A989" s="233"/>
      <c r="B989" s="234"/>
      <c r="C989" s="233"/>
      <c r="D989" s="233"/>
      <c r="E989" s="233"/>
      <c r="F989" s="233"/>
      <c r="G989" s="233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</row>
    <row r="990" ht="24.0" customHeight="1">
      <c r="A990" s="233"/>
      <c r="B990" s="234"/>
      <c r="C990" s="233"/>
      <c r="D990" s="233"/>
      <c r="E990" s="233"/>
      <c r="F990" s="233"/>
      <c r="G990" s="233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</row>
    <row r="991" ht="24.0" customHeight="1">
      <c r="A991" s="233"/>
      <c r="B991" s="234"/>
      <c r="C991" s="233"/>
      <c r="D991" s="233"/>
      <c r="E991" s="233"/>
      <c r="F991" s="233"/>
      <c r="G991" s="233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</row>
    <row r="992" ht="24.0" customHeight="1">
      <c r="A992" s="233"/>
      <c r="B992" s="234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</row>
    <row r="993" ht="24.0" customHeight="1">
      <c r="A993" s="233"/>
      <c r="B993" s="234"/>
      <c r="C993" s="233"/>
      <c r="D993" s="233"/>
      <c r="E993" s="233"/>
      <c r="F993" s="233"/>
      <c r="G993" s="233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</row>
    <row r="994" ht="24.0" customHeight="1">
      <c r="A994" s="233"/>
      <c r="B994" s="234"/>
      <c r="C994" s="233"/>
      <c r="D994" s="233"/>
      <c r="E994" s="233"/>
      <c r="F994" s="233"/>
      <c r="G994" s="233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</row>
    <row r="995" ht="24.0" customHeight="1">
      <c r="A995" s="233"/>
      <c r="B995" s="234"/>
      <c r="C995" s="233"/>
      <c r="D995" s="233"/>
      <c r="E995" s="233"/>
      <c r="F995" s="233"/>
      <c r="G995" s="233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</row>
    <row r="996" ht="24.0" customHeight="1">
      <c r="A996" s="233"/>
      <c r="B996" s="234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</row>
    <row r="997" ht="24.0" customHeight="1">
      <c r="A997" s="233"/>
      <c r="B997" s="234"/>
      <c r="C997" s="233"/>
      <c r="D997" s="233"/>
      <c r="E997" s="233"/>
      <c r="F997" s="233"/>
      <c r="G997" s="233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</row>
    <row r="998" ht="24.0" customHeight="1">
      <c r="A998" s="233"/>
      <c r="B998" s="234"/>
      <c r="C998" s="233"/>
      <c r="D998" s="233"/>
      <c r="E998" s="233"/>
      <c r="F998" s="233"/>
      <c r="G998" s="233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</row>
    <row r="999" ht="24.0" customHeight="1">
      <c r="A999" s="233"/>
      <c r="B999" s="234"/>
      <c r="C999" s="233"/>
      <c r="D999" s="233"/>
      <c r="E999" s="233"/>
      <c r="F999" s="233"/>
      <c r="G999" s="233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</row>
    <row r="1000" ht="24.0" customHeight="1">
      <c r="A1000" s="233"/>
      <c r="B1000" s="234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</row>
  </sheetData>
  <mergeCells count="5">
    <mergeCell ref="B6:E6"/>
    <mergeCell ref="B8:B9"/>
    <mergeCell ref="C8:C9"/>
    <mergeCell ref="D8:D9"/>
    <mergeCell ref="E8:E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4.0" topLeftCell="D15" activePane="bottomRight" state="frozen"/>
      <selection activeCell="D1" sqref="D1" pane="topRight"/>
      <selection activeCell="A15" sqref="A15" pane="bottomLeft"/>
      <selection activeCell="D15" sqref="D15" pane="bottomRight"/>
    </sheetView>
  </sheetViews>
  <sheetFormatPr customHeight="1" defaultColWidth="14.43" defaultRowHeight="15.0"/>
  <cols>
    <col customWidth="1" min="1" max="1" width="8.86"/>
    <col customWidth="1" min="2" max="2" width="4.71"/>
    <col customWidth="1" min="3" max="3" width="28.71"/>
    <col customWidth="1" min="4" max="6" width="24.71"/>
    <col customWidth="1" min="7" max="7" width="12.71"/>
    <col customWidth="1" min="8" max="9" width="24.71"/>
    <col customWidth="1" min="10" max="10" width="12.71"/>
    <col customWidth="1" min="11" max="12" width="24.71"/>
    <col customWidth="1" min="13" max="26" width="8.0"/>
  </cols>
  <sheetData>
    <row r="1" ht="15.75" customHeight="1">
      <c r="A1" s="149"/>
      <c r="B1" s="150" t="s">
        <v>213</v>
      </c>
      <c r="C1" s="149"/>
      <c r="D1" s="149"/>
      <c r="E1" s="149"/>
      <c r="F1" s="149"/>
      <c r="G1" s="57"/>
      <c r="H1" s="151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ht="15.75" customHeight="1">
      <c r="A2" s="152"/>
      <c r="B2" s="150" t="s">
        <v>2</v>
      </c>
      <c r="C2" s="149"/>
      <c r="D2" s="149"/>
      <c r="E2" s="149"/>
      <c r="F2" s="149"/>
      <c r="G2" s="57"/>
      <c r="H2" s="151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</row>
    <row r="3" ht="15.75" customHeight="1">
      <c r="A3" s="152"/>
      <c r="B3" s="150" t="s">
        <v>3</v>
      </c>
      <c r="C3" s="149"/>
      <c r="D3" s="149"/>
      <c r="E3" s="149"/>
      <c r="F3" s="149"/>
      <c r="G3" s="57"/>
      <c r="H3" s="151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 ht="15.75" customHeight="1">
      <c r="A4" s="152"/>
      <c r="B4" s="57"/>
      <c r="C4" s="149"/>
      <c r="D4" s="149"/>
      <c r="E4" s="149"/>
      <c r="F4" s="149"/>
      <c r="G4" s="57"/>
      <c r="H4" s="151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 ht="15.75" customHeight="1">
      <c r="A5" s="29"/>
      <c r="B5" s="3" t="s">
        <v>367</v>
      </c>
      <c r="G5" s="3"/>
      <c r="H5" s="153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149"/>
      <c r="B6" s="261"/>
      <c r="C6" s="261"/>
      <c r="D6" s="261"/>
      <c r="E6" s="261"/>
      <c r="F6" s="261"/>
      <c r="G6" s="57"/>
      <c r="H6" s="151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24.0" customHeight="1">
      <c r="A7" s="29"/>
      <c r="B7" s="156" t="s">
        <v>185</v>
      </c>
      <c r="C7" s="262" t="s">
        <v>17</v>
      </c>
      <c r="D7" s="263" t="s">
        <v>368</v>
      </c>
      <c r="E7" s="159"/>
      <c r="F7" s="159"/>
      <c r="G7" s="160"/>
      <c r="H7" s="157" t="s">
        <v>369</v>
      </c>
      <c r="I7" s="262" t="s">
        <v>370</v>
      </c>
      <c r="J7" s="159"/>
      <c r="K7" s="160"/>
      <c r="L7" s="264" t="s">
        <v>371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4.0" customHeight="1">
      <c r="A8" s="29"/>
      <c r="B8" s="84"/>
      <c r="C8" s="265"/>
      <c r="G8" s="266"/>
      <c r="H8" s="84"/>
      <c r="I8" s="265"/>
      <c r="K8" s="266"/>
      <c r="L8" s="266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4.0" customHeight="1">
      <c r="A9" s="29"/>
      <c r="B9" s="84"/>
      <c r="C9" s="265"/>
      <c r="G9" s="266"/>
      <c r="H9" s="84"/>
      <c r="I9" s="265"/>
      <c r="K9" s="266"/>
      <c r="L9" s="266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24.0" customHeight="1">
      <c r="A10" s="29"/>
      <c r="B10" s="84"/>
      <c r="C10" s="265"/>
      <c r="G10" s="266"/>
      <c r="H10" s="84"/>
      <c r="I10" s="265"/>
      <c r="K10" s="266"/>
      <c r="L10" s="266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4.0" customHeight="1">
      <c r="A11" s="29"/>
      <c r="B11" s="84"/>
      <c r="C11" s="265"/>
      <c r="D11" s="267" t="s">
        <v>372</v>
      </c>
      <c r="E11" s="268" t="s">
        <v>373</v>
      </c>
      <c r="F11" s="269" t="s">
        <v>374</v>
      </c>
      <c r="G11" s="34"/>
      <c r="H11" s="84"/>
      <c r="I11" s="168"/>
      <c r="J11" s="164"/>
      <c r="K11" s="165"/>
      <c r="L11" s="266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8.0" customHeight="1">
      <c r="A12" s="29"/>
      <c r="B12" s="38"/>
      <c r="C12" s="168"/>
      <c r="D12" s="165"/>
      <c r="E12" s="165"/>
      <c r="F12" s="172" t="s">
        <v>346</v>
      </c>
      <c r="G12" s="44" t="s">
        <v>375</v>
      </c>
      <c r="H12" s="38"/>
      <c r="I12" s="44" t="s">
        <v>346</v>
      </c>
      <c r="J12" s="44" t="s">
        <v>375</v>
      </c>
      <c r="K12" s="172" t="s">
        <v>376</v>
      </c>
      <c r="L12" s="165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4.0" customHeight="1">
      <c r="A13" s="29"/>
      <c r="B13" s="41">
        <v>1.0</v>
      </c>
      <c r="C13" s="41">
        <v>2.0</v>
      </c>
      <c r="D13" s="39">
        <v>3.0</v>
      </c>
      <c r="E13" s="39">
        <v>4.0</v>
      </c>
      <c r="F13" s="39" t="s">
        <v>377</v>
      </c>
      <c r="G13" s="39" t="s">
        <v>378</v>
      </c>
      <c r="H13" s="39">
        <v>7.0</v>
      </c>
      <c r="I13" s="39" t="s">
        <v>379</v>
      </c>
      <c r="J13" s="39" t="s">
        <v>380</v>
      </c>
      <c r="K13" s="270">
        <v>10.0</v>
      </c>
      <c r="L13" s="270">
        <v>11.0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149"/>
      <c r="B14" s="45" t="s">
        <v>50</v>
      </c>
      <c r="C14" s="174" t="s">
        <v>51</v>
      </c>
      <c r="D14" s="51"/>
      <c r="E14" s="51"/>
      <c r="F14" s="51"/>
      <c r="G14" s="271"/>
      <c r="H14" s="177"/>
      <c r="I14" s="46"/>
      <c r="J14" s="46"/>
      <c r="K14" s="272"/>
      <c r="L14" s="272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ht="15.75" customHeight="1">
      <c r="A15" s="149"/>
      <c r="B15" s="45" t="s">
        <v>6</v>
      </c>
      <c r="C15" s="177" t="s">
        <v>52</v>
      </c>
      <c r="D15" s="273">
        <v>8.52412055E8</v>
      </c>
      <c r="E15" s="189">
        <v>6.41642141E8</v>
      </c>
      <c r="F15" s="189">
        <f t="shared" ref="F15:F19" si="1">D15-E15</f>
        <v>210769914</v>
      </c>
      <c r="G15" s="274">
        <f t="shared" ref="G15:G19" si="2">F15/D15*100</f>
        <v>24.72629437</v>
      </c>
      <c r="H15" s="189">
        <v>1.038E8</v>
      </c>
      <c r="I15" s="189">
        <f t="shared" ref="I15:I19" si="3">F15-H15</f>
        <v>106969914</v>
      </c>
      <c r="J15" s="275">
        <f t="shared" ref="J15:J19" si="4">I15/D15*100</f>
        <v>12.54908508</v>
      </c>
      <c r="K15" s="276" t="s">
        <v>381</v>
      </c>
      <c r="L15" s="277" t="s">
        <v>382</v>
      </c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ht="15.75" customHeight="1">
      <c r="A16" s="149"/>
      <c r="B16" s="45" t="s">
        <v>14</v>
      </c>
      <c r="C16" s="177" t="s">
        <v>53</v>
      </c>
      <c r="D16" s="273">
        <v>7.67131353E8</v>
      </c>
      <c r="E16" s="189">
        <v>5.77448197E8</v>
      </c>
      <c r="F16" s="189">
        <f t="shared" si="1"/>
        <v>189683156</v>
      </c>
      <c r="G16" s="274">
        <f t="shared" si="2"/>
        <v>24.7262943</v>
      </c>
      <c r="H16" s="189">
        <v>1.2E8</v>
      </c>
      <c r="I16" s="189">
        <f t="shared" si="3"/>
        <v>69683156</v>
      </c>
      <c r="J16" s="189">
        <f t="shared" si="4"/>
        <v>9.083601619</v>
      </c>
      <c r="K16" s="278"/>
      <c r="L16" s="277" t="s">
        <v>383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ht="15.75" customHeight="1">
      <c r="A17" s="149"/>
      <c r="B17" s="45" t="s">
        <v>232</v>
      </c>
      <c r="C17" s="177" t="s">
        <v>54</v>
      </c>
      <c r="D17" s="273">
        <v>5.6925229E8</v>
      </c>
      <c r="E17" s="189">
        <v>4.28497293E8</v>
      </c>
      <c r="F17" s="189">
        <f t="shared" si="1"/>
        <v>140754997</v>
      </c>
      <c r="G17" s="274">
        <f t="shared" si="2"/>
        <v>24.72629438</v>
      </c>
      <c r="H17" s="189">
        <v>1.146E8</v>
      </c>
      <c r="I17" s="189">
        <f t="shared" si="3"/>
        <v>26154997</v>
      </c>
      <c r="J17" s="189">
        <f t="shared" si="4"/>
        <v>4.594623062</v>
      </c>
      <c r="K17" s="278"/>
      <c r="L17" s="277" t="s">
        <v>384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ht="15.75" customHeight="1">
      <c r="A18" s="149"/>
      <c r="B18" s="45" t="s">
        <v>233</v>
      </c>
      <c r="C18" s="177" t="s">
        <v>55</v>
      </c>
      <c r="D18" s="273">
        <v>5.382117E8</v>
      </c>
      <c r="E18" s="189">
        <v>4.05131891E8</v>
      </c>
      <c r="F18" s="189">
        <f t="shared" si="1"/>
        <v>133079809</v>
      </c>
      <c r="G18" s="274">
        <f t="shared" si="2"/>
        <v>24.72629432</v>
      </c>
      <c r="H18" s="189">
        <v>1.092E8</v>
      </c>
      <c r="I18" s="189">
        <f t="shared" si="3"/>
        <v>23879809</v>
      </c>
      <c r="J18" s="189">
        <f t="shared" si="4"/>
        <v>4.436880321</v>
      </c>
      <c r="K18" s="278"/>
      <c r="L18" s="277" t="s">
        <v>385</v>
      </c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ht="15.75" customHeight="1">
      <c r="A19" s="149"/>
      <c r="B19" s="45" t="s">
        <v>234</v>
      </c>
      <c r="C19" s="177" t="s">
        <v>56</v>
      </c>
      <c r="D19" s="273">
        <v>6.86345486E8</v>
      </c>
      <c r="E19" s="189">
        <v>5.16637681E8</v>
      </c>
      <c r="F19" s="189">
        <f t="shared" si="1"/>
        <v>169707805</v>
      </c>
      <c r="G19" s="274">
        <f t="shared" si="2"/>
        <v>24.72629433</v>
      </c>
      <c r="H19" s="189">
        <v>1.47E8</v>
      </c>
      <c r="I19" s="189">
        <f t="shared" si="3"/>
        <v>22707805</v>
      </c>
      <c r="J19" s="189">
        <f t="shared" si="4"/>
        <v>3.308509412</v>
      </c>
      <c r="K19" s="278"/>
      <c r="L19" s="277" t="s">
        <v>386</v>
      </c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ht="15.75" customHeight="1">
      <c r="A20" s="149"/>
      <c r="B20" s="45" t="s">
        <v>57</v>
      </c>
      <c r="C20" s="177" t="s">
        <v>58</v>
      </c>
      <c r="D20" s="189"/>
      <c r="E20" s="189"/>
      <c r="F20" s="189"/>
      <c r="G20" s="274"/>
      <c r="H20" s="189"/>
      <c r="I20" s="189"/>
      <c r="J20" s="189"/>
      <c r="K20" s="278"/>
      <c r="L20" s="277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ht="15.75" customHeight="1">
      <c r="A21" s="149"/>
      <c r="B21" s="45" t="s">
        <v>235</v>
      </c>
      <c r="C21" s="177" t="s">
        <v>59</v>
      </c>
      <c r="D21" s="189">
        <v>5.36319322E8</v>
      </c>
      <c r="E21" s="189">
        <v>4.03707428E8</v>
      </c>
      <c r="F21" s="189">
        <f t="shared" ref="F21:F27" si="5">D21-E21</f>
        <v>132611894</v>
      </c>
      <c r="G21" s="274">
        <f t="shared" ref="G21:G27" si="6">F21/D21*100</f>
        <v>24.72629431</v>
      </c>
      <c r="H21" s="279">
        <v>6.54E7</v>
      </c>
      <c r="I21" s="189">
        <f t="shared" ref="I21:I27" si="7">F21-H21</f>
        <v>67211894</v>
      </c>
      <c r="J21" s="275">
        <f t="shared" ref="J21:J27" si="8">I21/D21*100</f>
        <v>12.53206648</v>
      </c>
      <c r="K21" s="276" t="s">
        <v>381</v>
      </c>
      <c r="L21" s="277" t="s">
        <v>387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ht="15.75" customHeight="1">
      <c r="A22" s="149"/>
      <c r="B22" s="45" t="s">
        <v>236</v>
      </c>
      <c r="C22" s="177" t="s">
        <v>60</v>
      </c>
      <c r="D22" s="189">
        <v>5.88894473E8</v>
      </c>
      <c r="E22" s="189">
        <v>4.43282692E8</v>
      </c>
      <c r="F22" s="189">
        <f t="shared" si="5"/>
        <v>145611781</v>
      </c>
      <c r="G22" s="274">
        <f t="shared" si="6"/>
        <v>24.72629438</v>
      </c>
      <c r="H22" s="279">
        <v>1.146E8</v>
      </c>
      <c r="I22" s="189">
        <f t="shared" si="7"/>
        <v>31011781</v>
      </c>
      <c r="J22" s="189">
        <f t="shared" si="8"/>
        <v>5.266101555</v>
      </c>
      <c r="K22" s="278"/>
      <c r="L22" s="277" t="s">
        <v>388</v>
      </c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15.75" customHeight="1">
      <c r="A23" s="149"/>
      <c r="B23" s="45" t="s">
        <v>237</v>
      </c>
      <c r="C23" s="177" t="s">
        <v>61</v>
      </c>
      <c r="D23" s="189">
        <v>3.7719282E8</v>
      </c>
      <c r="E23" s="189">
        <v>2.83927013E8</v>
      </c>
      <c r="F23" s="189">
        <f t="shared" si="5"/>
        <v>93265807</v>
      </c>
      <c r="G23" s="274">
        <f t="shared" si="6"/>
        <v>24.72629437</v>
      </c>
      <c r="H23" s="279">
        <v>6.54E7</v>
      </c>
      <c r="I23" s="189">
        <f t="shared" si="7"/>
        <v>27865807</v>
      </c>
      <c r="J23" s="189">
        <f t="shared" si="8"/>
        <v>7.387682247</v>
      </c>
      <c r="K23" s="278"/>
      <c r="L23" s="277" t="s">
        <v>389</v>
      </c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15.75" customHeight="1">
      <c r="A24" s="149"/>
      <c r="B24" s="45" t="s">
        <v>238</v>
      </c>
      <c r="C24" s="177" t="s">
        <v>62</v>
      </c>
      <c r="D24" s="189">
        <v>4.34838082E8</v>
      </c>
      <c r="E24" s="189">
        <v>3.27318738E8</v>
      </c>
      <c r="F24" s="189">
        <f t="shared" si="5"/>
        <v>107519344</v>
      </c>
      <c r="G24" s="274">
        <f t="shared" si="6"/>
        <v>24.72629433</v>
      </c>
      <c r="H24" s="279">
        <v>1.038E8</v>
      </c>
      <c r="I24" s="189">
        <f t="shared" si="7"/>
        <v>3719344</v>
      </c>
      <c r="J24" s="189">
        <f t="shared" si="8"/>
        <v>0.8553399884</v>
      </c>
      <c r="K24" s="278"/>
      <c r="L24" s="277" t="s">
        <v>390</v>
      </c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5.75" customHeight="1">
      <c r="A25" s="149"/>
      <c r="B25" s="45" t="s">
        <v>239</v>
      </c>
      <c r="C25" s="177" t="s">
        <v>63</v>
      </c>
      <c r="D25" s="189">
        <v>5.92335647E8</v>
      </c>
      <c r="E25" s="189">
        <v>4.45872991E8</v>
      </c>
      <c r="F25" s="189">
        <f t="shared" si="5"/>
        <v>146462656</v>
      </c>
      <c r="G25" s="274">
        <f t="shared" si="6"/>
        <v>24.72629441</v>
      </c>
      <c r="H25" s="279">
        <v>8.76E7</v>
      </c>
      <c r="I25" s="189">
        <f t="shared" si="7"/>
        <v>58862656</v>
      </c>
      <c r="J25" s="189">
        <f t="shared" si="8"/>
        <v>9.937382006</v>
      </c>
      <c r="K25" s="278"/>
      <c r="L25" s="277" t="s">
        <v>391</v>
      </c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5.75" customHeight="1">
      <c r="A26" s="149"/>
      <c r="B26" s="45" t="s">
        <v>240</v>
      </c>
      <c r="C26" s="177" t="s">
        <v>64</v>
      </c>
      <c r="D26" s="189">
        <v>5.84194557E8</v>
      </c>
      <c r="E26" s="189">
        <v>4.39744891E8</v>
      </c>
      <c r="F26" s="189">
        <f t="shared" si="5"/>
        <v>144449666</v>
      </c>
      <c r="G26" s="274">
        <f t="shared" si="6"/>
        <v>24.72629439</v>
      </c>
      <c r="H26" s="279">
        <v>9.3E7</v>
      </c>
      <c r="I26" s="189">
        <f t="shared" si="7"/>
        <v>51449666</v>
      </c>
      <c r="J26" s="189">
        <f t="shared" si="8"/>
        <v>8.806940322</v>
      </c>
      <c r="K26" s="278"/>
      <c r="L26" s="277" t="s">
        <v>392</v>
      </c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5.75" customHeight="1">
      <c r="A27" s="149"/>
      <c r="B27" s="45" t="s">
        <v>241</v>
      </c>
      <c r="C27" s="177" t="s">
        <v>65</v>
      </c>
      <c r="D27" s="189">
        <v>4.70136077E8</v>
      </c>
      <c r="E27" s="189">
        <v>3.53888847E8</v>
      </c>
      <c r="F27" s="189">
        <f t="shared" si="5"/>
        <v>116247230</v>
      </c>
      <c r="G27" s="274">
        <f t="shared" si="6"/>
        <v>24.7262943</v>
      </c>
      <c r="H27" s="279">
        <v>7.8E7</v>
      </c>
      <c r="I27" s="189">
        <f t="shared" si="7"/>
        <v>38247230</v>
      </c>
      <c r="J27" s="189">
        <f t="shared" si="8"/>
        <v>8.135353118</v>
      </c>
      <c r="K27" s="278"/>
      <c r="L27" s="277" t="s">
        <v>393</v>
      </c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15.75" customHeight="1">
      <c r="A28" s="149"/>
      <c r="B28" s="45" t="s">
        <v>66</v>
      </c>
      <c r="C28" s="177" t="s">
        <v>67</v>
      </c>
      <c r="D28" s="189"/>
      <c r="E28" s="189"/>
      <c r="F28" s="189"/>
      <c r="G28" s="274"/>
      <c r="H28" s="189"/>
      <c r="I28" s="189"/>
      <c r="J28" s="189"/>
      <c r="K28" s="278"/>
      <c r="L28" s="277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5.75" customHeight="1">
      <c r="A29" s="149"/>
      <c r="B29" s="45" t="s">
        <v>242</v>
      </c>
      <c r="C29" s="177" t="s">
        <v>243</v>
      </c>
      <c r="D29" s="189">
        <v>5.56507176E8</v>
      </c>
      <c r="E29" s="189">
        <v>4.18903574E8</v>
      </c>
      <c r="F29" s="189">
        <f t="shared" ref="F29:F32" si="9">D29-E29</f>
        <v>137603602</v>
      </c>
      <c r="G29" s="274">
        <f t="shared" ref="G29:G32" si="10">F29/D29*100</f>
        <v>24.72629428</v>
      </c>
      <c r="H29" s="189">
        <v>7.8E7</v>
      </c>
      <c r="I29" s="189">
        <f t="shared" ref="I29:I32" si="11">F29-H29</f>
        <v>59603602</v>
      </c>
      <c r="J29" s="275">
        <f t="shared" ref="J29:J32" si="12">I29/D29*100</f>
        <v>10.7103025</v>
      </c>
      <c r="K29" s="276" t="s">
        <v>381</v>
      </c>
      <c r="L29" s="277" t="s">
        <v>394</v>
      </c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5.75" customHeight="1">
      <c r="A30" s="149"/>
      <c r="B30" s="45" t="s">
        <v>244</v>
      </c>
      <c r="C30" s="177" t="s">
        <v>69</v>
      </c>
      <c r="D30" s="189">
        <v>5.43740023E8</v>
      </c>
      <c r="E30" s="189">
        <v>4.09293264E8</v>
      </c>
      <c r="F30" s="189">
        <f t="shared" si="9"/>
        <v>134446759</v>
      </c>
      <c r="G30" s="274">
        <f t="shared" si="10"/>
        <v>24.72629443</v>
      </c>
      <c r="H30" s="189">
        <v>9.3E7</v>
      </c>
      <c r="I30" s="189">
        <f t="shared" si="11"/>
        <v>41446759</v>
      </c>
      <c r="J30" s="189">
        <f t="shared" si="12"/>
        <v>7.622532322</v>
      </c>
      <c r="K30" s="278"/>
      <c r="L30" s="277" t="s">
        <v>395</v>
      </c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15.75" customHeight="1">
      <c r="A31" s="149"/>
      <c r="B31" s="45" t="s">
        <v>245</v>
      </c>
      <c r="C31" s="178" t="s">
        <v>70</v>
      </c>
      <c r="D31" s="189">
        <v>7.60636022E8</v>
      </c>
      <c r="E31" s="189">
        <v>5.7255892E8</v>
      </c>
      <c r="F31" s="189">
        <f t="shared" si="9"/>
        <v>188077102</v>
      </c>
      <c r="G31" s="274">
        <f t="shared" si="10"/>
        <v>24.72629439</v>
      </c>
      <c r="H31" s="189">
        <v>1.038E8</v>
      </c>
      <c r="I31" s="189">
        <f t="shared" si="11"/>
        <v>84277102</v>
      </c>
      <c r="J31" s="275">
        <f t="shared" si="12"/>
        <v>11.07981999</v>
      </c>
      <c r="K31" s="276" t="s">
        <v>381</v>
      </c>
      <c r="L31" s="277" t="s">
        <v>396</v>
      </c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5.75" customHeight="1">
      <c r="A32" s="149"/>
      <c r="B32" s="45" t="s">
        <v>246</v>
      </c>
      <c r="C32" s="177" t="s">
        <v>71</v>
      </c>
      <c r="D32" s="189">
        <v>6.08412879E8</v>
      </c>
      <c r="E32" s="189">
        <v>4.57974919E8</v>
      </c>
      <c r="F32" s="189">
        <f t="shared" si="9"/>
        <v>150437960</v>
      </c>
      <c r="G32" s="274">
        <f t="shared" si="10"/>
        <v>24.72629446</v>
      </c>
      <c r="H32" s="189">
        <v>7.38E7</v>
      </c>
      <c r="I32" s="189">
        <f t="shared" si="11"/>
        <v>76637960</v>
      </c>
      <c r="J32" s="275">
        <f t="shared" si="12"/>
        <v>12.59637372</v>
      </c>
      <c r="K32" s="276" t="s">
        <v>381</v>
      </c>
      <c r="L32" s="277" t="s">
        <v>397</v>
      </c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5.75" customHeight="1">
      <c r="A33" s="149"/>
      <c r="B33" s="45" t="s">
        <v>72</v>
      </c>
      <c r="C33" s="179" t="s">
        <v>73</v>
      </c>
      <c r="D33" s="189"/>
      <c r="E33" s="189"/>
      <c r="F33" s="189"/>
      <c r="G33" s="274"/>
      <c r="H33" s="189"/>
      <c r="I33" s="189"/>
      <c r="J33" s="189"/>
      <c r="K33" s="278"/>
      <c r="L33" s="277" t="s">
        <v>398</v>
      </c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5.75" customHeight="1">
      <c r="A34" s="149"/>
      <c r="B34" s="45" t="s">
        <v>247</v>
      </c>
      <c r="C34" s="177" t="s">
        <v>74</v>
      </c>
      <c r="D34" s="189">
        <v>3.06512924E8</v>
      </c>
      <c r="E34" s="189">
        <v>2.30723636E8</v>
      </c>
      <c r="F34" s="189">
        <f t="shared" ref="F34:F38" si="13">D34-E34</f>
        <v>75789288</v>
      </c>
      <c r="G34" s="274">
        <f t="shared" ref="G34:G38" si="14">F34/D34*100</f>
        <v>24.72629441</v>
      </c>
      <c r="H34" s="189">
        <v>6.06E7</v>
      </c>
      <c r="I34" s="189">
        <f t="shared" ref="I34:I38" si="15">F34-H34</f>
        <v>15189288</v>
      </c>
      <c r="J34" s="189">
        <f t="shared" ref="J34:J38" si="16">I34/D34*100</f>
        <v>4.955513067</v>
      </c>
      <c r="K34" s="278"/>
      <c r="L34" s="277" t="s">
        <v>399</v>
      </c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5.75" customHeight="1">
      <c r="A35" s="149"/>
      <c r="B35" s="45" t="s">
        <v>248</v>
      </c>
      <c r="C35" s="177" t="s">
        <v>75</v>
      </c>
      <c r="D35" s="189">
        <v>5.98833272E8</v>
      </c>
      <c r="E35" s="189">
        <v>4.50763994E8</v>
      </c>
      <c r="F35" s="189">
        <f t="shared" si="13"/>
        <v>148069278</v>
      </c>
      <c r="G35" s="274">
        <f t="shared" si="14"/>
        <v>24.72629443</v>
      </c>
      <c r="H35" s="189">
        <v>9.9E7</v>
      </c>
      <c r="I35" s="189">
        <f t="shared" si="15"/>
        <v>49069278</v>
      </c>
      <c r="J35" s="189">
        <f t="shared" si="16"/>
        <v>8.194146901</v>
      </c>
      <c r="K35" s="278"/>
      <c r="L35" s="277" t="s">
        <v>400</v>
      </c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5.75" customHeight="1">
      <c r="A36" s="149"/>
      <c r="B36" s="45" t="s">
        <v>249</v>
      </c>
      <c r="C36" s="177" t="s">
        <v>76</v>
      </c>
      <c r="D36" s="189">
        <v>6.1799392E8</v>
      </c>
      <c r="E36" s="189">
        <v>4.65186924E8</v>
      </c>
      <c r="F36" s="189">
        <f t="shared" si="13"/>
        <v>152806996</v>
      </c>
      <c r="G36" s="274">
        <f t="shared" si="14"/>
        <v>24.72629439</v>
      </c>
      <c r="H36" s="189">
        <v>8.64E7</v>
      </c>
      <c r="I36" s="189">
        <f t="shared" si="15"/>
        <v>66406996</v>
      </c>
      <c r="J36" s="275">
        <f t="shared" si="16"/>
        <v>10.74557433</v>
      </c>
      <c r="K36" s="276" t="s">
        <v>381</v>
      </c>
      <c r="L36" s="277" t="s">
        <v>401</v>
      </c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ht="15.75" customHeight="1">
      <c r="A37" s="149"/>
      <c r="B37" s="45" t="s">
        <v>250</v>
      </c>
      <c r="C37" s="177" t="s">
        <v>77</v>
      </c>
      <c r="D37" s="189">
        <v>4.58083227E8</v>
      </c>
      <c r="E37" s="189">
        <v>3.4481622E8</v>
      </c>
      <c r="F37" s="189">
        <f t="shared" si="13"/>
        <v>113267007</v>
      </c>
      <c r="G37" s="274">
        <f t="shared" si="14"/>
        <v>24.72629433</v>
      </c>
      <c r="H37" s="189">
        <v>9.06E7</v>
      </c>
      <c r="I37" s="189">
        <f t="shared" si="15"/>
        <v>22667007</v>
      </c>
      <c r="J37" s="189">
        <f t="shared" si="16"/>
        <v>4.948228982</v>
      </c>
      <c r="K37" s="278"/>
      <c r="L37" s="277" t="s">
        <v>402</v>
      </c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5.75" customHeight="1">
      <c r="A38" s="149"/>
      <c r="B38" s="45" t="s">
        <v>251</v>
      </c>
      <c r="C38" s="177" t="s">
        <v>78</v>
      </c>
      <c r="D38" s="189">
        <v>6.23097074E8</v>
      </c>
      <c r="E38" s="189">
        <v>4.69028257E8</v>
      </c>
      <c r="F38" s="189">
        <f t="shared" si="13"/>
        <v>154068817</v>
      </c>
      <c r="G38" s="274">
        <f t="shared" si="14"/>
        <v>24.72629441</v>
      </c>
      <c r="H38" s="189">
        <v>1.038E8</v>
      </c>
      <c r="I38" s="189">
        <f t="shared" si="15"/>
        <v>50268817</v>
      </c>
      <c r="J38" s="189">
        <f t="shared" si="16"/>
        <v>8.067573914</v>
      </c>
      <c r="K38" s="278"/>
      <c r="L38" s="277" t="s">
        <v>403</v>
      </c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5.75" customHeight="1">
      <c r="A39" s="149"/>
      <c r="B39" s="45" t="s">
        <v>79</v>
      </c>
      <c r="C39" s="179" t="s">
        <v>80</v>
      </c>
      <c r="D39" s="189"/>
      <c r="E39" s="189"/>
      <c r="F39" s="189"/>
      <c r="G39" s="274"/>
      <c r="H39" s="189"/>
      <c r="I39" s="189"/>
      <c r="J39" s="189"/>
      <c r="K39" s="278"/>
      <c r="L39" s="277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5.75" customHeight="1">
      <c r="A40" s="149"/>
      <c r="B40" s="45" t="s">
        <v>252</v>
      </c>
      <c r="C40" s="177" t="s">
        <v>81</v>
      </c>
      <c r="D40" s="189">
        <v>6.68406672E8</v>
      </c>
      <c r="E40" s="189">
        <v>5.03134471E8</v>
      </c>
      <c r="F40" s="189">
        <f t="shared" ref="F40:F44" si="17">D40-E40</f>
        <v>165272201</v>
      </c>
      <c r="G40" s="274">
        <f t="shared" ref="G40:G44" si="18">F40/D40*100</f>
        <v>24.72629432</v>
      </c>
      <c r="H40" s="189">
        <v>1.092E8</v>
      </c>
      <c r="I40" s="189">
        <f t="shared" ref="I40:I44" si="19">F40-H40</f>
        <v>56072201</v>
      </c>
      <c r="J40" s="189">
        <f t="shared" ref="J40:J44" si="20">I40/D40*100</f>
        <v>8.388934963</v>
      </c>
      <c r="K40" s="278"/>
      <c r="L40" s="277" t="s">
        <v>404</v>
      </c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5.75" customHeight="1">
      <c r="A41" s="149"/>
      <c r="B41" s="45" t="s">
        <v>253</v>
      </c>
      <c r="C41" s="177" t="s">
        <v>82</v>
      </c>
      <c r="D41" s="189">
        <v>6.39482302E8</v>
      </c>
      <c r="E41" s="189">
        <v>4.81362026E8</v>
      </c>
      <c r="F41" s="189">
        <f t="shared" si="17"/>
        <v>158120276</v>
      </c>
      <c r="G41" s="274">
        <f t="shared" si="18"/>
        <v>24.7262943</v>
      </c>
      <c r="H41" s="189">
        <v>1.038E8</v>
      </c>
      <c r="I41" s="189">
        <f t="shared" si="19"/>
        <v>54320276</v>
      </c>
      <c r="J41" s="189">
        <f t="shared" si="20"/>
        <v>8.494414283</v>
      </c>
      <c r="K41" s="278"/>
      <c r="L41" s="277" t="s">
        <v>405</v>
      </c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5.75" customHeight="1">
      <c r="A42" s="149"/>
      <c r="B42" s="45" t="s">
        <v>254</v>
      </c>
      <c r="C42" s="177" t="s">
        <v>83</v>
      </c>
      <c r="D42" s="189">
        <v>5.30490879E8</v>
      </c>
      <c r="E42" s="189">
        <v>3.99320142E8</v>
      </c>
      <c r="F42" s="189">
        <f t="shared" si="17"/>
        <v>131170737</v>
      </c>
      <c r="G42" s="274">
        <f t="shared" si="18"/>
        <v>24.72629449</v>
      </c>
      <c r="H42" s="189">
        <v>8.22E7</v>
      </c>
      <c r="I42" s="189">
        <f t="shared" si="19"/>
        <v>48970737</v>
      </c>
      <c r="J42" s="189">
        <f t="shared" si="20"/>
        <v>9.231211872</v>
      </c>
      <c r="K42" s="278"/>
      <c r="L42" s="277" t="s">
        <v>406</v>
      </c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5.75" customHeight="1">
      <c r="A43" s="149"/>
      <c r="B43" s="45" t="s">
        <v>255</v>
      </c>
      <c r="C43" s="177" t="s">
        <v>84</v>
      </c>
      <c r="D43" s="189">
        <v>6.88339038E8</v>
      </c>
      <c r="E43" s="189">
        <v>5.18138301E8</v>
      </c>
      <c r="F43" s="189">
        <f t="shared" si="17"/>
        <v>170200737</v>
      </c>
      <c r="G43" s="274">
        <f t="shared" si="18"/>
        <v>24.7262944</v>
      </c>
      <c r="H43" s="189">
        <v>1.038E8</v>
      </c>
      <c r="I43" s="189">
        <f t="shared" si="19"/>
        <v>66400737</v>
      </c>
      <c r="J43" s="189">
        <f t="shared" si="20"/>
        <v>9.646516227</v>
      </c>
      <c r="K43" s="278"/>
      <c r="L43" s="277" t="s">
        <v>407</v>
      </c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ht="15.75" customHeight="1">
      <c r="A44" s="149"/>
      <c r="B44" s="45" t="s">
        <v>256</v>
      </c>
      <c r="C44" s="177" t="s">
        <v>85</v>
      </c>
      <c r="D44" s="189">
        <v>6.35174829E8</v>
      </c>
      <c r="E44" s="189">
        <v>4.78119631E8</v>
      </c>
      <c r="F44" s="189">
        <f t="shared" si="17"/>
        <v>157055198</v>
      </c>
      <c r="G44" s="274">
        <f t="shared" si="18"/>
        <v>24.72629437</v>
      </c>
      <c r="H44" s="189">
        <v>1.092E8</v>
      </c>
      <c r="I44" s="189">
        <f t="shared" si="19"/>
        <v>47855198</v>
      </c>
      <c r="J44" s="189">
        <f t="shared" si="20"/>
        <v>7.534177334</v>
      </c>
      <c r="K44" s="278"/>
      <c r="L44" s="277" t="s">
        <v>408</v>
      </c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ht="15.75" customHeight="1">
      <c r="A45" s="149"/>
      <c r="B45" s="45" t="s">
        <v>86</v>
      </c>
      <c r="C45" s="179" t="s">
        <v>87</v>
      </c>
      <c r="D45" s="189"/>
      <c r="E45" s="189"/>
      <c r="F45" s="189"/>
      <c r="G45" s="274"/>
      <c r="H45" s="189"/>
      <c r="I45" s="189"/>
      <c r="J45" s="189"/>
      <c r="K45" s="278"/>
      <c r="L45" s="277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ht="15.75" customHeight="1">
      <c r="A46" s="149"/>
      <c r="B46" s="45" t="s">
        <v>257</v>
      </c>
      <c r="C46" s="177" t="s">
        <v>88</v>
      </c>
      <c r="D46" s="189">
        <v>1.052233343E9</v>
      </c>
      <c r="E46" s="189">
        <v>7.92055029E8</v>
      </c>
      <c r="F46" s="189">
        <f t="shared" ref="F46:F50" si="21">D46-E46</f>
        <v>260178314</v>
      </c>
      <c r="G46" s="274">
        <f t="shared" ref="G46:G50" si="22">F46/D46*100</f>
        <v>24.72629438</v>
      </c>
      <c r="H46" s="189">
        <v>1.47E8</v>
      </c>
      <c r="I46" s="189">
        <f t="shared" ref="I46:I50" si="23">F46-H46</f>
        <v>113178314</v>
      </c>
      <c r="J46" s="275">
        <f t="shared" ref="J46:J50" si="24">I46/D46*100</f>
        <v>10.75600909</v>
      </c>
      <c r="K46" s="276" t="s">
        <v>381</v>
      </c>
      <c r="L46" s="277" t="s">
        <v>409</v>
      </c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5.75" customHeight="1">
      <c r="A47" s="149"/>
      <c r="B47" s="45" t="s">
        <v>258</v>
      </c>
      <c r="C47" s="177" t="s">
        <v>89</v>
      </c>
      <c r="D47" s="189">
        <v>6.95706231E8</v>
      </c>
      <c r="E47" s="189">
        <v>5.2368386E8</v>
      </c>
      <c r="F47" s="189">
        <f t="shared" si="21"/>
        <v>172022371</v>
      </c>
      <c r="G47" s="274">
        <f t="shared" si="22"/>
        <v>24.72629442</v>
      </c>
      <c r="H47" s="189">
        <v>1.254E8</v>
      </c>
      <c r="I47" s="189">
        <f t="shared" si="23"/>
        <v>46622371</v>
      </c>
      <c r="J47" s="189">
        <f t="shared" si="24"/>
        <v>6.701445082</v>
      </c>
      <c r="K47" s="278"/>
      <c r="L47" s="277" t="s">
        <v>410</v>
      </c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ht="15.75" customHeight="1">
      <c r="A48" s="149"/>
      <c r="B48" s="45" t="s">
        <v>259</v>
      </c>
      <c r="C48" s="177" t="s">
        <v>90</v>
      </c>
      <c r="D48" s="189">
        <v>6.22134332E8</v>
      </c>
      <c r="E48" s="189">
        <v>4.68303565E8</v>
      </c>
      <c r="F48" s="189">
        <f t="shared" si="21"/>
        <v>153830767</v>
      </c>
      <c r="G48" s="274">
        <f t="shared" si="22"/>
        <v>24.72629448</v>
      </c>
      <c r="H48" s="189">
        <v>1.038E8</v>
      </c>
      <c r="I48" s="189">
        <f t="shared" si="23"/>
        <v>50030767</v>
      </c>
      <c r="J48" s="189">
        <f t="shared" si="24"/>
        <v>8.041794903</v>
      </c>
      <c r="K48" s="278"/>
      <c r="L48" s="277" t="s">
        <v>411</v>
      </c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ht="15.75" customHeight="1">
      <c r="A49" s="149"/>
      <c r="B49" s="45" t="s">
        <v>260</v>
      </c>
      <c r="C49" s="177" t="s">
        <v>91</v>
      </c>
      <c r="D49" s="189">
        <v>6.34077869E8</v>
      </c>
      <c r="E49" s="189">
        <v>4.77293908E8</v>
      </c>
      <c r="F49" s="189">
        <f t="shared" si="21"/>
        <v>156783961</v>
      </c>
      <c r="G49" s="274">
        <f t="shared" si="22"/>
        <v>24.72629446</v>
      </c>
      <c r="H49" s="189">
        <v>9.3E7</v>
      </c>
      <c r="I49" s="189">
        <f t="shared" si="23"/>
        <v>63783961</v>
      </c>
      <c r="J49" s="275">
        <f t="shared" si="24"/>
        <v>10.05932617</v>
      </c>
      <c r="K49" s="276" t="s">
        <v>381</v>
      </c>
      <c r="L49" s="277" t="s">
        <v>412</v>
      </c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ht="15.75" customHeight="1">
      <c r="A50" s="149"/>
      <c r="B50" s="45" t="s">
        <v>261</v>
      </c>
      <c r="C50" s="177" t="s">
        <v>92</v>
      </c>
      <c r="D50" s="189">
        <v>7.35010014E8</v>
      </c>
      <c r="E50" s="189">
        <v>5.53269274E8</v>
      </c>
      <c r="F50" s="189">
        <f t="shared" si="21"/>
        <v>181740740</v>
      </c>
      <c r="G50" s="274">
        <f t="shared" si="22"/>
        <v>24.72629441</v>
      </c>
      <c r="H50" s="189">
        <v>1.146E8</v>
      </c>
      <c r="I50" s="189">
        <f t="shared" si="23"/>
        <v>67140740</v>
      </c>
      <c r="J50" s="189">
        <f t="shared" si="24"/>
        <v>9.134670103</v>
      </c>
      <c r="K50" s="278"/>
      <c r="L50" s="277" t="s">
        <v>413</v>
      </c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ht="15.75" customHeight="1">
      <c r="A51" s="149"/>
      <c r="B51" s="45" t="s">
        <v>93</v>
      </c>
      <c r="C51" s="179" t="s">
        <v>94</v>
      </c>
      <c r="D51" s="189"/>
      <c r="E51" s="189"/>
      <c r="F51" s="189"/>
      <c r="G51" s="274"/>
      <c r="H51" s="274"/>
      <c r="I51" s="189"/>
      <c r="J51" s="189"/>
      <c r="K51" s="278"/>
      <c r="L51" s="277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ht="15.75" customHeight="1">
      <c r="A52" s="149"/>
      <c r="B52" s="45" t="s">
        <v>262</v>
      </c>
      <c r="C52" s="177" t="s">
        <v>95</v>
      </c>
      <c r="D52" s="189">
        <v>1.089117816E9</v>
      </c>
      <c r="E52" s="189">
        <v>8.19819339E8</v>
      </c>
      <c r="F52" s="189">
        <f t="shared" ref="F52:F54" si="25">D52-E52</f>
        <v>269298477</v>
      </c>
      <c r="G52" s="274">
        <f t="shared" ref="G52:G54" si="26">F52/D52*100</f>
        <v>24.72629435</v>
      </c>
      <c r="H52" s="189">
        <v>1.47E8</v>
      </c>
      <c r="I52" s="189">
        <f t="shared" ref="I52:I54" si="27">F52-H52</f>
        <v>122298477</v>
      </c>
      <c r="J52" s="275">
        <f t="shared" ref="J52:J54" si="28">I52/D52*100</f>
        <v>11.22913198</v>
      </c>
      <c r="K52" s="276" t="s">
        <v>381</v>
      </c>
      <c r="L52" s="277" t="s">
        <v>414</v>
      </c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ht="15.75" customHeight="1">
      <c r="A53" s="149"/>
      <c r="B53" s="45" t="s">
        <v>263</v>
      </c>
      <c r="C53" s="177" t="s">
        <v>96</v>
      </c>
      <c r="D53" s="189">
        <v>1.167466057E9</v>
      </c>
      <c r="E53" s="189">
        <v>8.78794963E8</v>
      </c>
      <c r="F53" s="189">
        <f t="shared" si="25"/>
        <v>288671094</v>
      </c>
      <c r="G53" s="274">
        <f t="shared" si="26"/>
        <v>24.72629438</v>
      </c>
      <c r="H53" s="189">
        <v>1.47E8</v>
      </c>
      <c r="I53" s="189">
        <f t="shared" si="27"/>
        <v>141671094</v>
      </c>
      <c r="J53" s="275">
        <f t="shared" si="28"/>
        <v>12.13492188</v>
      </c>
      <c r="K53" s="276" t="s">
        <v>381</v>
      </c>
      <c r="L53" s="277" t="s">
        <v>415</v>
      </c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ht="15.75" customHeight="1">
      <c r="A54" s="180"/>
      <c r="B54" s="181" t="s">
        <v>264</v>
      </c>
      <c r="C54" s="182" t="s">
        <v>97</v>
      </c>
      <c r="D54" s="189">
        <v>1.071299445E9</v>
      </c>
      <c r="E54" s="189">
        <v>8.0640679E8</v>
      </c>
      <c r="F54" s="189">
        <f t="shared" si="25"/>
        <v>264892655</v>
      </c>
      <c r="G54" s="274">
        <f t="shared" si="26"/>
        <v>24.72629443</v>
      </c>
      <c r="H54" s="280">
        <v>1.47E8</v>
      </c>
      <c r="I54" s="189">
        <f t="shared" si="27"/>
        <v>117892655</v>
      </c>
      <c r="J54" s="275">
        <f t="shared" si="28"/>
        <v>11.00464072</v>
      </c>
      <c r="K54" s="276" t="s">
        <v>381</v>
      </c>
      <c r="L54" s="281" t="s">
        <v>416</v>
      </c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</row>
    <row r="55" ht="15.75" customHeight="1">
      <c r="A55" s="149"/>
      <c r="B55" s="45" t="s">
        <v>98</v>
      </c>
      <c r="C55" s="179" t="s">
        <v>99</v>
      </c>
      <c r="D55" s="189"/>
      <c r="E55" s="189"/>
      <c r="F55" s="189"/>
      <c r="G55" s="274"/>
      <c r="H55" s="189"/>
      <c r="I55" s="189"/>
      <c r="J55" s="189"/>
      <c r="K55" s="278"/>
      <c r="L55" s="277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ht="15.75" customHeight="1">
      <c r="A56" s="149"/>
      <c r="B56" s="45" t="s">
        <v>265</v>
      </c>
      <c r="C56" s="177" t="s">
        <v>100</v>
      </c>
      <c r="D56" s="189">
        <v>7.55903016E8</v>
      </c>
      <c r="E56" s="189">
        <v>5.68996211E8</v>
      </c>
      <c r="F56" s="189">
        <f t="shared" ref="F56:F59" si="29">D56-E56</f>
        <v>186906805</v>
      </c>
      <c r="G56" s="274">
        <f t="shared" ref="G56:G59" si="30">F56/D56*100</f>
        <v>24.72629438</v>
      </c>
      <c r="H56" s="274">
        <v>1.254E8</v>
      </c>
      <c r="I56" s="189">
        <f t="shared" ref="I56:I59" si="31">F56-H56</f>
        <v>61506805</v>
      </c>
      <c r="J56" s="189">
        <f t="shared" ref="J56:J59" si="32">I56/D56*100</f>
        <v>8.136864611</v>
      </c>
      <c r="K56" s="278"/>
      <c r="L56" s="277" t="s">
        <v>417</v>
      </c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t="15.75" customHeight="1">
      <c r="A57" s="149"/>
      <c r="B57" s="45" t="s">
        <v>266</v>
      </c>
      <c r="C57" s="177" t="s">
        <v>101</v>
      </c>
      <c r="D57" s="189">
        <v>6.14770362E8</v>
      </c>
      <c r="E57" s="189">
        <v>4.62760432E8</v>
      </c>
      <c r="F57" s="189">
        <f t="shared" si="29"/>
        <v>152009930</v>
      </c>
      <c r="G57" s="274">
        <f t="shared" si="30"/>
        <v>24.72629447</v>
      </c>
      <c r="H57" s="189">
        <v>1.254E8</v>
      </c>
      <c r="I57" s="189">
        <f t="shared" si="31"/>
        <v>26609930</v>
      </c>
      <c r="J57" s="189">
        <f t="shared" si="32"/>
        <v>4.328434102</v>
      </c>
      <c r="K57" s="278"/>
      <c r="L57" s="277" t="s">
        <v>418</v>
      </c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ht="15.75" customHeight="1">
      <c r="A58" s="149"/>
      <c r="B58" s="45" t="s">
        <v>267</v>
      </c>
      <c r="C58" s="177" t="s">
        <v>102</v>
      </c>
      <c r="D58" s="189">
        <v>6.91270877E8</v>
      </c>
      <c r="E58" s="189">
        <v>5.20345205E8</v>
      </c>
      <c r="F58" s="189">
        <f t="shared" si="29"/>
        <v>170925672</v>
      </c>
      <c r="G58" s="274">
        <f t="shared" si="30"/>
        <v>24.72629438</v>
      </c>
      <c r="H58" s="189">
        <v>9.3E7</v>
      </c>
      <c r="I58" s="189">
        <f t="shared" si="31"/>
        <v>77925672</v>
      </c>
      <c r="J58" s="275">
        <f t="shared" si="32"/>
        <v>11.27281281</v>
      </c>
      <c r="K58" s="276" t="s">
        <v>381</v>
      </c>
      <c r="L58" s="277" t="s">
        <v>419</v>
      </c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ht="15.75" customHeight="1">
      <c r="A59" s="149"/>
      <c r="B59" s="45" t="s">
        <v>268</v>
      </c>
      <c r="C59" s="177" t="s">
        <v>103</v>
      </c>
      <c r="D59" s="189">
        <v>5.49114682E8</v>
      </c>
      <c r="E59" s="189">
        <v>4.1333897E8</v>
      </c>
      <c r="F59" s="189">
        <f t="shared" si="29"/>
        <v>135775712</v>
      </c>
      <c r="G59" s="274">
        <f t="shared" si="30"/>
        <v>24.72629424</v>
      </c>
      <c r="H59" s="189">
        <v>1.092E8</v>
      </c>
      <c r="I59" s="189">
        <f t="shared" si="31"/>
        <v>26575712</v>
      </c>
      <c r="J59" s="189">
        <f t="shared" si="32"/>
        <v>4.839738013</v>
      </c>
      <c r="K59" s="278"/>
      <c r="L59" s="277" t="s">
        <v>420</v>
      </c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ht="15.75" customHeight="1">
      <c r="A60" s="149"/>
      <c r="B60" s="45" t="s">
        <v>104</v>
      </c>
      <c r="C60" s="177" t="s">
        <v>105</v>
      </c>
      <c r="D60" s="189"/>
      <c r="E60" s="189"/>
      <c r="F60" s="189"/>
      <c r="G60" s="274"/>
      <c r="H60" s="189"/>
      <c r="I60" s="189"/>
      <c r="J60" s="189"/>
      <c r="K60" s="278"/>
      <c r="L60" s="277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ht="15.75" customHeight="1">
      <c r="A61" s="149"/>
      <c r="B61" s="45" t="s">
        <v>269</v>
      </c>
      <c r="C61" s="177" t="s">
        <v>106</v>
      </c>
      <c r="D61" s="189">
        <v>8.50755967E8</v>
      </c>
      <c r="E61" s="189">
        <v>6.40395542E8</v>
      </c>
      <c r="F61" s="189">
        <f t="shared" ref="F61:F66" si="33">D61-E61</f>
        <v>210360425</v>
      </c>
      <c r="G61" s="274">
        <f t="shared" ref="G61:G66" si="34">F61/D61*100</f>
        <v>24.7262944</v>
      </c>
      <c r="H61" s="274">
        <v>1.038E8</v>
      </c>
      <c r="I61" s="189">
        <f t="shared" ref="I61:I66" si="35">F61-H61</f>
        <v>106560425</v>
      </c>
      <c r="J61" s="275">
        <f t="shared" ref="J61:J66" si="36">I61/D61*100</f>
        <v>12.52538085</v>
      </c>
      <c r="K61" s="276" t="s">
        <v>381</v>
      </c>
      <c r="L61" s="277" t="s">
        <v>421</v>
      </c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5.75" customHeight="1">
      <c r="A62" s="149"/>
      <c r="B62" s="45" t="s">
        <v>270</v>
      </c>
      <c r="C62" s="177" t="s">
        <v>107</v>
      </c>
      <c r="D62" s="189">
        <v>3.83450829E8</v>
      </c>
      <c r="E62" s="189">
        <v>2.88637648E8</v>
      </c>
      <c r="F62" s="189">
        <f t="shared" si="33"/>
        <v>94813181</v>
      </c>
      <c r="G62" s="274">
        <f t="shared" si="34"/>
        <v>24.72629444</v>
      </c>
      <c r="H62" s="189">
        <v>4.86E7</v>
      </c>
      <c r="I62" s="189">
        <f t="shared" si="35"/>
        <v>46213181</v>
      </c>
      <c r="J62" s="275">
        <f t="shared" si="36"/>
        <v>12.0519184</v>
      </c>
      <c r="K62" s="276" t="s">
        <v>381</v>
      </c>
      <c r="L62" s="277" t="s">
        <v>422</v>
      </c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ht="15.75" customHeight="1">
      <c r="A63" s="149"/>
      <c r="B63" s="45" t="s">
        <v>271</v>
      </c>
      <c r="C63" s="177" t="s">
        <v>108</v>
      </c>
      <c r="D63" s="189">
        <v>4.46596875E8</v>
      </c>
      <c r="E63" s="189">
        <v>3.36170017E8</v>
      </c>
      <c r="F63" s="189">
        <f t="shared" si="33"/>
        <v>110426858</v>
      </c>
      <c r="G63" s="274">
        <f t="shared" si="34"/>
        <v>24.72629438</v>
      </c>
      <c r="H63" s="189">
        <v>6.54E7</v>
      </c>
      <c r="I63" s="189">
        <f t="shared" si="35"/>
        <v>45026858</v>
      </c>
      <c r="J63" s="275">
        <f t="shared" si="36"/>
        <v>10.0822152</v>
      </c>
      <c r="K63" s="276" t="s">
        <v>381</v>
      </c>
      <c r="L63" s="277" t="s">
        <v>423</v>
      </c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ht="15.75" customHeight="1">
      <c r="A64" s="149"/>
      <c r="B64" s="45" t="s">
        <v>272</v>
      </c>
      <c r="C64" s="177" t="s">
        <v>109</v>
      </c>
      <c r="D64" s="189">
        <v>5.33426969E8</v>
      </c>
      <c r="E64" s="189">
        <v>4.01530246E8</v>
      </c>
      <c r="F64" s="189">
        <f t="shared" si="33"/>
        <v>131896723</v>
      </c>
      <c r="G64" s="274">
        <f t="shared" si="34"/>
        <v>24.72629444</v>
      </c>
      <c r="H64" s="189">
        <v>9.06E7</v>
      </c>
      <c r="I64" s="189">
        <f t="shared" si="35"/>
        <v>41296723</v>
      </c>
      <c r="J64" s="189">
        <f t="shared" si="36"/>
        <v>7.741776363</v>
      </c>
      <c r="K64" s="278"/>
      <c r="L64" s="277" t="s">
        <v>424</v>
      </c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ht="15.75" customHeight="1">
      <c r="A65" s="149"/>
      <c r="B65" s="45" t="s">
        <v>273</v>
      </c>
      <c r="C65" s="177" t="s">
        <v>110</v>
      </c>
      <c r="D65" s="189">
        <v>7.3686031E8</v>
      </c>
      <c r="E65" s="189">
        <v>5.5466206E8</v>
      </c>
      <c r="F65" s="189">
        <f t="shared" si="33"/>
        <v>182198250</v>
      </c>
      <c r="G65" s="274">
        <f t="shared" si="34"/>
        <v>24.72629446</v>
      </c>
      <c r="H65" s="274">
        <v>1.038E8</v>
      </c>
      <c r="I65" s="189">
        <f t="shared" si="35"/>
        <v>78398250</v>
      </c>
      <c r="J65" s="275">
        <f t="shared" si="36"/>
        <v>10.63949964</v>
      </c>
      <c r="K65" s="276" t="s">
        <v>381</v>
      </c>
      <c r="L65" s="277" t="s">
        <v>425</v>
      </c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5.75" customHeight="1">
      <c r="A66" s="149"/>
      <c r="B66" s="45" t="s">
        <v>274</v>
      </c>
      <c r="C66" s="177" t="s">
        <v>111</v>
      </c>
      <c r="D66" s="189">
        <v>5.58676714E8</v>
      </c>
      <c r="E66" s="189">
        <v>4.20536665E8</v>
      </c>
      <c r="F66" s="189">
        <f t="shared" si="33"/>
        <v>138140049</v>
      </c>
      <c r="G66" s="274">
        <f t="shared" si="34"/>
        <v>24.72629439</v>
      </c>
      <c r="H66" s="189">
        <v>1.038E8</v>
      </c>
      <c r="I66" s="189">
        <f t="shared" si="35"/>
        <v>34340049</v>
      </c>
      <c r="J66" s="189">
        <f t="shared" si="36"/>
        <v>6.146676269</v>
      </c>
      <c r="K66" s="278"/>
      <c r="L66" s="277" t="s">
        <v>426</v>
      </c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ht="15.75" customHeight="1">
      <c r="A67" s="149"/>
      <c r="B67" s="45" t="s">
        <v>112</v>
      </c>
      <c r="C67" s="179" t="s">
        <v>113</v>
      </c>
      <c r="D67" s="189"/>
      <c r="E67" s="189"/>
      <c r="F67" s="189"/>
      <c r="G67" s="274"/>
      <c r="H67" s="189"/>
      <c r="I67" s="189"/>
      <c r="J67" s="189"/>
      <c r="K67" s="278"/>
      <c r="L67" s="277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ht="15.75" customHeight="1">
      <c r="A68" s="149"/>
      <c r="B68" s="45" t="s">
        <v>275</v>
      </c>
      <c r="C68" s="178" t="s">
        <v>114</v>
      </c>
      <c r="D68" s="189">
        <v>1.169061911E9</v>
      </c>
      <c r="E68" s="189">
        <v>8.79996221E8</v>
      </c>
      <c r="F68" s="189">
        <f t="shared" ref="F68:F71" si="37">D68-E68</f>
        <v>289065690</v>
      </c>
      <c r="G68" s="274">
        <f t="shared" ref="G68:G71" si="38">F68/D68*100</f>
        <v>24.72629441</v>
      </c>
      <c r="H68" s="189">
        <v>1.308E8</v>
      </c>
      <c r="I68" s="189">
        <f t="shared" ref="I68:I71" si="39">F68-H68</f>
        <v>158265690</v>
      </c>
      <c r="J68" s="275">
        <f t="shared" ref="J68:J71" si="40">I68/D68*100</f>
        <v>13.53783649</v>
      </c>
      <c r="K68" s="276" t="s">
        <v>381</v>
      </c>
      <c r="L68" s="277" t="s">
        <v>427</v>
      </c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ht="15.75" customHeight="1">
      <c r="A69" s="149"/>
      <c r="B69" s="45" t="s">
        <v>276</v>
      </c>
      <c r="C69" s="178" t="s">
        <v>115</v>
      </c>
      <c r="D69" s="189">
        <v>7.71622129E8</v>
      </c>
      <c r="E69" s="189">
        <v>5.8082857E8</v>
      </c>
      <c r="F69" s="189">
        <f t="shared" si="37"/>
        <v>190793559</v>
      </c>
      <c r="G69" s="274">
        <f t="shared" si="38"/>
        <v>24.72629436</v>
      </c>
      <c r="H69" s="189">
        <v>1.146E8</v>
      </c>
      <c r="I69" s="189">
        <f t="shared" si="39"/>
        <v>76193559</v>
      </c>
      <c r="J69" s="189">
        <f t="shared" si="40"/>
        <v>9.874465251</v>
      </c>
      <c r="K69" s="278"/>
      <c r="L69" s="277" t="s">
        <v>428</v>
      </c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ht="15.75" customHeight="1">
      <c r="A70" s="149"/>
      <c r="B70" s="45" t="s">
        <v>277</v>
      </c>
      <c r="C70" s="178" t="s">
        <v>116</v>
      </c>
      <c r="D70" s="189">
        <v>8.73442229E8</v>
      </c>
      <c r="E70" s="189">
        <v>6.57472332E8</v>
      </c>
      <c r="F70" s="189">
        <f t="shared" si="37"/>
        <v>215969897</v>
      </c>
      <c r="G70" s="274">
        <f t="shared" si="38"/>
        <v>24.7262944</v>
      </c>
      <c r="H70" s="189">
        <v>1.038E8</v>
      </c>
      <c r="I70" s="189">
        <f t="shared" si="39"/>
        <v>112169897</v>
      </c>
      <c r="J70" s="275">
        <f t="shared" si="40"/>
        <v>12.84228004</v>
      </c>
      <c r="K70" s="276" t="s">
        <v>381</v>
      </c>
      <c r="L70" s="277" t="s">
        <v>429</v>
      </c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5.75" customHeight="1">
      <c r="A71" s="149"/>
      <c r="B71" s="45" t="s">
        <v>278</v>
      </c>
      <c r="C71" s="177" t="s">
        <v>117</v>
      </c>
      <c r="D71" s="189">
        <v>8.21184874E8</v>
      </c>
      <c r="E71" s="189">
        <v>6.18136285E8</v>
      </c>
      <c r="F71" s="189">
        <f t="shared" si="37"/>
        <v>203048589</v>
      </c>
      <c r="G71" s="274">
        <f t="shared" si="38"/>
        <v>24.72629434</v>
      </c>
      <c r="H71" s="189">
        <v>1.362E8</v>
      </c>
      <c r="I71" s="189">
        <f t="shared" si="39"/>
        <v>66848589</v>
      </c>
      <c r="J71" s="189">
        <f t="shared" si="40"/>
        <v>8.140504181</v>
      </c>
      <c r="K71" s="278"/>
      <c r="L71" s="277" t="s">
        <v>430</v>
      </c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5.75" customHeight="1">
      <c r="A72" s="149"/>
      <c r="B72" s="45" t="s">
        <v>118</v>
      </c>
      <c r="C72" s="179" t="s">
        <v>119</v>
      </c>
      <c r="D72" s="189"/>
      <c r="E72" s="189"/>
      <c r="F72" s="189"/>
      <c r="G72" s="274"/>
      <c r="H72" s="189"/>
      <c r="I72" s="189"/>
      <c r="J72" s="189"/>
      <c r="K72" s="278"/>
      <c r="L72" s="277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5.75" customHeight="1">
      <c r="A73" s="149"/>
      <c r="B73" s="45" t="s">
        <v>279</v>
      </c>
      <c r="C73" s="177" t="s">
        <v>120</v>
      </c>
      <c r="D73" s="189">
        <v>4.98381814E8</v>
      </c>
      <c r="E73" s="189">
        <v>3.7515046E8</v>
      </c>
      <c r="F73" s="189">
        <f t="shared" ref="F73:F77" si="41">D73-E73</f>
        <v>123231354</v>
      </c>
      <c r="G73" s="274">
        <f t="shared" ref="G73:G77" si="42">F73/D73*100</f>
        <v>24.72629429</v>
      </c>
      <c r="H73" s="189">
        <v>9.06E7</v>
      </c>
      <c r="I73" s="189">
        <f t="shared" ref="I73:I77" si="43">F73-H73</f>
        <v>32631354</v>
      </c>
      <c r="J73" s="189">
        <f t="shared" ref="J73:J77" si="44">I73/D73*100</f>
        <v>6.547460819</v>
      </c>
      <c r="K73" s="278"/>
      <c r="L73" s="277" t="s">
        <v>431</v>
      </c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5.75" customHeight="1">
      <c r="A74" s="149"/>
      <c r="B74" s="45" t="s">
        <v>280</v>
      </c>
      <c r="C74" s="177" t="s">
        <v>121</v>
      </c>
      <c r="D74" s="189">
        <v>4.92413988E8</v>
      </c>
      <c r="E74" s="189">
        <v>3.70658256E8</v>
      </c>
      <c r="F74" s="189">
        <f t="shared" si="41"/>
        <v>121755732</v>
      </c>
      <c r="G74" s="274">
        <f t="shared" si="42"/>
        <v>24.72629433</v>
      </c>
      <c r="H74" s="189">
        <v>8.22E7</v>
      </c>
      <c r="I74" s="189">
        <f t="shared" si="43"/>
        <v>39555732</v>
      </c>
      <c r="J74" s="189">
        <f t="shared" si="44"/>
        <v>8.033023627</v>
      </c>
      <c r="K74" s="278"/>
      <c r="L74" s="277" t="s">
        <v>432</v>
      </c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5.75" customHeight="1">
      <c r="A75" s="149"/>
      <c r="B75" s="45" t="s">
        <v>281</v>
      </c>
      <c r="C75" s="177" t="s">
        <v>122</v>
      </c>
      <c r="D75" s="189">
        <v>5.95609971E8</v>
      </c>
      <c r="E75" s="189">
        <v>4.48337696E8</v>
      </c>
      <c r="F75" s="189">
        <f t="shared" si="41"/>
        <v>147272275</v>
      </c>
      <c r="G75" s="274">
        <f t="shared" si="42"/>
        <v>24.72629442</v>
      </c>
      <c r="H75" s="189">
        <v>8.22E7</v>
      </c>
      <c r="I75" s="189">
        <f t="shared" si="43"/>
        <v>65072275</v>
      </c>
      <c r="J75" s="275">
        <f t="shared" si="44"/>
        <v>10.92531659</v>
      </c>
      <c r="K75" s="276" t="s">
        <v>381</v>
      </c>
      <c r="L75" s="277" t="s">
        <v>433</v>
      </c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5.75" customHeight="1">
      <c r="A76" s="149"/>
      <c r="B76" s="45" t="s">
        <v>282</v>
      </c>
      <c r="C76" s="178" t="s">
        <v>123</v>
      </c>
      <c r="D76" s="189">
        <v>1.10565699E9</v>
      </c>
      <c r="E76" s="189">
        <v>8.32268988E8</v>
      </c>
      <c r="F76" s="189">
        <f t="shared" si="41"/>
        <v>273388002</v>
      </c>
      <c r="G76" s="274">
        <f t="shared" si="42"/>
        <v>24.72629436</v>
      </c>
      <c r="H76" s="189">
        <v>1.416E8</v>
      </c>
      <c r="I76" s="189">
        <f t="shared" si="43"/>
        <v>131788002</v>
      </c>
      <c r="J76" s="275">
        <f t="shared" si="44"/>
        <v>11.91942919</v>
      </c>
      <c r="K76" s="276" t="s">
        <v>381</v>
      </c>
      <c r="L76" s="277" t="s">
        <v>434</v>
      </c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5.75" customHeight="1">
      <c r="A77" s="149"/>
      <c r="B77" s="45" t="s">
        <v>283</v>
      </c>
      <c r="C77" s="177" t="s">
        <v>124</v>
      </c>
      <c r="D77" s="189">
        <v>5.31207017E8</v>
      </c>
      <c r="E77" s="189">
        <v>3.99859206E8</v>
      </c>
      <c r="F77" s="189">
        <f t="shared" si="41"/>
        <v>131347811</v>
      </c>
      <c r="G77" s="274">
        <f t="shared" si="42"/>
        <v>24.72629442</v>
      </c>
      <c r="H77" s="189">
        <v>1.038E8</v>
      </c>
      <c r="I77" s="189">
        <f t="shared" si="43"/>
        <v>27547811</v>
      </c>
      <c r="J77" s="189">
        <f t="shared" si="44"/>
        <v>5.185889892</v>
      </c>
      <c r="K77" s="278"/>
      <c r="L77" s="277" t="s">
        <v>435</v>
      </c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ht="15.75" customHeight="1">
      <c r="A78" s="149"/>
      <c r="B78" s="45" t="s">
        <v>125</v>
      </c>
      <c r="C78" s="179" t="s">
        <v>126</v>
      </c>
      <c r="D78" s="189"/>
      <c r="E78" s="189"/>
      <c r="F78" s="189"/>
      <c r="G78" s="274"/>
      <c r="H78" s="189"/>
      <c r="I78" s="189"/>
      <c r="J78" s="189"/>
      <c r="K78" s="278"/>
      <c r="L78" s="277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ht="15.75" customHeight="1">
      <c r="A79" s="149"/>
      <c r="B79" s="45" t="s">
        <v>284</v>
      </c>
      <c r="C79" s="177" t="s">
        <v>127</v>
      </c>
      <c r="D79" s="189">
        <v>7.05675045E8</v>
      </c>
      <c r="E79" s="189">
        <v>5.31187756E8</v>
      </c>
      <c r="F79" s="189">
        <f t="shared" ref="F79:F84" si="45">D79-E79</f>
        <v>174487289</v>
      </c>
      <c r="G79" s="274">
        <f t="shared" ref="G79:G84" si="46">F79/D79*100</f>
        <v>24.72629438</v>
      </c>
      <c r="H79" s="189">
        <v>1.362E8</v>
      </c>
      <c r="I79" s="189">
        <f t="shared" ref="I79:I84" si="47">F79-H79</f>
        <v>38287289</v>
      </c>
      <c r="J79" s="189">
        <f t="shared" ref="J79:J84" si="48">I79/D79*100</f>
        <v>5.42562604</v>
      </c>
      <c r="K79" s="278"/>
      <c r="L79" s="277" t="s">
        <v>436</v>
      </c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ht="15.75" customHeight="1">
      <c r="A80" s="149"/>
      <c r="B80" s="45" t="s">
        <v>285</v>
      </c>
      <c r="C80" s="177" t="s">
        <v>128</v>
      </c>
      <c r="D80" s="189">
        <v>3.39400963E8</v>
      </c>
      <c r="E80" s="189">
        <v>2.55479682E8</v>
      </c>
      <c r="F80" s="189">
        <f t="shared" si="45"/>
        <v>83921281</v>
      </c>
      <c r="G80" s="274">
        <f t="shared" si="46"/>
        <v>24.72629431</v>
      </c>
      <c r="H80" s="189">
        <v>8.22E7</v>
      </c>
      <c r="I80" s="189">
        <f t="shared" si="47"/>
        <v>1721281</v>
      </c>
      <c r="J80" s="189">
        <f t="shared" si="48"/>
        <v>0.5071526565</v>
      </c>
      <c r="K80" s="278"/>
      <c r="L80" s="277" t="s">
        <v>437</v>
      </c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ht="15.75" customHeight="1">
      <c r="A81" s="149"/>
      <c r="B81" s="45" t="s">
        <v>286</v>
      </c>
      <c r="C81" s="177" t="s">
        <v>129</v>
      </c>
      <c r="D81" s="189">
        <v>7.11194921E8</v>
      </c>
      <c r="E81" s="189">
        <v>5.35342771E8</v>
      </c>
      <c r="F81" s="189">
        <f t="shared" si="45"/>
        <v>175852150</v>
      </c>
      <c r="G81" s="274">
        <f t="shared" si="46"/>
        <v>24.72629441</v>
      </c>
      <c r="H81" s="189">
        <v>1.254E8</v>
      </c>
      <c r="I81" s="189">
        <f t="shared" si="47"/>
        <v>50452150</v>
      </c>
      <c r="J81" s="189">
        <f t="shared" si="48"/>
        <v>7.093997512</v>
      </c>
      <c r="K81" s="278"/>
      <c r="L81" s="277" t="s">
        <v>438</v>
      </c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ht="15.75" customHeight="1">
      <c r="A82" s="149"/>
      <c r="B82" s="45" t="s">
        <v>287</v>
      </c>
      <c r="C82" s="177" t="s">
        <v>130</v>
      </c>
      <c r="D82" s="189">
        <v>7.09495361E8</v>
      </c>
      <c r="E82" s="189">
        <v>5.3406345E8</v>
      </c>
      <c r="F82" s="189">
        <f t="shared" si="45"/>
        <v>175431911</v>
      </c>
      <c r="G82" s="274">
        <f t="shared" si="46"/>
        <v>24.7262943</v>
      </c>
      <c r="H82" s="189">
        <v>1.254E8</v>
      </c>
      <c r="I82" s="189">
        <f t="shared" si="47"/>
        <v>50031911</v>
      </c>
      <c r="J82" s="189">
        <f t="shared" si="48"/>
        <v>7.051760131</v>
      </c>
      <c r="K82" s="278"/>
      <c r="L82" s="277" t="s">
        <v>439</v>
      </c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ht="15.75" customHeight="1">
      <c r="A83" s="149"/>
      <c r="B83" s="45" t="s">
        <v>288</v>
      </c>
      <c r="C83" s="177" t="s">
        <v>131</v>
      </c>
      <c r="D83" s="189">
        <v>8.52036837E8</v>
      </c>
      <c r="E83" s="189">
        <v>6.413597E8</v>
      </c>
      <c r="F83" s="189">
        <f t="shared" si="45"/>
        <v>210677137</v>
      </c>
      <c r="G83" s="274">
        <f t="shared" si="46"/>
        <v>24.72629443</v>
      </c>
      <c r="H83" s="189">
        <v>1.092E8</v>
      </c>
      <c r="I83" s="189">
        <f t="shared" si="47"/>
        <v>101477137</v>
      </c>
      <c r="J83" s="275">
        <f t="shared" si="48"/>
        <v>11.90994715</v>
      </c>
      <c r="K83" s="276" t="s">
        <v>381</v>
      </c>
      <c r="L83" s="277" t="s">
        <v>440</v>
      </c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ht="15.75" customHeight="1">
      <c r="A84" s="149"/>
      <c r="B84" s="45" t="s">
        <v>289</v>
      </c>
      <c r="C84" s="177" t="s">
        <v>132</v>
      </c>
      <c r="D84" s="189">
        <v>6.26622158E8</v>
      </c>
      <c r="E84" s="189">
        <v>4.71681719E8</v>
      </c>
      <c r="F84" s="189">
        <f t="shared" si="45"/>
        <v>154940439</v>
      </c>
      <c r="G84" s="274">
        <f t="shared" si="46"/>
        <v>24.72629431</v>
      </c>
      <c r="H84" s="189">
        <v>8.22E7</v>
      </c>
      <c r="I84" s="189">
        <f t="shared" si="47"/>
        <v>72740439</v>
      </c>
      <c r="J84" s="275">
        <f t="shared" si="48"/>
        <v>11.60834134</v>
      </c>
      <c r="K84" s="276" t="s">
        <v>381</v>
      </c>
      <c r="L84" s="277" t="s">
        <v>441</v>
      </c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ht="15.75" customHeight="1">
      <c r="A85" s="149"/>
      <c r="B85" s="45" t="s">
        <v>133</v>
      </c>
      <c r="C85" s="179" t="s">
        <v>134</v>
      </c>
      <c r="D85" s="189"/>
      <c r="E85" s="189"/>
      <c r="F85" s="189"/>
      <c r="G85" s="274"/>
      <c r="H85" s="189"/>
      <c r="I85" s="189"/>
      <c r="J85" s="189"/>
      <c r="K85" s="278"/>
      <c r="L85" s="277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ht="15.75" customHeight="1">
      <c r="A86" s="149"/>
      <c r="B86" s="45" t="s">
        <v>290</v>
      </c>
      <c r="C86" s="177" t="s">
        <v>135</v>
      </c>
      <c r="D86" s="189">
        <v>8.05673783E8</v>
      </c>
      <c r="E86" s="189">
        <v>6.06460512E8</v>
      </c>
      <c r="F86" s="189">
        <f t="shared" ref="F86:F90" si="49">D86-E86</f>
        <v>199213271</v>
      </c>
      <c r="G86" s="274">
        <f t="shared" ref="G86:G90" si="50">F86/D86*100</f>
        <v>24.72629434</v>
      </c>
      <c r="H86" s="189">
        <v>1.146E8</v>
      </c>
      <c r="I86" s="189">
        <f t="shared" ref="I86:I90" si="51">F86-H86</f>
        <v>84613271</v>
      </c>
      <c r="J86" s="275">
        <f t="shared" ref="J86:J90" si="52">I86/D86*100</f>
        <v>10.50217505</v>
      </c>
      <c r="K86" s="276" t="s">
        <v>381</v>
      </c>
      <c r="L86" s="277" t="s">
        <v>442</v>
      </c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ht="15.75" customHeight="1">
      <c r="A87" s="149"/>
      <c r="B87" s="45" t="s">
        <v>291</v>
      </c>
      <c r="C87" s="177" t="s">
        <v>136</v>
      </c>
      <c r="D87" s="189">
        <v>6.95662614E8</v>
      </c>
      <c r="E87" s="189">
        <v>5.23651028E8</v>
      </c>
      <c r="F87" s="189">
        <f t="shared" si="49"/>
        <v>172011586</v>
      </c>
      <c r="G87" s="274">
        <f t="shared" si="50"/>
        <v>24.7262944</v>
      </c>
      <c r="H87" s="189">
        <v>1.146E8</v>
      </c>
      <c r="I87" s="189">
        <f t="shared" si="51"/>
        <v>57411586</v>
      </c>
      <c r="J87" s="189">
        <f t="shared" si="52"/>
        <v>8.252791633</v>
      </c>
      <c r="K87" s="278"/>
      <c r="L87" s="277" t="s">
        <v>443</v>
      </c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5.75" customHeight="1">
      <c r="A88" s="149"/>
      <c r="B88" s="45" t="s">
        <v>292</v>
      </c>
      <c r="C88" s="177" t="s">
        <v>137</v>
      </c>
      <c r="D88" s="189">
        <v>6.29831439E8</v>
      </c>
      <c r="E88" s="189">
        <v>4.74097463E8</v>
      </c>
      <c r="F88" s="189">
        <f t="shared" si="49"/>
        <v>155733976</v>
      </c>
      <c r="G88" s="274">
        <f t="shared" si="50"/>
        <v>24.72629443</v>
      </c>
      <c r="H88" s="189">
        <v>1.47E8</v>
      </c>
      <c r="I88" s="189">
        <f t="shared" si="51"/>
        <v>8733976</v>
      </c>
      <c r="J88" s="189">
        <f t="shared" si="52"/>
        <v>1.386716423</v>
      </c>
      <c r="K88" s="278"/>
      <c r="L88" s="277" t="s">
        <v>444</v>
      </c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ht="15.75" customHeight="1">
      <c r="A89" s="149"/>
      <c r="B89" s="45" t="s">
        <v>293</v>
      </c>
      <c r="C89" s="178" t="s">
        <v>138</v>
      </c>
      <c r="D89" s="189">
        <v>7.6913194E8</v>
      </c>
      <c r="E89" s="189">
        <v>5.78954112E8</v>
      </c>
      <c r="F89" s="189">
        <f t="shared" si="49"/>
        <v>190177828</v>
      </c>
      <c r="G89" s="274">
        <f t="shared" si="50"/>
        <v>24.72629442</v>
      </c>
      <c r="H89" s="189">
        <v>1.146E8</v>
      </c>
      <c r="I89" s="189">
        <f t="shared" si="51"/>
        <v>75577828</v>
      </c>
      <c r="J89" s="189">
        <f t="shared" si="52"/>
        <v>9.826380114</v>
      </c>
      <c r="K89" s="278"/>
      <c r="L89" s="277" t="s">
        <v>445</v>
      </c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ht="15.75" customHeight="1">
      <c r="A90" s="149"/>
      <c r="B90" s="45" t="s">
        <v>294</v>
      </c>
      <c r="C90" s="177" t="s">
        <v>139</v>
      </c>
      <c r="D90" s="189">
        <v>5.98867151E8</v>
      </c>
      <c r="E90" s="189">
        <v>4.50789496E8</v>
      </c>
      <c r="F90" s="189">
        <f t="shared" si="49"/>
        <v>148077655</v>
      </c>
      <c r="G90" s="274">
        <f t="shared" si="50"/>
        <v>24.72629443</v>
      </c>
      <c r="H90" s="189">
        <v>1.092E8</v>
      </c>
      <c r="I90" s="189">
        <f t="shared" si="51"/>
        <v>38877655</v>
      </c>
      <c r="J90" s="189">
        <f t="shared" si="52"/>
        <v>6.49186634</v>
      </c>
      <c r="K90" s="278"/>
      <c r="L90" s="277" t="s">
        <v>446</v>
      </c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ht="15.75" customHeight="1">
      <c r="A91" s="149"/>
      <c r="B91" s="45" t="s">
        <v>140</v>
      </c>
      <c r="C91" s="177" t="s">
        <v>141</v>
      </c>
      <c r="D91" s="189"/>
      <c r="E91" s="189"/>
      <c r="F91" s="189"/>
      <c r="G91" s="274"/>
      <c r="H91" s="189"/>
      <c r="I91" s="189"/>
      <c r="J91" s="189"/>
      <c r="K91" s="278"/>
      <c r="L91" s="277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ht="15.75" customHeight="1">
      <c r="A92" s="149"/>
      <c r="B92" s="45" t="s">
        <v>295</v>
      </c>
      <c r="C92" s="177" t="s">
        <v>142</v>
      </c>
      <c r="D92" s="189">
        <v>5.47919101E8</v>
      </c>
      <c r="E92" s="189">
        <v>4.12439011E8</v>
      </c>
      <c r="F92" s="189">
        <f t="shared" ref="F92:F99" si="53">D92-E92</f>
        <v>135480090</v>
      </c>
      <c r="G92" s="274">
        <f t="shared" ref="G92:G99" si="54">F92/D92*100</f>
        <v>24.7262944</v>
      </c>
      <c r="H92" s="189">
        <v>1.032E8</v>
      </c>
      <c r="I92" s="189">
        <f t="shared" ref="I92:I99" si="55">F92-H92</f>
        <v>32280090</v>
      </c>
      <c r="J92" s="189">
        <f t="shared" ref="J92:J99" si="56">I92/D92*100</f>
        <v>5.891397095</v>
      </c>
      <c r="K92" s="278"/>
      <c r="L92" s="277" t="s">
        <v>447</v>
      </c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ht="15.75" customHeight="1">
      <c r="A93" s="149"/>
      <c r="B93" s="45" t="s">
        <v>296</v>
      </c>
      <c r="C93" s="177" t="s">
        <v>143</v>
      </c>
      <c r="D93" s="189">
        <v>4.18106641E8</v>
      </c>
      <c r="E93" s="189">
        <v>3.14724362E8</v>
      </c>
      <c r="F93" s="189">
        <f t="shared" si="53"/>
        <v>103382279</v>
      </c>
      <c r="G93" s="274">
        <f t="shared" si="54"/>
        <v>24.72629441</v>
      </c>
      <c r="H93" s="189">
        <v>5.28E7</v>
      </c>
      <c r="I93" s="189">
        <f t="shared" si="55"/>
        <v>50582279</v>
      </c>
      <c r="J93" s="275">
        <f t="shared" si="56"/>
        <v>12.09793723</v>
      </c>
      <c r="K93" s="276" t="s">
        <v>381</v>
      </c>
      <c r="L93" s="277" t="s">
        <v>448</v>
      </c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ht="15.75" customHeight="1">
      <c r="A94" s="149"/>
      <c r="B94" s="45" t="s">
        <v>297</v>
      </c>
      <c r="C94" s="177" t="s">
        <v>144</v>
      </c>
      <c r="D94" s="189">
        <v>3.83865136E8</v>
      </c>
      <c r="E94" s="189">
        <v>2.88949513E8</v>
      </c>
      <c r="F94" s="189">
        <f t="shared" si="53"/>
        <v>94915623</v>
      </c>
      <c r="G94" s="274">
        <f t="shared" si="54"/>
        <v>24.72629424</v>
      </c>
      <c r="H94" s="189">
        <v>6.12E7</v>
      </c>
      <c r="I94" s="189">
        <f t="shared" si="55"/>
        <v>33715623</v>
      </c>
      <c r="J94" s="189">
        <f t="shared" si="56"/>
        <v>8.783194887</v>
      </c>
      <c r="K94" s="278"/>
      <c r="L94" s="277" t="s">
        <v>449</v>
      </c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ht="15.75" customHeight="1">
      <c r="A95" s="149"/>
      <c r="B95" s="45" t="s">
        <v>298</v>
      </c>
      <c r="C95" s="177" t="s">
        <v>145</v>
      </c>
      <c r="D95" s="189">
        <v>4.27436951E8</v>
      </c>
      <c r="E95" s="189">
        <v>3.21747633E8</v>
      </c>
      <c r="F95" s="189">
        <f t="shared" si="53"/>
        <v>105689318</v>
      </c>
      <c r="G95" s="274">
        <f t="shared" si="54"/>
        <v>24.72629419</v>
      </c>
      <c r="H95" s="189">
        <v>9.06E7</v>
      </c>
      <c r="I95" s="189">
        <f t="shared" si="55"/>
        <v>15089318</v>
      </c>
      <c r="J95" s="189">
        <f t="shared" si="56"/>
        <v>3.530185672</v>
      </c>
      <c r="K95" s="278"/>
      <c r="L95" s="277" t="s">
        <v>450</v>
      </c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ht="15.75" customHeight="1">
      <c r="A96" s="149"/>
      <c r="B96" s="45" t="s">
        <v>299</v>
      </c>
      <c r="C96" s="177" t="s">
        <v>146</v>
      </c>
      <c r="D96" s="189">
        <v>4.52583067E8</v>
      </c>
      <c r="E96" s="189">
        <v>3.40676045E8</v>
      </c>
      <c r="F96" s="189">
        <f t="shared" si="53"/>
        <v>111907022</v>
      </c>
      <c r="G96" s="274">
        <f t="shared" si="54"/>
        <v>24.7262945</v>
      </c>
      <c r="H96" s="189">
        <v>6.96E7</v>
      </c>
      <c r="I96" s="189">
        <f t="shared" si="55"/>
        <v>42307022</v>
      </c>
      <c r="J96" s="189">
        <f t="shared" si="56"/>
        <v>9.347902095</v>
      </c>
      <c r="K96" s="278"/>
      <c r="L96" s="277" t="s">
        <v>451</v>
      </c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ht="15.75" customHeight="1">
      <c r="A97" s="149"/>
      <c r="B97" s="45" t="s">
        <v>300</v>
      </c>
      <c r="C97" s="177" t="s">
        <v>147</v>
      </c>
      <c r="D97" s="189">
        <v>5.86889289E8</v>
      </c>
      <c r="E97" s="189">
        <v>4.41773316E8</v>
      </c>
      <c r="F97" s="189">
        <f t="shared" si="53"/>
        <v>145115973</v>
      </c>
      <c r="G97" s="274">
        <f t="shared" si="54"/>
        <v>24.72629433</v>
      </c>
      <c r="H97" s="189">
        <v>1.092E8</v>
      </c>
      <c r="I97" s="189">
        <f t="shared" si="55"/>
        <v>35915973</v>
      </c>
      <c r="J97" s="189">
        <f t="shared" si="56"/>
        <v>6.119718603</v>
      </c>
      <c r="K97" s="278"/>
      <c r="L97" s="277" t="s">
        <v>452</v>
      </c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ht="15.75" customHeight="1">
      <c r="A98" s="149"/>
      <c r="B98" s="45" t="s">
        <v>301</v>
      </c>
      <c r="C98" s="177" t="s">
        <v>148</v>
      </c>
      <c r="D98" s="189">
        <v>4.40062847E8</v>
      </c>
      <c r="E98" s="189">
        <v>3.31251612E8</v>
      </c>
      <c r="F98" s="189">
        <f t="shared" si="53"/>
        <v>108811235</v>
      </c>
      <c r="G98" s="274">
        <f t="shared" si="54"/>
        <v>24.72629438</v>
      </c>
      <c r="H98" s="189">
        <v>8.22E7</v>
      </c>
      <c r="I98" s="189">
        <f t="shared" si="55"/>
        <v>26611235</v>
      </c>
      <c r="J98" s="189">
        <f t="shared" si="56"/>
        <v>6.047144216</v>
      </c>
      <c r="K98" s="278"/>
      <c r="L98" s="277" t="s">
        <v>453</v>
      </c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ht="15.75" customHeight="1">
      <c r="A99" s="149"/>
      <c r="B99" s="45" t="s">
        <v>302</v>
      </c>
      <c r="C99" s="177" t="s">
        <v>149</v>
      </c>
      <c r="D99" s="189">
        <v>5.9796047E8</v>
      </c>
      <c r="E99" s="189">
        <v>4.50107004E8</v>
      </c>
      <c r="F99" s="189">
        <f t="shared" si="53"/>
        <v>147853466</v>
      </c>
      <c r="G99" s="274">
        <f t="shared" si="54"/>
        <v>24.72629437</v>
      </c>
      <c r="H99" s="189">
        <v>6.96E7</v>
      </c>
      <c r="I99" s="189">
        <f t="shared" si="55"/>
        <v>78253466</v>
      </c>
      <c r="J99" s="275">
        <f t="shared" si="56"/>
        <v>13.08672896</v>
      </c>
      <c r="K99" s="276" t="s">
        <v>381</v>
      </c>
      <c r="L99" s="277" t="s">
        <v>454</v>
      </c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ht="15.75" customHeight="1">
      <c r="A100" s="149"/>
      <c r="B100" s="45" t="s">
        <v>150</v>
      </c>
      <c r="C100" s="177" t="s">
        <v>151</v>
      </c>
      <c r="D100" s="189"/>
      <c r="E100" s="189"/>
      <c r="F100" s="189"/>
      <c r="G100" s="274"/>
      <c r="H100" s="189"/>
      <c r="I100" s="189"/>
      <c r="J100" s="189"/>
      <c r="K100" s="278"/>
      <c r="L100" s="277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ht="15.75" customHeight="1">
      <c r="A101" s="149"/>
      <c r="B101" s="45" t="s">
        <v>303</v>
      </c>
      <c r="C101" s="177" t="s">
        <v>152</v>
      </c>
      <c r="D101" s="189">
        <v>6.22258937E8</v>
      </c>
      <c r="E101" s="189">
        <v>4.6839736E8</v>
      </c>
      <c r="F101" s="189">
        <f t="shared" ref="F101:F104" si="57">D101-E101</f>
        <v>153861577</v>
      </c>
      <c r="G101" s="274">
        <f t="shared" ref="G101:G104" si="58">F101/D101*100</f>
        <v>24.72629445</v>
      </c>
      <c r="H101" s="189">
        <v>8.22E7</v>
      </c>
      <c r="I101" s="189">
        <f t="shared" ref="I101:I104" si="59">F101-H101</f>
        <v>71661577</v>
      </c>
      <c r="J101" s="189">
        <f t="shared" ref="J101:J104" si="60">I101/D101*100</f>
        <v>11.51635963</v>
      </c>
      <c r="K101" s="278"/>
      <c r="L101" s="277" t="s">
        <v>455</v>
      </c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ht="15.75" customHeight="1">
      <c r="A102" s="149"/>
      <c r="B102" s="45" t="s">
        <v>304</v>
      </c>
      <c r="C102" s="177" t="s">
        <v>153</v>
      </c>
      <c r="D102" s="189">
        <v>6.0566553E8</v>
      </c>
      <c r="E102" s="189">
        <v>4.55906888E8</v>
      </c>
      <c r="F102" s="189">
        <f t="shared" si="57"/>
        <v>149758642</v>
      </c>
      <c r="G102" s="274">
        <f t="shared" si="58"/>
        <v>24.7262944</v>
      </c>
      <c r="H102" s="189">
        <v>1.038E8</v>
      </c>
      <c r="I102" s="189">
        <f t="shared" si="59"/>
        <v>45958642</v>
      </c>
      <c r="J102" s="189">
        <f t="shared" si="60"/>
        <v>7.588122441</v>
      </c>
      <c r="K102" s="278"/>
      <c r="L102" s="277" t="s">
        <v>456</v>
      </c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ht="15.75" customHeight="1">
      <c r="A103" s="149"/>
      <c r="B103" s="45" t="s">
        <v>305</v>
      </c>
      <c r="C103" s="177" t="s">
        <v>154</v>
      </c>
      <c r="D103" s="189">
        <v>6.66219192E8</v>
      </c>
      <c r="E103" s="189">
        <v>5.01487873E8</v>
      </c>
      <c r="F103" s="189">
        <f t="shared" si="57"/>
        <v>164731319</v>
      </c>
      <c r="G103" s="274">
        <f t="shared" si="58"/>
        <v>24.72629444</v>
      </c>
      <c r="H103" s="189">
        <v>9.06E7</v>
      </c>
      <c r="I103" s="189">
        <f t="shared" si="59"/>
        <v>74131319</v>
      </c>
      <c r="J103" s="275">
        <f t="shared" si="60"/>
        <v>11.12716654</v>
      </c>
      <c r="K103" s="276" t="s">
        <v>381</v>
      </c>
      <c r="L103" s="277" t="s">
        <v>457</v>
      </c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ht="15.75" customHeight="1">
      <c r="A104" s="149"/>
      <c r="B104" s="45" t="s">
        <v>306</v>
      </c>
      <c r="C104" s="177" t="s">
        <v>155</v>
      </c>
      <c r="D104" s="189">
        <v>8.57240115E8</v>
      </c>
      <c r="E104" s="189">
        <v>6.45276401E8</v>
      </c>
      <c r="F104" s="189">
        <f t="shared" si="57"/>
        <v>211963714</v>
      </c>
      <c r="G104" s="274">
        <f t="shared" si="58"/>
        <v>24.72629434</v>
      </c>
      <c r="H104" s="189">
        <v>1.254E8</v>
      </c>
      <c r="I104" s="189">
        <f t="shared" si="59"/>
        <v>86563714</v>
      </c>
      <c r="J104" s="275">
        <f t="shared" si="60"/>
        <v>10.09795418</v>
      </c>
      <c r="K104" s="276" t="s">
        <v>381</v>
      </c>
      <c r="L104" s="277" t="s">
        <v>458</v>
      </c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ht="15.75" customHeight="1">
      <c r="A105" s="149"/>
      <c r="B105" s="45" t="s">
        <v>156</v>
      </c>
      <c r="C105" s="177" t="s">
        <v>157</v>
      </c>
      <c r="D105" s="189"/>
      <c r="E105" s="189"/>
      <c r="F105" s="189"/>
      <c r="G105" s="274"/>
      <c r="H105" s="189"/>
      <c r="I105" s="189"/>
      <c r="J105" s="189"/>
      <c r="K105" s="278"/>
      <c r="L105" s="277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ht="15.75" customHeight="1">
      <c r="A106" s="149"/>
      <c r="B106" s="45" t="s">
        <v>307</v>
      </c>
      <c r="C106" s="177" t="s">
        <v>158</v>
      </c>
      <c r="D106" s="189">
        <v>7.30346486E8</v>
      </c>
      <c r="E106" s="189">
        <v>5.49758864E8</v>
      </c>
      <c r="F106" s="189">
        <f t="shared" ref="F106:F110" si="61">D106-E106</f>
        <v>180587622</v>
      </c>
      <c r="G106" s="274">
        <f t="shared" ref="G106:G110" si="62">F106/D106*100</f>
        <v>24.72629436</v>
      </c>
      <c r="H106" s="189">
        <v>8.76E7</v>
      </c>
      <c r="I106" s="189">
        <f t="shared" ref="I106:I110" si="63">F106-H106</f>
        <v>92987622</v>
      </c>
      <c r="J106" s="275">
        <f t="shared" ref="J106:J110" si="64">I106/D106*100</f>
        <v>12.73198732</v>
      </c>
      <c r="K106" s="276" t="s">
        <v>381</v>
      </c>
      <c r="L106" s="277" t="s">
        <v>459</v>
      </c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ht="15.75" customHeight="1">
      <c r="A107" s="149"/>
      <c r="B107" s="45" t="s">
        <v>308</v>
      </c>
      <c r="C107" s="177" t="s">
        <v>159</v>
      </c>
      <c r="D107" s="189">
        <v>5.06533296E8</v>
      </c>
      <c r="E107" s="189">
        <v>3.81286382E8</v>
      </c>
      <c r="F107" s="189">
        <f t="shared" si="61"/>
        <v>125246914</v>
      </c>
      <c r="G107" s="274">
        <f t="shared" si="62"/>
        <v>24.7262944</v>
      </c>
      <c r="H107" s="189">
        <v>6.96E7</v>
      </c>
      <c r="I107" s="189">
        <f t="shared" si="63"/>
        <v>55646914</v>
      </c>
      <c r="J107" s="275">
        <f t="shared" si="64"/>
        <v>10.98583537</v>
      </c>
      <c r="K107" s="276" t="s">
        <v>381</v>
      </c>
      <c r="L107" s="277" t="s">
        <v>460</v>
      </c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ht="15.75" customHeight="1">
      <c r="A108" s="149"/>
      <c r="B108" s="45" t="s">
        <v>309</v>
      </c>
      <c r="C108" s="177" t="s">
        <v>160</v>
      </c>
      <c r="D108" s="189">
        <v>4.37121235E8</v>
      </c>
      <c r="E108" s="189">
        <v>3.29037352E8</v>
      </c>
      <c r="F108" s="189">
        <f t="shared" si="61"/>
        <v>108083883</v>
      </c>
      <c r="G108" s="274">
        <f t="shared" si="62"/>
        <v>24.7262943</v>
      </c>
      <c r="H108" s="189">
        <v>7.38E7</v>
      </c>
      <c r="I108" s="189">
        <f t="shared" si="63"/>
        <v>34283883</v>
      </c>
      <c r="J108" s="189">
        <f t="shared" si="64"/>
        <v>7.843106272</v>
      </c>
      <c r="K108" s="278"/>
      <c r="L108" s="277" t="s">
        <v>461</v>
      </c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ht="15.75" customHeight="1">
      <c r="A109" s="149"/>
      <c r="B109" s="45" t="s">
        <v>310</v>
      </c>
      <c r="C109" s="177" t="s">
        <v>161</v>
      </c>
      <c r="D109" s="189">
        <v>3.3262188E8</v>
      </c>
      <c r="E109" s="189">
        <v>2.50376815E8</v>
      </c>
      <c r="F109" s="189">
        <f t="shared" si="61"/>
        <v>82245065</v>
      </c>
      <c r="G109" s="274">
        <f t="shared" si="62"/>
        <v>24.72629431</v>
      </c>
      <c r="H109" s="189">
        <v>9.9E7</v>
      </c>
      <c r="I109" s="189">
        <f t="shared" si="63"/>
        <v>-16754935</v>
      </c>
      <c r="J109" s="189">
        <f t="shared" si="64"/>
        <v>-5.037231766</v>
      </c>
      <c r="K109" s="278"/>
      <c r="L109" s="277" t="s">
        <v>462</v>
      </c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ht="15.75" customHeight="1">
      <c r="A110" s="149"/>
      <c r="B110" s="45" t="s">
        <v>311</v>
      </c>
      <c r="C110" s="177" t="s">
        <v>162</v>
      </c>
      <c r="D110" s="189">
        <v>6.40721652E8</v>
      </c>
      <c r="E110" s="189">
        <v>4.8229493E8</v>
      </c>
      <c r="F110" s="189">
        <f t="shared" si="61"/>
        <v>158426722</v>
      </c>
      <c r="G110" s="274">
        <f t="shared" si="62"/>
        <v>24.72629441</v>
      </c>
      <c r="H110" s="189">
        <v>1.254E8</v>
      </c>
      <c r="I110" s="189">
        <f t="shared" si="63"/>
        <v>33026722</v>
      </c>
      <c r="J110" s="189">
        <f t="shared" si="64"/>
        <v>5.154613067</v>
      </c>
      <c r="K110" s="278"/>
      <c r="L110" s="277" t="s">
        <v>463</v>
      </c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ht="15.75" customHeight="1">
      <c r="A111" s="149"/>
      <c r="B111" s="45" t="s">
        <v>163</v>
      </c>
      <c r="C111" s="177" t="s">
        <v>164</v>
      </c>
      <c r="D111" s="189"/>
      <c r="E111" s="189"/>
      <c r="F111" s="189"/>
      <c r="G111" s="274"/>
      <c r="H111" s="189"/>
      <c r="I111" s="189"/>
      <c r="J111" s="189"/>
      <c r="K111" s="278"/>
      <c r="L111" s="277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ht="15.75" customHeight="1">
      <c r="A112" s="149"/>
      <c r="B112" s="45" t="s">
        <v>312</v>
      </c>
      <c r="C112" s="178" t="s">
        <v>165</v>
      </c>
      <c r="D112" s="189">
        <v>6.99751432E8</v>
      </c>
      <c r="E112" s="189">
        <v>5.26728833E8</v>
      </c>
      <c r="F112" s="189">
        <f t="shared" ref="F112:F116" si="65">D112-E112</f>
        <v>173022599</v>
      </c>
      <c r="G112" s="274">
        <f t="shared" ref="G112:G117" si="66">F112/D112*100</f>
        <v>24.72629438</v>
      </c>
      <c r="H112" s="189">
        <v>1.158E8</v>
      </c>
      <c r="I112" s="189">
        <f t="shared" ref="I112:I116" si="67">F112-H112</f>
        <v>57222599</v>
      </c>
      <c r="J112" s="189">
        <f t="shared" ref="J112:J117" si="68">I112/D112*100</f>
        <v>8.177560828</v>
      </c>
      <c r="K112" s="278"/>
      <c r="L112" s="277" t="s">
        <v>464</v>
      </c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ht="15.75" customHeight="1">
      <c r="A113" s="149"/>
      <c r="B113" s="45" t="s">
        <v>313</v>
      </c>
      <c r="C113" s="178" t="s">
        <v>166</v>
      </c>
      <c r="D113" s="189">
        <v>8.84928659E8</v>
      </c>
      <c r="E113" s="189">
        <v>6.66118593E8</v>
      </c>
      <c r="F113" s="189">
        <f t="shared" si="65"/>
        <v>218810066</v>
      </c>
      <c r="G113" s="274">
        <f t="shared" si="66"/>
        <v>24.72629446</v>
      </c>
      <c r="H113" s="189">
        <v>1.2E8</v>
      </c>
      <c r="I113" s="189">
        <f t="shared" si="67"/>
        <v>98810066</v>
      </c>
      <c r="J113" s="275">
        <f t="shared" si="68"/>
        <v>11.16587931</v>
      </c>
      <c r="K113" s="276" t="s">
        <v>381</v>
      </c>
      <c r="L113" s="277" t="s">
        <v>465</v>
      </c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ht="15.75" customHeight="1">
      <c r="A114" s="149"/>
      <c r="B114" s="45" t="s">
        <v>314</v>
      </c>
      <c r="C114" s="177" t="s">
        <v>167</v>
      </c>
      <c r="D114" s="189">
        <v>4.74342219E8</v>
      </c>
      <c r="E114" s="189">
        <v>3.57054966E8</v>
      </c>
      <c r="F114" s="189">
        <f t="shared" si="65"/>
        <v>117287253</v>
      </c>
      <c r="G114" s="274">
        <f t="shared" si="66"/>
        <v>24.72629429</v>
      </c>
      <c r="H114" s="189">
        <v>5.46E7</v>
      </c>
      <c r="I114" s="189">
        <f t="shared" si="67"/>
        <v>62687253</v>
      </c>
      <c r="J114" s="275">
        <f t="shared" si="68"/>
        <v>13.21561744</v>
      </c>
      <c r="K114" s="276" t="s">
        <v>381</v>
      </c>
      <c r="L114" s="277" t="s">
        <v>466</v>
      </c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ht="15.75" customHeight="1">
      <c r="A115" s="149"/>
      <c r="B115" s="45" t="s">
        <v>315</v>
      </c>
      <c r="C115" s="177" t="s">
        <v>168</v>
      </c>
      <c r="D115" s="189">
        <v>4.35131497E8</v>
      </c>
      <c r="E115" s="189">
        <v>3.27539602E8</v>
      </c>
      <c r="F115" s="189">
        <f t="shared" si="65"/>
        <v>107591895</v>
      </c>
      <c r="G115" s="274">
        <f t="shared" si="66"/>
        <v>24.72629441</v>
      </c>
      <c r="H115" s="189">
        <v>6.06E7</v>
      </c>
      <c r="I115" s="189">
        <f t="shared" si="67"/>
        <v>46991895</v>
      </c>
      <c r="J115" s="275">
        <f t="shared" si="68"/>
        <v>10.79946989</v>
      </c>
      <c r="K115" s="276" t="s">
        <v>381</v>
      </c>
      <c r="L115" s="277" t="s">
        <v>467</v>
      </c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ht="15.75" customHeight="1">
      <c r="A116" s="149"/>
      <c r="B116" s="45" t="s">
        <v>316</v>
      </c>
      <c r="C116" s="177" t="s">
        <v>169</v>
      </c>
      <c r="D116" s="189">
        <v>4.72650279E8</v>
      </c>
      <c r="E116" s="189">
        <v>3.55781379E8</v>
      </c>
      <c r="F116" s="189">
        <f t="shared" si="65"/>
        <v>116868900</v>
      </c>
      <c r="G116" s="274">
        <f t="shared" si="66"/>
        <v>24.72629451</v>
      </c>
      <c r="H116" s="189">
        <v>9.9E7</v>
      </c>
      <c r="I116" s="189">
        <f t="shared" si="67"/>
        <v>17868900</v>
      </c>
      <c r="J116" s="189">
        <f t="shared" si="68"/>
        <v>3.780575363</v>
      </c>
      <c r="K116" s="278"/>
      <c r="L116" s="277" t="s">
        <v>468</v>
      </c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ht="15.75" customHeight="1">
      <c r="A117" s="29"/>
      <c r="B117" s="36" t="s">
        <v>317</v>
      </c>
      <c r="C117" s="34"/>
      <c r="D117" s="282">
        <f t="shared" ref="D117:F117" si="69">SUM(D15:D116)</f>
        <v>54943374853</v>
      </c>
      <c r="E117" s="282">
        <f t="shared" si="69"/>
        <v>41357914243</v>
      </c>
      <c r="F117" s="282">
        <f t="shared" si="69"/>
        <v>13585460610</v>
      </c>
      <c r="G117" s="283">
        <f t="shared" si="66"/>
        <v>24.72629438</v>
      </c>
      <c r="H117" s="282">
        <f t="shared" ref="H117:I117" si="70">SUM(H15:H116)</f>
        <v>8685600000</v>
      </c>
      <c r="I117" s="282">
        <f t="shared" si="70"/>
        <v>4899860610</v>
      </c>
      <c r="J117" s="282">
        <f t="shared" si="68"/>
        <v>8.918019002</v>
      </c>
      <c r="K117" s="270">
        <f>COUNTA(K15:K116)</f>
        <v>32</v>
      </c>
      <c r="L117" s="284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149"/>
      <c r="B118" s="187"/>
      <c r="C118" s="187"/>
      <c r="D118" s="176"/>
      <c r="E118" s="176"/>
      <c r="F118" s="176"/>
      <c r="G118" s="194"/>
      <c r="H118" s="151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ht="15.75" customHeight="1">
      <c r="A119" s="149"/>
      <c r="B119" s="187"/>
      <c r="C119" s="187"/>
      <c r="D119" s="176"/>
      <c r="E119" s="176"/>
      <c r="F119" s="176"/>
      <c r="G119" s="194"/>
      <c r="H119" s="151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ht="15.75" customHeight="1">
      <c r="A120" s="149"/>
      <c r="B120" s="187"/>
      <c r="C120" s="187"/>
      <c r="D120" s="176"/>
      <c r="E120" s="51" t="s">
        <v>469</v>
      </c>
      <c r="F120" s="51"/>
      <c r="G120" s="194"/>
      <c r="H120" s="151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ht="45.0" customHeight="1">
      <c r="A121" s="149"/>
      <c r="B121" s="187"/>
      <c r="C121" s="187"/>
      <c r="D121" s="176"/>
      <c r="E121" s="188" t="s">
        <v>470</v>
      </c>
      <c r="F121" s="188"/>
      <c r="G121" s="194"/>
      <c r="H121" s="151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ht="30.0" customHeight="1">
      <c r="A122" s="149"/>
      <c r="B122" s="187"/>
      <c r="C122" s="187"/>
      <c r="D122" s="176"/>
      <c r="E122" s="188" t="s">
        <v>319</v>
      </c>
      <c r="F122" s="188"/>
      <c r="G122" s="194"/>
      <c r="H122" s="151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ht="15.75" customHeight="1">
      <c r="A123" s="149"/>
      <c r="B123" s="187"/>
      <c r="C123" s="187"/>
      <c r="D123" s="176" t="str">
        <f>#REF!-#REF!</f>
        <v>#REF!</v>
      </c>
      <c r="E123" s="190" t="s">
        <v>471</v>
      </c>
      <c r="F123" s="190"/>
      <c r="G123" s="194"/>
      <c r="H123" s="151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ht="15.75" customHeight="1">
      <c r="A124" s="149"/>
      <c r="B124" s="187"/>
      <c r="C124" s="176"/>
      <c r="D124" s="176"/>
      <c r="E124" s="176"/>
      <c r="F124" s="176"/>
      <c r="G124" s="194"/>
      <c r="H124" s="151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ht="15.75" customHeight="1">
      <c r="A125" s="149"/>
      <c r="B125" s="187"/>
      <c r="C125" s="176"/>
      <c r="D125" s="176"/>
      <c r="E125" s="176" t="s">
        <v>320</v>
      </c>
      <c r="F125" s="176"/>
      <c r="G125" s="194"/>
      <c r="H125" s="151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ht="15.75" customHeight="1">
      <c r="A126" s="149"/>
      <c r="B126" s="187"/>
      <c r="C126" s="176"/>
      <c r="D126" s="176"/>
      <c r="E126" s="176" t="s">
        <v>321</v>
      </c>
      <c r="F126" s="176"/>
      <c r="G126" s="194"/>
      <c r="H126" s="151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ht="15.75" customHeight="1">
      <c r="A127" s="149"/>
      <c r="B127" s="187"/>
      <c r="C127" s="176"/>
      <c r="D127" s="176"/>
      <c r="E127" s="176" t="s">
        <v>322</v>
      </c>
      <c r="F127" s="176"/>
      <c r="G127" s="194"/>
      <c r="H127" s="151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ht="15.75" customHeight="1">
      <c r="A128" s="149"/>
      <c r="B128" s="187"/>
      <c r="C128" s="176"/>
      <c r="D128" s="176"/>
      <c r="E128" s="176" t="s">
        <v>323</v>
      </c>
      <c r="F128" s="176"/>
      <c r="G128" s="194"/>
      <c r="H128" s="151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5.75" customHeight="1">
      <c r="A129" s="149"/>
      <c r="B129" s="187"/>
      <c r="C129" s="176"/>
      <c r="D129" s="176"/>
      <c r="E129" s="176" t="s">
        <v>324</v>
      </c>
      <c r="F129" s="176"/>
      <c r="G129" s="194"/>
      <c r="H129" s="151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15.75" customHeight="1">
      <c r="A130" s="149"/>
      <c r="B130" s="187"/>
      <c r="C130" s="176"/>
      <c r="D130" s="176"/>
      <c r="E130" s="176" t="s">
        <v>325</v>
      </c>
      <c r="F130" s="176"/>
      <c r="G130" s="194"/>
      <c r="H130" s="151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5.75" customHeight="1">
      <c r="A131" s="149"/>
      <c r="B131" s="187"/>
      <c r="C131" s="176"/>
      <c r="D131" s="176"/>
      <c r="E131" s="176"/>
      <c r="F131" s="176"/>
      <c r="G131" s="194"/>
      <c r="H131" s="151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5.75" customHeight="1">
      <c r="A132" s="149"/>
      <c r="B132" s="187"/>
      <c r="C132" s="176"/>
      <c r="D132" s="176"/>
      <c r="E132" s="176"/>
      <c r="F132" s="176"/>
      <c r="G132" s="194"/>
      <c r="H132" s="151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5.75" customHeight="1">
      <c r="A133" s="149"/>
      <c r="B133" s="187"/>
      <c r="C133" s="285"/>
      <c r="D133" s="176"/>
      <c r="E133" s="176" t="s">
        <v>472</v>
      </c>
      <c r="F133" s="176"/>
      <c r="G133" s="194"/>
      <c r="H133" s="151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5.75" customHeight="1">
      <c r="A134" s="149"/>
      <c r="B134" s="187"/>
      <c r="C134" s="187"/>
      <c r="D134" s="176"/>
      <c r="E134" s="176" t="s">
        <v>326</v>
      </c>
      <c r="F134" s="176"/>
      <c r="G134" s="194"/>
      <c r="H134" s="151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5.75" customHeight="1">
      <c r="A135" s="149"/>
      <c r="B135" s="57"/>
      <c r="C135" s="192"/>
      <c r="D135" s="176"/>
      <c r="E135" s="176" t="s">
        <v>327</v>
      </c>
      <c r="F135" s="176"/>
      <c r="G135" s="194"/>
      <c r="H135" s="151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5.75" customHeight="1">
      <c r="A136" s="149"/>
      <c r="B136" s="57"/>
      <c r="C136" s="149"/>
      <c r="D136" s="176"/>
      <c r="E136" s="193" t="s">
        <v>328</v>
      </c>
      <c r="F136" s="193"/>
      <c r="G136" s="194"/>
      <c r="H136" s="151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5.75" customHeight="1">
      <c r="A137" s="149"/>
      <c r="B137" s="57"/>
      <c r="C137" s="149"/>
      <c r="D137" s="176"/>
      <c r="E137" s="194"/>
      <c r="F137" s="194"/>
      <c r="G137" s="57"/>
      <c r="H137" s="151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5.75" customHeight="1">
      <c r="A138" s="149"/>
      <c r="B138" s="57"/>
      <c r="C138" s="149"/>
      <c r="D138" s="176"/>
      <c r="E138" s="194"/>
      <c r="F138" s="194"/>
      <c r="G138" s="194"/>
      <c r="H138" s="151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5.75" customHeight="1">
      <c r="A139" s="149"/>
      <c r="B139" s="57"/>
      <c r="C139" s="149"/>
      <c r="D139" s="176"/>
      <c r="E139" s="194"/>
      <c r="F139" s="194"/>
      <c r="G139" s="194"/>
      <c r="H139" s="151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5.75" customHeight="1">
      <c r="A140" s="149"/>
      <c r="B140" s="57"/>
      <c r="C140" s="149"/>
      <c r="D140" s="149"/>
      <c r="E140" s="176"/>
      <c r="F140" s="176"/>
      <c r="G140" s="194"/>
      <c r="H140" s="151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5.75" customHeight="1">
      <c r="A141" s="149"/>
      <c r="B141" s="57"/>
      <c r="C141" s="149"/>
      <c r="D141" s="149"/>
      <c r="E141" s="176"/>
      <c r="F141" s="176"/>
      <c r="G141" s="194"/>
      <c r="H141" s="151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5.75" customHeight="1">
      <c r="A142" s="149"/>
      <c r="B142" s="57"/>
      <c r="C142" s="149"/>
      <c r="D142" s="149"/>
      <c r="E142" s="176"/>
      <c r="F142" s="176"/>
      <c r="G142" s="194"/>
      <c r="H142" s="151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5.75" customHeight="1">
      <c r="A143" s="149"/>
      <c r="B143" s="57"/>
      <c r="C143" s="149"/>
      <c r="D143" s="149"/>
      <c r="E143" s="176"/>
      <c r="F143" s="176"/>
      <c r="G143" s="194"/>
      <c r="H143" s="151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5.75" customHeight="1">
      <c r="A144" s="149"/>
      <c r="B144" s="57"/>
      <c r="C144" s="149"/>
      <c r="D144" s="149"/>
      <c r="E144" s="176"/>
      <c r="F144" s="176"/>
      <c r="G144" s="194"/>
      <c r="H144" s="151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5.75" customHeight="1">
      <c r="A145" s="149"/>
      <c r="B145" s="57"/>
      <c r="C145" s="149"/>
      <c r="D145" s="149"/>
      <c r="E145" s="176"/>
      <c r="F145" s="176"/>
      <c r="G145" s="194"/>
      <c r="H145" s="151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5.75" customHeight="1">
      <c r="A146" s="149"/>
      <c r="B146" s="57"/>
      <c r="C146" s="149"/>
      <c r="D146" s="149"/>
      <c r="E146" s="176"/>
      <c r="F146" s="176"/>
      <c r="G146" s="194"/>
      <c r="H146" s="151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5.75" customHeight="1">
      <c r="A147" s="149"/>
      <c r="B147" s="57"/>
      <c r="C147" s="149"/>
      <c r="D147" s="149"/>
      <c r="E147" s="176"/>
      <c r="F147" s="176"/>
      <c r="G147" s="194"/>
      <c r="H147" s="151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5.75" customHeight="1">
      <c r="A148" s="149"/>
      <c r="B148" s="57"/>
      <c r="C148" s="149"/>
      <c r="D148" s="149"/>
      <c r="E148" s="176"/>
      <c r="F148" s="176"/>
      <c r="G148" s="194"/>
      <c r="H148" s="151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5.75" customHeight="1">
      <c r="A149" s="149"/>
      <c r="B149" s="57"/>
      <c r="C149" s="149"/>
      <c r="D149" s="149"/>
      <c r="E149" s="176"/>
      <c r="F149" s="176"/>
      <c r="G149" s="194"/>
      <c r="H149" s="151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5.75" customHeight="1">
      <c r="A150" s="149"/>
      <c r="B150" s="57"/>
      <c r="C150" s="149"/>
      <c r="D150" s="149"/>
      <c r="E150" s="176"/>
      <c r="F150" s="176"/>
      <c r="G150" s="194"/>
      <c r="H150" s="151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5.75" customHeight="1">
      <c r="A151" s="149"/>
      <c r="B151" s="57"/>
      <c r="C151" s="149"/>
      <c r="D151" s="149"/>
      <c r="E151" s="176"/>
      <c r="F151" s="176"/>
      <c r="G151" s="194"/>
      <c r="H151" s="151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5.75" customHeight="1">
      <c r="A152" s="149"/>
      <c r="B152" s="57"/>
      <c r="C152" s="149"/>
      <c r="D152" s="149"/>
      <c r="E152" s="176"/>
      <c r="F152" s="176"/>
      <c r="G152" s="194"/>
      <c r="H152" s="151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5.75" customHeight="1">
      <c r="A153" s="149"/>
      <c r="B153" s="57"/>
      <c r="C153" s="149"/>
      <c r="D153" s="149"/>
      <c r="E153" s="176"/>
      <c r="F153" s="176"/>
      <c r="G153" s="194"/>
      <c r="H153" s="151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5.75" customHeight="1">
      <c r="A154" s="149"/>
      <c r="B154" s="57"/>
      <c r="C154" s="149"/>
      <c r="D154" s="149"/>
      <c r="E154" s="176"/>
      <c r="F154" s="176"/>
      <c r="G154" s="194"/>
      <c r="H154" s="151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5.75" customHeight="1">
      <c r="A155" s="149"/>
      <c r="B155" s="57"/>
      <c r="C155" s="149"/>
      <c r="D155" s="149"/>
      <c r="E155" s="176"/>
      <c r="F155" s="176"/>
      <c r="G155" s="194"/>
      <c r="H155" s="151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5.75" customHeight="1">
      <c r="A156" s="149"/>
      <c r="B156" s="57"/>
      <c r="C156" s="149"/>
      <c r="D156" s="149"/>
      <c r="E156" s="176"/>
      <c r="F156" s="176"/>
      <c r="G156" s="194"/>
      <c r="H156" s="151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5.75" customHeight="1">
      <c r="A157" s="149"/>
      <c r="B157" s="57"/>
      <c r="C157" s="149"/>
      <c r="D157" s="149"/>
      <c r="E157" s="176"/>
      <c r="F157" s="176"/>
      <c r="G157" s="194"/>
      <c r="H157" s="151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5.75" customHeight="1">
      <c r="A158" s="149"/>
      <c r="B158" s="57"/>
      <c r="C158" s="149"/>
      <c r="D158" s="149"/>
      <c r="E158" s="176"/>
      <c r="F158" s="176"/>
      <c r="G158" s="194"/>
      <c r="H158" s="151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5.75" customHeight="1">
      <c r="A159" s="149"/>
      <c r="B159" s="57"/>
      <c r="C159" s="149"/>
      <c r="D159" s="149"/>
      <c r="E159" s="176"/>
      <c r="F159" s="176"/>
      <c r="G159" s="194"/>
      <c r="H159" s="151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5.75" customHeight="1">
      <c r="A160" s="149"/>
      <c r="B160" s="57"/>
      <c r="C160" s="149"/>
      <c r="D160" s="149"/>
      <c r="E160" s="176"/>
      <c r="F160" s="176"/>
      <c r="G160" s="194"/>
      <c r="H160" s="151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5.75" customHeight="1">
      <c r="A161" s="149"/>
      <c r="B161" s="57"/>
      <c r="C161" s="149"/>
      <c r="D161" s="149"/>
      <c r="E161" s="176"/>
      <c r="F161" s="176"/>
      <c r="G161" s="194"/>
      <c r="H161" s="151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5.75" customHeight="1">
      <c r="A162" s="149"/>
      <c r="B162" s="57"/>
      <c r="C162" s="149"/>
      <c r="D162" s="149"/>
      <c r="E162" s="176"/>
      <c r="F162" s="176"/>
      <c r="G162" s="194"/>
      <c r="H162" s="151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5.75" customHeight="1">
      <c r="A163" s="149"/>
      <c r="B163" s="57"/>
      <c r="C163" s="149"/>
      <c r="D163" s="149"/>
      <c r="E163" s="176"/>
      <c r="F163" s="176"/>
      <c r="G163" s="194"/>
      <c r="H163" s="151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5.75" customHeight="1">
      <c r="A164" s="149"/>
      <c r="B164" s="57"/>
      <c r="C164" s="149"/>
      <c r="D164" s="149"/>
      <c r="E164" s="176"/>
      <c r="F164" s="176"/>
      <c r="G164" s="194"/>
      <c r="H164" s="151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5.75" customHeight="1">
      <c r="A165" s="149"/>
      <c r="B165" s="57"/>
      <c r="C165" s="149"/>
      <c r="D165" s="149"/>
      <c r="E165" s="176"/>
      <c r="F165" s="176"/>
      <c r="G165" s="194"/>
      <c r="H165" s="151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5.75" customHeight="1">
      <c r="A166" s="149"/>
      <c r="B166" s="57"/>
      <c r="C166" s="149"/>
      <c r="D166" s="149"/>
      <c r="E166" s="176"/>
      <c r="F166" s="176"/>
      <c r="G166" s="194"/>
      <c r="H166" s="151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5.75" customHeight="1">
      <c r="A167" s="149"/>
      <c r="B167" s="57"/>
      <c r="C167" s="149"/>
      <c r="D167" s="149"/>
      <c r="E167" s="176"/>
      <c r="F167" s="176"/>
      <c r="G167" s="194"/>
      <c r="H167" s="151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5.75" customHeight="1">
      <c r="A168" s="149"/>
      <c r="B168" s="57"/>
      <c r="C168" s="149"/>
      <c r="D168" s="149"/>
      <c r="E168" s="176"/>
      <c r="F168" s="176"/>
      <c r="G168" s="194"/>
      <c r="H168" s="151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5.75" customHeight="1">
      <c r="A169" s="149"/>
      <c r="B169" s="57"/>
      <c r="C169" s="149"/>
      <c r="D169" s="149"/>
      <c r="E169" s="176"/>
      <c r="F169" s="176"/>
      <c r="G169" s="194"/>
      <c r="H169" s="151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5.75" customHeight="1">
      <c r="A170" s="149"/>
      <c r="B170" s="57"/>
      <c r="C170" s="149"/>
      <c r="D170" s="149"/>
      <c r="E170" s="176"/>
      <c r="F170" s="176"/>
      <c r="G170" s="194"/>
      <c r="H170" s="151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5.75" customHeight="1">
      <c r="A171" s="149"/>
      <c r="B171" s="57"/>
      <c r="C171" s="149"/>
      <c r="D171" s="149"/>
      <c r="E171" s="176"/>
      <c r="F171" s="176"/>
      <c r="G171" s="194"/>
      <c r="H171" s="151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5.75" customHeight="1">
      <c r="A172" s="149"/>
      <c r="B172" s="57"/>
      <c r="C172" s="149"/>
      <c r="D172" s="149"/>
      <c r="E172" s="176"/>
      <c r="F172" s="176"/>
      <c r="G172" s="194"/>
      <c r="H172" s="151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5.75" customHeight="1">
      <c r="A173" s="149"/>
      <c r="B173" s="57"/>
      <c r="C173" s="149"/>
      <c r="D173" s="149"/>
      <c r="E173" s="176"/>
      <c r="F173" s="176"/>
      <c r="G173" s="194"/>
      <c r="H173" s="151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5.75" customHeight="1">
      <c r="A174" s="149"/>
      <c r="B174" s="57"/>
      <c r="C174" s="149"/>
      <c r="D174" s="149"/>
      <c r="E174" s="176"/>
      <c r="F174" s="176"/>
      <c r="G174" s="194"/>
      <c r="H174" s="151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5.75" customHeight="1">
      <c r="A175" s="149"/>
      <c r="B175" s="57"/>
      <c r="C175" s="149"/>
      <c r="D175" s="149"/>
      <c r="E175" s="176"/>
      <c r="F175" s="176"/>
      <c r="G175" s="194"/>
      <c r="H175" s="151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5.75" customHeight="1">
      <c r="A176" s="149"/>
      <c r="B176" s="57"/>
      <c r="C176" s="149"/>
      <c r="D176" s="149"/>
      <c r="E176" s="176"/>
      <c r="F176" s="176"/>
      <c r="G176" s="194"/>
      <c r="H176" s="151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5.75" customHeight="1">
      <c r="A177" s="149"/>
      <c r="B177" s="57"/>
      <c r="C177" s="149"/>
      <c r="D177" s="149"/>
      <c r="E177" s="176"/>
      <c r="F177" s="176"/>
      <c r="G177" s="194"/>
      <c r="H177" s="151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5.75" customHeight="1">
      <c r="A178" s="149"/>
      <c r="B178" s="57"/>
      <c r="C178" s="149"/>
      <c r="D178" s="149"/>
      <c r="E178" s="176"/>
      <c r="F178" s="176"/>
      <c r="G178" s="194"/>
      <c r="H178" s="151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5.75" customHeight="1">
      <c r="A179" s="149"/>
      <c r="B179" s="57"/>
      <c r="C179" s="149"/>
      <c r="D179" s="149"/>
      <c r="E179" s="176"/>
      <c r="F179" s="176"/>
      <c r="G179" s="194"/>
      <c r="H179" s="151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5.75" customHeight="1">
      <c r="A180" s="149"/>
      <c r="B180" s="57"/>
      <c r="C180" s="149"/>
      <c r="D180" s="149"/>
      <c r="E180" s="176"/>
      <c r="F180" s="176"/>
      <c r="G180" s="194"/>
      <c r="H180" s="151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5.75" customHeight="1">
      <c r="A181" s="149"/>
      <c r="B181" s="57"/>
      <c r="C181" s="149"/>
      <c r="D181" s="149"/>
      <c r="E181" s="176"/>
      <c r="F181" s="176"/>
      <c r="G181" s="194"/>
      <c r="H181" s="151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5.75" customHeight="1">
      <c r="A182" s="149"/>
      <c r="B182" s="57"/>
      <c r="C182" s="149"/>
      <c r="D182" s="149"/>
      <c r="E182" s="176"/>
      <c r="F182" s="176"/>
      <c r="G182" s="194"/>
      <c r="H182" s="151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5.75" customHeight="1">
      <c r="A183" s="149"/>
      <c r="B183" s="57"/>
      <c r="C183" s="149"/>
      <c r="D183" s="149"/>
      <c r="E183" s="176"/>
      <c r="F183" s="176"/>
      <c r="G183" s="194"/>
      <c r="H183" s="151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5.75" customHeight="1">
      <c r="A184" s="149"/>
      <c r="B184" s="57"/>
      <c r="C184" s="149"/>
      <c r="D184" s="149"/>
      <c r="E184" s="176"/>
      <c r="F184" s="176"/>
      <c r="G184" s="194"/>
      <c r="H184" s="151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5.75" customHeight="1">
      <c r="A185" s="149"/>
      <c r="B185" s="57"/>
      <c r="C185" s="149"/>
      <c r="D185" s="149"/>
      <c r="E185" s="176"/>
      <c r="F185" s="176"/>
      <c r="G185" s="194"/>
      <c r="H185" s="151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5.75" customHeight="1">
      <c r="A186" s="149"/>
      <c r="B186" s="57"/>
      <c r="C186" s="149"/>
      <c r="D186" s="149"/>
      <c r="E186" s="176"/>
      <c r="F186" s="176"/>
      <c r="G186" s="194"/>
      <c r="H186" s="151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5.75" customHeight="1">
      <c r="A187" s="149"/>
      <c r="B187" s="57"/>
      <c r="C187" s="149"/>
      <c r="D187" s="149"/>
      <c r="E187" s="176"/>
      <c r="F187" s="176"/>
      <c r="G187" s="194"/>
      <c r="H187" s="151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ht="15.75" customHeight="1">
      <c r="A188" s="149"/>
      <c r="B188" s="57"/>
      <c r="C188" s="149"/>
      <c r="D188" s="149"/>
      <c r="E188" s="176"/>
      <c r="F188" s="176"/>
      <c r="G188" s="194"/>
      <c r="H188" s="151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ht="15.75" customHeight="1">
      <c r="A189" s="149"/>
      <c r="B189" s="57"/>
      <c r="C189" s="149"/>
      <c r="D189" s="149"/>
      <c r="E189" s="176"/>
      <c r="F189" s="176"/>
      <c r="G189" s="194"/>
      <c r="H189" s="151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5.75" customHeight="1">
      <c r="A190" s="149"/>
      <c r="B190" s="57"/>
      <c r="C190" s="149"/>
      <c r="D190" s="149"/>
      <c r="E190" s="176"/>
      <c r="F190" s="176"/>
      <c r="G190" s="194"/>
      <c r="H190" s="151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5.75" customHeight="1">
      <c r="A191" s="149"/>
      <c r="B191" s="57"/>
      <c r="C191" s="149"/>
      <c r="D191" s="149"/>
      <c r="E191" s="176"/>
      <c r="F191" s="176"/>
      <c r="G191" s="194"/>
      <c r="H191" s="151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ht="15.75" customHeight="1">
      <c r="A192" s="149"/>
      <c r="B192" s="57"/>
      <c r="C192" s="149"/>
      <c r="D192" s="149"/>
      <c r="E192" s="176"/>
      <c r="F192" s="176"/>
      <c r="G192" s="194"/>
      <c r="H192" s="151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ht="15.75" customHeight="1">
      <c r="A193" s="149"/>
      <c r="B193" s="57"/>
      <c r="C193" s="149"/>
      <c r="D193" s="149"/>
      <c r="E193" s="176"/>
      <c r="F193" s="176"/>
      <c r="G193" s="194"/>
      <c r="H193" s="151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5.75" customHeight="1">
      <c r="A194" s="149"/>
      <c r="B194" s="57"/>
      <c r="C194" s="149"/>
      <c r="D194" s="149"/>
      <c r="E194" s="176"/>
      <c r="F194" s="176"/>
      <c r="G194" s="194"/>
      <c r="H194" s="151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5.75" customHeight="1">
      <c r="A195" s="149"/>
      <c r="B195" s="57"/>
      <c r="C195" s="149"/>
      <c r="D195" s="149"/>
      <c r="E195" s="176"/>
      <c r="F195" s="176"/>
      <c r="G195" s="194"/>
      <c r="H195" s="151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5.75" customHeight="1">
      <c r="A196" s="149"/>
      <c r="B196" s="57"/>
      <c r="C196" s="149"/>
      <c r="D196" s="149"/>
      <c r="E196" s="176"/>
      <c r="F196" s="176"/>
      <c r="G196" s="194"/>
      <c r="H196" s="151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5.75" customHeight="1">
      <c r="A197" s="149"/>
      <c r="B197" s="57"/>
      <c r="C197" s="149"/>
      <c r="D197" s="149"/>
      <c r="E197" s="176"/>
      <c r="F197" s="176"/>
      <c r="G197" s="194"/>
      <c r="H197" s="151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5.75" customHeight="1">
      <c r="A198" s="149"/>
      <c r="B198" s="57"/>
      <c r="C198" s="149"/>
      <c r="D198" s="149"/>
      <c r="E198" s="176"/>
      <c r="F198" s="176"/>
      <c r="G198" s="194"/>
      <c r="H198" s="151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5.75" customHeight="1">
      <c r="A199" s="149"/>
      <c r="B199" s="57"/>
      <c r="C199" s="149"/>
      <c r="D199" s="149"/>
      <c r="E199" s="176"/>
      <c r="F199" s="176"/>
      <c r="G199" s="194"/>
      <c r="H199" s="151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5.75" customHeight="1">
      <c r="A200" s="149"/>
      <c r="B200" s="57"/>
      <c r="C200" s="149"/>
      <c r="D200" s="149"/>
      <c r="E200" s="176"/>
      <c r="F200" s="176"/>
      <c r="G200" s="194"/>
      <c r="H200" s="151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5.75" customHeight="1">
      <c r="A201" s="149"/>
      <c r="B201" s="57"/>
      <c r="C201" s="149"/>
      <c r="D201" s="149"/>
      <c r="E201" s="176"/>
      <c r="F201" s="176"/>
      <c r="G201" s="194"/>
      <c r="H201" s="151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5.75" customHeight="1">
      <c r="A202" s="149"/>
      <c r="B202" s="57"/>
      <c r="C202" s="149"/>
      <c r="D202" s="149"/>
      <c r="E202" s="176"/>
      <c r="F202" s="176"/>
      <c r="G202" s="194"/>
      <c r="H202" s="151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5.75" customHeight="1">
      <c r="A203" s="149"/>
      <c r="B203" s="57"/>
      <c r="C203" s="149"/>
      <c r="D203" s="149"/>
      <c r="E203" s="176"/>
      <c r="F203" s="176"/>
      <c r="G203" s="194"/>
      <c r="H203" s="151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5.75" customHeight="1">
      <c r="A204" s="149"/>
      <c r="B204" s="57"/>
      <c r="C204" s="149"/>
      <c r="D204" s="149"/>
      <c r="E204" s="176"/>
      <c r="F204" s="176"/>
      <c r="G204" s="194"/>
      <c r="H204" s="151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5.75" customHeight="1">
      <c r="A205" s="149"/>
      <c r="B205" s="57"/>
      <c r="C205" s="149"/>
      <c r="D205" s="149"/>
      <c r="E205" s="176"/>
      <c r="F205" s="176"/>
      <c r="G205" s="194"/>
      <c r="H205" s="151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5.75" customHeight="1">
      <c r="A206" s="149"/>
      <c r="B206" s="57"/>
      <c r="C206" s="149"/>
      <c r="D206" s="149"/>
      <c r="E206" s="176"/>
      <c r="F206" s="176"/>
      <c r="G206" s="194"/>
      <c r="H206" s="151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5.75" customHeight="1">
      <c r="A207" s="149"/>
      <c r="B207" s="57"/>
      <c r="C207" s="149"/>
      <c r="D207" s="149"/>
      <c r="E207" s="176"/>
      <c r="F207" s="176"/>
      <c r="G207" s="194"/>
      <c r="H207" s="151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5.75" customHeight="1">
      <c r="A208" s="149"/>
      <c r="B208" s="57"/>
      <c r="C208" s="149"/>
      <c r="D208" s="149"/>
      <c r="E208" s="176"/>
      <c r="F208" s="176"/>
      <c r="G208" s="194"/>
      <c r="H208" s="151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5.75" customHeight="1">
      <c r="A209" s="149"/>
      <c r="B209" s="57"/>
      <c r="C209" s="149"/>
      <c r="D209" s="149"/>
      <c r="E209" s="176"/>
      <c r="F209" s="176"/>
      <c r="G209" s="194"/>
      <c r="H209" s="151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5.75" customHeight="1">
      <c r="A210" s="149"/>
      <c r="B210" s="57"/>
      <c r="C210" s="149"/>
      <c r="D210" s="149"/>
      <c r="E210" s="176"/>
      <c r="F210" s="176"/>
      <c r="G210" s="194"/>
      <c r="H210" s="151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5.75" customHeight="1">
      <c r="A211" s="149"/>
      <c r="B211" s="57"/>
      <c r="C211" s="149"/>
      <c r="D211" s="149"/>
      <c r="E211" s="176"/>
      <c r="F211" s="176"/>
      <c r="G211" s="194"/>
      <c r="H211" s="151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5.75" customHeight="1">
      <c r="A212" s="149"/>
      <c r="B212" s="57"/>
      <c r="C212" s="149"/>
      <c r="D212" s="149"/>
      <c r="E212" s="176"/>
      <c r="F212" s="176"/>
      <c r="G212" s="194"/>
      <c r="H212" s="151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5.75" customHeight="1">
      <c r="A213" s="149"/>
      <c r="B213" s="57"/>
      <c r="C213" s="149"/>
      <c r="D213" s="149"/>
      <c r="E213" s="176"/>
      <c r="F213" s="176"/>
      <c r="G213" s="194"/>
      <c r="H213" s="151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5.75" customHeight="1">
      <c r="A214" s="149"/>
      <c r="B214" s="57"/>
      <c r="C214" s="149"/>
      <c r="D214" s="149"/>
      <c r="E214" s="176"/>
      <c r="F214" s="176"/>
      <c r="G214" s="194"/>
      <c r="H214" s="151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5.75" customHeight="1">
      <c r="A215" s="149"/>
      <c r="B215" s="57"/>
      <c r="C215" s="149"/>
      <c r="D215" s="149"/>
      <c r="E215" s="176"/>
      <c r="F215" s="176"/>
      <c r="G215" s="194"/>
      <c r="H215" s="151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5.75" customHeight="1">
      <c r="A216" s="149"/>
      <c r="B216" s="57"/>
      <c r="C216" s="149"/>
      <c r="D216" s="149"/>
      <c r="E216" s="176"/>
      <c r="F216" s="176"/>
      <c r="G216" s="194"/>
      <c r="H216" s="151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5.75" customHeight="1">
      <c r="A217" s="149"/>
      <c r="B217" s="57"/>
      <c r="C217" s="149"/>
      <c r="D217" s="149"/>
      <c r="E217" s="176"/>
      <c r="F217" s="176"/>
      <c r="G217" s="194"/>
      <c r="H217" s="151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5.75" customHeight="1">
      <c r="A218" s="149"/>
      <c r="B218" s="57"/>
      <c r="C218" s="149"/>
      <c r="D218" s="149"/>
      <c r="E218" s="176"/>
      <c r="F218" s="176"/>
      <c r="G218" s="194"/>
      <c r="H218" s="151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5.75" customHeight="1">
      <c r="A219" s="149"/>
      <c r="B219" s="57"/>
      <c r="C219" s="149"/>
      <c r="D219" s="149"/>
      <c r="E219" s="176"/>
      <c r="F219" s="176"/>
      <c r="G219" s="194"/>
      <c r="H219" s="151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5.75" customHeight="1">
      <c r="A220" s="149"/>
      <c r="B220" s="57"/>
      <c r="C220" s="149"/>
      <c r="D220" s="149"/>
      <c r="E220" s="176"/>
      <c r="F220" s="176"/>
      <c r="G220" s="194"/>
      <c r="H220" s="151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5.75" customHeight="1">
      <c r="A221" s="149"/>
      <c r="B221" s="57"/>
      <c r="C221" s="149"/>
      <c r="D221" s="149"/>
      <c r="E221" s="176"/>
      <c r="F221" s="176"/>
      <c r="G221" s="194"/>
      <c r="H221" s="151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5.75" customHeight="1">
      <c r="A222" s="149"/>
      <c r="B222" s="57"/>
      <c r="C222" s="149"/>
      <c r="D222" s="149"/>
      <c r="E222" s="176"/>
      <c r="F222" s="176"/>
      <c r="G222" s="194"/>
      <c r="H222" s="151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5.75" customHeight="1">
      <c r="A223" s="149"/>
      <c r="B223" s="57"/>
      <c r="C223" s="149"/>
      <c r="D223" s="149"/>
      <c r="E223" s="176"/>
      <c r="F223" s="176"/>
      <c r="G223" s="194"/>
      <c r="H223" s="151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5.75" customHeight="1">
      <c r="A224" s="149"/>
      <c r="B224" s="57"/>
      <c r="C224" s="149"/>
      <c r="D224" s="149"/>
      <c r="E224" s="176"/>
      <c r="F224" s="176"/>
      <c r="G224" s="194"/>
      <c r="H224" s="151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5.75" customHeight="1">
      <c r="A225" s="149"/>
      <c r="B225" s="57"/>
      <c r="C225" s="149"/>
      <c r="D225" s="149"/>
      <c r="E225" s="176"/>
      <c r="F225" s="176"/>
      <c r="G225" s="194"/>
      <c r="H225" s="151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5.75" customHeight="1">
      <c r="A226" s="149"/>
      <c r="B226" s="57"/>
      <c r="C226" s="149"/>
      <c r="D226" s="149"/>
      <c r="E226" s="176"/>
      <c r="F226" s="176"/>
      <c r="G226" s="194"/>
      <c r="H226" s="151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5.75" customHeight="1">
      <c r="A227" s="149"/>
      <c r="B227" s="57"/>
      <c r="C227" s="149"/>
      <c r="D227" s="149"/>
      <c r="E227" s="176"/>
      <c r="F227" s="176"/>
      <c r="G227" s="194"/>
      <c r="H227" s="151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5.75" customHeight="1">
      <c r="A228" s="149"/>
      <c r="B228" s="57"/>
      <c r="C228" s="149"/>
      <c r="D228" s="149"/>
      <c r="E228" s="176"/>
      <c r="F228" s="176"/>
      <c r="G228" s="194"/>
      <c r="H228" s="151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5.75" customHeight="1">
      <c r="A229" s="149"/>
      <c r="B229" s="57"/>
      <c r="C229" s="149"/>
      <c r="D229" s="149"/>
      <c r="E229" s="176"/>
      <c r="F229" s="176"/>
      <c r="G229" s="194"/>
      <c r="H229" s="151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5.75" customHeight="1">
      <c r="A230" s="149"/>
      <c r="B230" s="57"/>
      <c r="C230" s="149"/>
      <c r="D230" s="149"/>
      <c r="E230" s="176"/>
      <c r="F230" s="176"/>
      <c r="G230" s="194"/>
      <c r="H230" s="151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5.75" customHeight="1">
      <c r="A231" s="149"/>
      <c r="B231" s="57"/>
      <c r="C231" s="149"/>
      <c r="D231" s="149"/>
      <c r="E231" s="176"/>
      <c r="F231" s="176"/>
      <c r="G231" s="194"/>
      <c r="H231" s="151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5.75" customHeight="1">
      <c r="A232" s="149"/>
      <c r="B232" s="57"/>
      <c r="C232" s="149"/>
      <c r="D232" s="149"/>
      <c r="E232" s="176"/>
      <c r="F232" s="176"/>
      <c r="G232" s="194"/>
      <c r="H232" s="151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5.75" customHeight="1">
      <c r="A233" s="149"/>
      <c r="B233" s="57"/>
      <c r="C233" s="149"/>
      <c r="D233" s="149"/>
      <c r="E233" s="176"/>
      <c r="F233" s="176"/>
      <c r="G233" s="194"/>
      <c r="H233" s="151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5.75" customHeight="1">
      <c r="A234" s="149"/>
      <c r="B234" s="57"/>
      <c r="C234" s="149"/>
      <c r="D234" s="149"/>
      <c r="E234" s="176"/>
      <c r="F234" s="176"/>
      <c r="G234" s="194"/>
      <c r="H234" s="151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5.75" customHeight="1">
      <c r="A235" s="149"/>
      <c r="B235" s="57"/>
      <c r="C235" s="149"/>
      <c r="D235" s="149"/>
      <c r="E235" s="176"/>
      <c r="F235" s="176"/>
      <c r="G235" s="194"/>
      <c r="H235" s="151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5.75" customHeight="1">
      <c r="A236" s="149"/>
      <c r="B236" s="57"/>
      <c r="C236" s="149"/>
      <c r="D236" s="149"/>
      <c r="E236" s="176"/>
      <c r="F236" s="176"/>
      <c r="G236" s="194"/>
      <c r="H236" s="151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5.75" customHeight="1">
      <c r="A237" s="149"/>
      <c r="B237" s="57"/>
      <c r="C237" s="149"/>
      <c r="D237" s="149"/>
      <c r="E237" s="176"/>
      <c r="F237" s="176"/>
      <c r="G237" s="194"/>
      <c r="H237" s="151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5.75" customHeight="1">
      <c r="A238" s="149"/>
      <c r="B238" s="57"/>
      <c r="C238" s="149"/>
      <c r="D238" s="149"/>
      <c r="E238" s="176"/>
      <c r="F238" s="176"/>
      <c r="G238" s="194"/>
      <c r="H238" s="151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5.75" customHeight="1">
      <c r="A239" s="149"/>
      <c r="B239" s="57"/>
      <c r="C239" s="149"/>
      <c r="D239" s="149"/>
      <c r="E239" s="176"/>
      <c r="F239" s="176"/>
      <c r="G239" s="194"/>
      <c r="H239" s="151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5.75" customHeight="1">
      <c r="A240" s="149"/>
      <c r="B240" s="57"/>
      <c r="C240" s="149"/>
      <c r="D240" s="149"/>
      <c r="E240" s="176"/>
      <c r="F240" s="176"/>
      <c r="G240" s="194"/>
      <c r="H240" s="151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5.75" customHeight="1">
      <c r="A241" s="149"/>
      <c r="B241" s="57"/>
      <c r="C241" s="149"/>
      <c r="D241" s="149"/>
      <c r="E241" s="176"/>
      <c r="F241" s="176"/>
      <c r="G241" s="194"/>
      <c r="H241" s="151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5.75" customHeight="1">
      <c r="A242" s="149"/>
      <c r="B242" s="57"/>
      <c r="C242" s="149"/>
      <c r="D242" s="149"/>
      <c r="E242" s="176"/>
      <c r="F242" s="176"/>
      <c r="G242" s="194"/>
      <c r="H242" s="151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5.75" customHeight="1">
      <c r="A243" s="149"/>
      <c r="B243" s="57"/>
      <c r="C243" s="149"/>
      <c r="D243" s="149"/>
      <c r="E243" s="176"/>
      <c r="F243" s="176"/>
      <c r="G243" s="194"/>
      <c r="H243" s="151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5.75" customHeight="1">
      <c r="A244" s="149"/>
      <c r="B244" s="57"/>
      <c r="C244" s="149"/>
      <c r="D244" s="149"/>
      <c r="E244" s="176"/>
      <c r="F244" s="176"/>
      <c r="G244" s="194"/>
      <c r="H244" s="151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5.75" customHeight="1">
      <c r="A245" s="149"/>
      <c r="B245" s="57"/>
      <c r="C245" s="149"/>
      <c r="D245" s="149"/>
      <c r="E245" s="176"/>
      <c r="F245" s="176"/>
      <c r="G245" s="194"/>
      <c r="H245" s="151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5.75" customHeight="1">
      <c r="A246" s="149"/>
      <c r="B246" s="57"/>
      <c r="C246" s="149"/>
      <c r="D246" s="149"/>
      <c r="E246" s="176"/>
      <c r="F246" s="176"/>
      <c r="G246" s="194"/>
      <c r="H246" s="151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5.75" customHeight="1">
      <c r="A247" s="149"/>
      <c r="B247" s="57"/>
      <c r="C247" s="149"/>
      <c r="D247" s="149"/>
      <c r="E247" s="176"/>
      <c r="F247" s="176"/>
      <c r="G247" s="194"/>
      <c r="H247" s="151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5.75" customHeight="1">
      <c r="A248" s="149"/>
      <c r="B248" s="57"/>
      <c r="C248" s="149"/>
      <c r="D248" s="149"/>
      <c r="E248" s="176"/>
      <c r="F248" s="176"/>
      <c r="G248" s="194"/>
      <c r="H248" s="151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5.75" customHeight="1">
      <c r="A249" s="149"/>
      <c r="B249" s="57"/>
      <c r="C249" s="149"/>
      <c r="D249" s="149"/>
      <c r="E249" s="176"/>
      <c r="F249" s="176"/>
      <c r="G249" s="194"/>
      <c r="H249" s="151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5.75" customHeight="1">
      <c r="A250" s="149"/>
      <c r="B250" s="57"/>
      <c r="C250" s="149"/>
      <c r="D250" s="149"/>
      <c r="E250" s="176"/>
      <c r="F250" s="176"/>
      <c r="G250" s="194"/>
      <c r="H250" s="151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5.75" customHeight="1">
      <c r="A251" s="149"/>
      <c r="B251" s="57"/>
      <c r="C251" s="149"/>
      <c r="D251" s="149"/>
      <c r="E251" s="176"/>
      <c r="F251" s="176"/>
      <c r="G251" s="194"/>
      <c r="H251" s="151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5.75" customHeight="1">
      <c r="A252" s="149"/>
      <c r="B252" s="57"/>
      <c r="C252" s="149"/>
      <c r="D252" s="149"/>
      <c r="E252" s="176"/>
      <c r="F252" s="176"/>
      <c r="G252" s="194"/>
      <c r="H252" s="151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5.75" customHeight="1">
      <c r="A253" s="149"/>
      <c r="B253" s="57"/>
      <c r="C253" s="149"/>
      <c r="D253" s="149"/>
      <c r="E253" s="176"/>
      <c r="F253" s="176"/>
      <c r="G253" s="194"/>
      <c r="H253" s="151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5.75" customHeight="1">
      <c r="A254" s="149"/>
      <c r="B254" s="57"/>
      <c r="C254" s="149"/>
      <c r="D254" s="149"/>
      <c r="E254" s="176"/>
      <c r="F254" s="176"/>
      <c r="G254" s="194"/>
      <c r="H254" s="151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5.75" customHeight="1">
      <c r="A255" s="149"/>
      <c r="B255" s="57"/>
      <c r="C255" s="149"/>
      <c r="D255" s="149"/>
      <c r="E255" s="176"/>
      <c r="F255" s="176"/>
      <c r="G255" s="194"/>
      <c r="H255" s="151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5.75" customHeight="1">
      <c r="A256" s="149"/>
      <c r="B256" s="57"/>
      <c r="C256" s="149"/>
      <c r="D256" s="149"/>
      <c r="E256" s="176"/>
      <c r="F256" s="176"/>
      <c r="G256" s="194"/>
      <c r="H256" s="151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5.75" customHeight="1">
      <c r="A257" s="149"/>
      <c r="B257" s="57"/>
      <c r="C257" s="149"/>
      <c r="D257" s="149"/>
      <c r="E257" s="176"/>
      <c r="F257" s="176"/>
      <c r="G257" s="194"/>
      <c r="H257" s="151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5.75" customHeight="1">
      <c r="A258" s="149"/>
      <c r="B258" s="57"/>
      <c r="C258" s="149"/>
      <c r="D258" s="149"/>
      <c r="E258" s="176"/>
      <c r="F258" s="176"/>
      <c r="G258" s="194"/>
      <c r="H258" s="151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5.75" customHeight="1">
      <c r="A259" s="149"/>
      <c r="B259" s="57"/>
      <c r="C259" s="149"/>
      <c r="D259" s="149"/>
      <c r="E259" s="176"/>
      <c r="F259" s="176"/>
      <c r="G259" s="194"/>
      <c r="H259" s="151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5.75" customHeight="1">
      <c r="A260" s="149"/>
      <c r="B260" s="57"/>
      <c r="C260" s="149"/>
      <c r="D260" s="149"/>
      <c r="E260" s="176"/>
      <c r="F260" s="176"/>
      <c r="G260" s="194"/>
      <c r="H260" s="151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5.75" customHeight="1">
      <c r="A261" s="149"/>
      <c r="B261" s="57"/>
      <c r="C261" s="149"/>
      <c r="D261" s="149"/>
      <c r="E261" s="176"/>
      <c r="F261" s="176"/>
      <c r="G261" s="194"/>
      <c r="H261" s="151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5.75" customHeight="1">
      <c r="A262" s="149"/>
      <c r="B262" s="57"/>
      <c r="C262" s="149"/>
      <c r="D262" s="149"/>
      <c r="E262" s="176"/>
      <c r="F262" s="176"/>
      <c r="G262" s="194"/>
      <c r="H262" s="151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5.75" customHeight="1">
      <c r="A263" s="149"/>
      <c r="B263" s="57"/>
      <c r="C263" s="149"/>
      <c r="D263" s="149"/>
      <c r="E263" s="176"/>
      <c r="F263" s="176"/>
      <c r="G263" s="194"/>
      <c r="H263" s="151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5.75" customHeight="1">
      <c r="A264" s="149"/>
      <c r="B264" s="57"/>
      <c r="C264" s="149"/>
      <c r="D264" s="149"/>
      <c r="E264" s="176"/>
      <c r="F264" s="176"/>
      <c r="G264" s="194"/>
      <c r="H264" s="151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5.75" customHeight="1">
      <c r="A265" s="149"/>
      <c r="B265" s="57"/>
      <c r="C265" s="149"/>
      <c r="D265" s="149"/>
      <c r="E265" s="176"/>
      <c r="F265" s="176"/>
      <c r="G265" s="194"/>
      <c r="H265" s="151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5.75" customHeight="1">
      <c r="A266" s="149"/>
      <c r="B266" s="57"/>
      <c r="C266" s="149"/>
      <c r="D266" s="149"/>
      <c r="E266" s="176"/>
      <c r="F266" s="176"/>
      <c r="G266" s="194"/>
      <c r="H266" s="151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5.75" customHeight="1">
      <c r="A267" s="149"/>
      <c r="B267" s="57"/>
      <c r="C267" s="149"/>
      <c r="D267" s="149"/>
      <c r="E267" s="176"/>
      <c r="F267" s="176"/>
      <c r="G267" s="194"/>
      <c r="H267" s="151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5.75" customHeight="1">
      <c r="A268" s="149"/>
      <c r="B268" s="57"/>
      <c r="C268" s="149"/>
      <c r="D268" s="149"/>
      <c r="E268" s="176"/>
      <c r="F268" s="176"/>
      <c r="G268" s="194"/>
      <c r="H268" s="151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5.75" customHeight="1">
      <c r="A269" s="149"/>
      <c r="B269" s="57"/>
      <c r="C269" s="149"/>
      <c r="D269" s="149"/>
      <c r="E269" s="176"/>
      <c r="F269" s="176"/>
      <c r="G269" s="194"/>
      <c r="H269" s="151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5.75" customHeight="1">
      <c r="A270" s="149"/>
      <c r="B270" s="57"/>
      <c r="C270" s="149"/>
      <c r="D270" s="149"/>
      <c r="E270" s="176"/>
      <c r="F270" s="176"/>
      <c r="G270" s="194"/>
      <c r="H270" s="151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5.75" customHeight="1">
      <c r="A271" s="149"/>
      <c r="B271" s="57"/>
      <c r="C271" s="149"/>
      <c r="D271" s="149"/>
      <c r="E271" s="176"/>
      <c r="F271" s="176"/>
      <c r="G271" s="194"/>
      <c r="H271" s="151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5.75" customHeight="1">
      <c r="A272" s="149"/>
      <c r="B272" s="57"/>
      <c r="C272" s="149"/>
      <c r="D272" s="149"/>
      <c r="E272" s="176"/>
      <c r="F272" s="176"/>
      <c r="G272" s="194"/>
      <c r="H272" s="151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5.75" customHeight="1">
      <c r="A273" s="149"/>
      <c r="B273" s="57"/>
      <c r="C273" s="149"/>
      <c r="D273" s="149"/>
      <c r="E273" s="176"/>
      <c r="F273" s="176"/>
      <c r="G273" s="194"/>
      <c r="H273" s="151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5.75" customHeight="1">
      <c r="A274" s="149"/>
      <c r="B274" s="57"/>
      <c r="C274" s="149"/>
      <c r="D274" s="149"/>
      <c r="E274" s="176"/>
      <c r="F274" s="176"/>
      <c r="G274" s="194"/>
      <c r="H274" s="151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5.75" customHeight="1">
      <c r="A275" s="149"/>
      <c r="B275" s="57"/>
      <c r="C275" s="149"/>
      <c r="D275" s="149"/>
      <c r="E275" s="176"/>
      <c r="F275" s="176"/>
      <c r="G275" s="194"/>
      <c r="H275" s="151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5.75" customHeight="1">
      <c r="A276" s="149"/>
      <c r="B276" s="57"/>
      <c r="C276" s="149"/>
      <c r="D276" s="149"/>
      <c r="E276" s="176"/>
      <c r="F276" s="176"/>
      <c r="G276" s="194"/>
      <c r="H276" s="151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5.75" customHeight="1">
      <c r="A277" s="149"/>
      <c r="B277" s="57"/>
      <c r="C277" s="149"/>
      <c r="D277" s="149"/>
      <c r="E277" s="176"/>
      <c r="F277" s="176"/>
      <c r="G277" s="194"/>
      <c r="H277" s="151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5.75" customHeight="1">
      <c r="A278" s="149"/>
      <c r="B278" s="57"/>
      <c r="C278" s="149"/>
      <c r="D278" s="149"/>
      <c r="E278" s="176"/>
      <c r="F278" s="176"/>
      <c r="G278" s="194"/>
      <c r="H278" s="151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5.75" customHeight="1">
      <c r="A279" s="149"/>
      <c r="B279" s="57"/>
      <c r="C279" s="149"/>
      <c r="D279" s="149"/>
      <c r="E279" s="176"/>
      <c r="F279" s="176"/>
      <c r="G279" s="194"/>
      <c r="H279" s="151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5.75" customHeight="1">
      <c r="A280" s="149"/>
      <c r="B280" s="57"/>
      <c r="C280" s="149"/>
      <c r="D280" s="149"/>
      <c r="E280" s="176"/>
      <c r="F280" s="176"/>
      <c r="G280" s="194"/>
      <c r="H280" s="151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5.75" customHeight="1">
      <c r="A281" s="149"/>
      <c r="B281" s="57"/>
      <c r="C281" s="149"/>
      <c r="D281" s="149"/>
      <c r="E281" s="176"/>
      <c r="F281" s="176"/>
      <c r="G281" s="194"/>
      <c r="H281" s="151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5.75" customHeight="1">
      <c r="A282" s="149"/>
      <c r="B282" s="57"/>
      <c r="C282" s="149"/>
      <c r="D282" s="149"/>
      <c r="E282" s="176"/>
      <c r="F282" s="176"/>
      <c r="G282" s="194"/>
      <c r="H282" s="151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5.75" customHeight="1">
      <c r="A283" s="149"/>
      <c r="B283" s="57"/>
      <c r="C283" s="149"/>
      <c r="D283" s="149"/>
      <c r="E283" s="176"/>
      <c r="F283" s="176"/>
      <c r="G283" s="194"/>
      <c r="H283" s="151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5.75" customHeight="1">
      <c r="A284" s="149"/>
      <c r="B284" s="57"/>
      <c r="C284" s="149"/>
      <c r="D284" s="149"/>
      <c r="E284" s="176"/>
      <c r="F284" s="176"/>
      <c r="G284" s="194"/>
      <c r="H284" s="151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5.75" customHeight="1">
      <c r="A285" s="149"/>
      <c r="B285" s="57"/>
      <c r="C285" s="149"/>
      <c r="D285" s="149"/>
      <c r="E285" s="176"/>
      <c r="F285" s="176"/>
      <c r="G285" s="194"/>
      <c r="H285" s="151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5.75" customHeight="1">
      <c r="A286" s="149"/>
      <c r="B286" s="57"/>
      <c r="C286" s="149"/>
      <c r="D286" s="149"/>
      <c r="E286" s="176"/>
      <c r="F286" s="176"/>
      <c r="G286" s="194"/>
      <c r="H286" s="151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5.75" customHeight="1">
      <c r="A287" s="149"/>
      <c r="B287" s="57"/>
      <c r="C287" s="149"/>
      <c r="D287" s="149"/>
      <c r="E287" s="176"/>
      <c r="F287" s="176"/>
      <c r="G287" s="194"/>
      <c r="H287" s="151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5.75" customHeight="1">
      <c r="A288" s="149"/>
      <c r="B288" s="57"/>
      <c r="C288" s="149"/>
      <c r="D288" s="149"/>
      <c r="E288" s="176"/>
      <c r="F288" s="176"/>
      <c r="G288" s="194"/>
      <c r="H288" s="151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5.75" customHeight="1">
      <c r="A289" s="149"/>
      <c r="B289" s="57"/>
      <c r="C289" s="149"/>
      <c r="D289" s="149"/>
      <c r="E289" s="176"/>
      <c r="F289" s="176"/>
      <c r="G289" s="194"/>
      <c r="H289" s="151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5.75" customHeight="1">
      <c r="A290" s="149"/>
      <c r="B290" s="57"/>
      <c r="C290" s="149"/>
      <c r="D290" s="149"/>
      <c r="E290" s="176"/>
      <c r="F290" s="176"/>
      <c r="G290" s="194"/>
      <c r="H290" s="151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5.75" customHeight="1">
      <c r="A291" s="149"/>
      <c r="B291" s="57"/>
      <c r="C291" s="149"/>
      <c r="D291" s="149"/>
      <c r="E291" s="176"/>
      <c r="F291" s="176"/>
      <c r="G291" s="194"/>
      <c r="H291" s="151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5.75" customHeight="1">
      <c r="A292" s="149"/>
      <c r="B292" s="57"/>
      <c r="C292" s="149"/>
      <c r="D292" s="149"/>
      <c r="E292" s="176"/>
      <c r="F292" s="176"/>
      <c r="G292" s="194"/>
      <c r="H292" s="151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5.75" customHeight="1">
      <c r="A293" s="149"/>
      <c r="B293" s="57"/>
      <c r="C293" s="149"/>
      <c r="D293" s="149"/>
      <c r="E293" s="176"/>
      <c r="F293" s="176"/>
      <c r="G293" s="194"/>
      <c r="H293" s="151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5.75" customHeight="1">
      <c r="A294" s="149"/>
      <c r="B294" s="57"/>
      <c r="C294" s="149"/>
      <c r="D294" s="149"/>
      <c r="E294" s="176"/>
      <c r="F294" s="176"/>
      <c r="G294" s="194"/>
      <c r="H294" s="151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5.75" customHeight="1">
      <c r="A295" s="149"/>
      <c r="B295" s="57"/>
      <c r="C295" s="149"/>
      <c r="D295" s="149"/>
      <c r="E295" s="176"/>
      <c r="F295" s="176"/>
      <c r="G295" s="194"/>
      <c r="H295" s="151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5.75" customHeight="1">
      <c r="A296" s="149"/>
      <c r="B296" s="57"/>
      <c r="C296" s="149"/>
      <c r="D296" s="149"/>
      <c r="E296" s="176"/>
      <c r="F296" s="176"/>
      <c r="G296" s="194"/>
      <c r="H296" s="151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5.75" customHeight="1">
      <c r="A297" s="149"/>
      <c r="B297" s="57"/>
      <c r="C297" s="149"/>
      <c r="D297" s="149"/>
      <c r="E297" s="176"/>
      <c r="F297" s="176"/>
      <c r="G297" s="194"/>
      <c r="H297" s="151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5.75" customHeight="1">
      <c r="A298" s="149"/>
      <c r="B298" s="57"/>
      <c r="C298" s="149"/>
      <c r="D298" s="149"/>
      <c r="E298" s="176"/>
      <c r="F298" s="176"/>
      <c r="G298" s="194"/>
      <c r="H298" s="151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5.75" customHeight="1">
      <c r="A299" s="149"/>
      <c r="B299" s="57"/>
      <c r="C299" s="149"/>
      <c r="D299" s="149"/>
      <c r="E299" s="176"/>
      <c r="F299" s="176"/>
      <c r="G299" s="194"/>
      <c r="H299" s="151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5.75" customHeight="1">
      <c r="A300" s="149"/>
      <c r="B300" s="57"/>
      <c r="C300" s="149"/>
      <c r="D300" s="149"/>
      <c r="E300" s="176"/>
      <c r="F300" s="176"/>
      <c r="G300" s="194"/>
      <c r="H300" s="151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5.75" customHeight="1">
      <c r="A301" s="149"/>
      <c r="B301" s="57"/>
      <c r="C301" s="149"/>
      <c r="D301" s="149"/>
      <c r="E301" s="176"/>
      <c r="F301" s="176"/>
      <c r="G301" s="194"/>
      <c r="H301" s="151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5.75" customHeight="1">
      <c r="A302" s="149"/>
      <c r="B302" s="57"/>
      <c r="C302" s="149"/>
      <c r="D302" s="149"/>
      <c r="E302" s="176"/>
      <c r="F302" s="176"/>
      <c r="G302" s="194"/>
      <c r="H302" s="151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5.75" customHeight="1">
      <c r="A303" s="149"/>
      <c r="B303" s="57"/>
      <c r="C303" s="149"/>
      <c r="D303" s="149"/>
      <c r="E303" s="176"/>
      <c r="F303" s="176"/>
      <c r="G303" s="194"/>
      <c r="H303" s="151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5.75" customHeight="1">
      <c r="A304" s="149"/>
      <c r="B304" s="57"/>
      <c r="C304" s="149"/>
      <c r="D304" s="149"/>
      <c r="E304" s="176"/>
      <c r="F304" s="176"/>
      <c r="G304" s="194"/>
      <c r="H304" s="151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5.75" customHeight="1">
      <c r="A305" s="149"/>
      <c r="B305" s="57"/>
      <c r="C305" s="149"/>
      <c r="D305" s="149"/>
      <c r="E305" s="176"/>
      <c r="F305" s="176"/>
      <c r="G305" s="194"/>
      <c r="H305" s="151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5.75" customHeight="1">
      <c r="A306" s="149"/>
      <c r="B306" s="57"/>
      <c r="C306" s="149"/>
      <c r="D306" s="149"/>
      <c r="E306" s="176"/>
      <c r="F306" s="176"/>
      <c r="G306" s="194"/>
      <c r="H306" s="151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5.75" customHeight="1">
      <c r="A307" s="149"/>
      <c r="B307" s="57"/>
      <c r="C307" s="149"/>
      <c r="D307" s="149"/>
      <c r="E307" s="176"/>
      <c r="F307" s="176"/>
      <c r="G307" s="194"/>
      <c r="H307" s="151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5.75" customHeight="1">
      <c r="A308" s="149"/>
      <c r="B308" s="57"/>
      <c r="C308" s="149"/>
      <c r="D308" s="149"/>
      <c r="E308" s="176"/>
      <c r="F308" s="176"/>
      <c r="G308" s="194"/>
      <c r="H308" s="151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5.75" customHeight="1">
      <c r="A309" s="149"/>
      <c r="B309" s="57"/>
      <c r="C309" s="149"/>
      <c r="D309" s="149"/>
      <c r="E309" s="176"/>
      <c r="F309" s="176"/>
      <c r="G309" s="194"/>
      <c r="H309" s="151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5.75" customHeight="1">
      <c r="A310" s="149"/>
      <c r="B310" s="57"/>
      <c r="C310" s="149"/>
      <c r="D310" s="149"/>
      <c r="E310" s="176"/>
      <c r="F310" s="176"/>
      <c r="G310" s="194"/>
      <c r="H310" s="151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5.75" customHeight="1">
      <c r="A311" s="149"/>
      <c r="B311" s="57"/>
      <c r="C311" s="149"/>
      <c r="D311" s="149"/>
      <c r="E311" s="176"/>
      <c r="F311" s="176"/>
      <c r="G311" s="194"/>
      <c r="H311" s="151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5.75" customHeight="1">
      <c r="A312" s="149"/>
      <c r="B312" s="57"/>
      <c r="C312" s="149"/>
      <c r="D312" s="149"/>
      <c r="E312" s="176"/>
      <c r="F312" s="176"/>
      <c r="G312" s="194"/>
      <c r="H312" s="151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5.75" customHeight="1">
      <c r="A313" s="149"/>
      <c r="B313" s="57"/>
      <c r="C313" s="149"/>
      <c r="D313" s="149"/>
      <c r="E313" s="176"/>
      <c r="F313" s="176"/>
      <c r="G313" s="194"/>
      <c r="H313" s="151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5.75" customHeight="1">
      <c r="A314" s="149"/>
      <c r="B314" s="57"/>
      <c r="C314" s="149"/>
      <c r="D314" s="149"/>
      <c r="E314" s="176"/>
      <c r="F314" s="176"/>
      <c r="G314" s="194"/>
      <c r="H314" s="151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5.75" customHeight="1">
      <c r="A315" s="149"/>
      <c r="B315" s="57"/>
      <c r="C315" s="149"/>
      <c r="D315" s="149"/>
      <c r="E315" s="176"/>
      <c r="F315" s="176"/>
      <c r="G315" s="194"/>
      <c r="H315" s="151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5.75" customHeight="1">
      <c r="A316" s="149"/>
      <c r="B316" s="57"/>
      <c r="C316" s="149"/>
      <c r="D316" s="176"/>
      <c r="E316" s="176"/>
      <c r="F316" s="176"/>
      <c r="G316" s="194"/>
      <c r="H316" s="151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5.75" customHeight="1">
      <c r="A317" s="149"/>
      <c r="B317" s="57"/>
      <c r="C317" s="149"/>
      <c r="D317" s="176"/>
      <c r="E317" s="176"/>
      <c r="F317" s="176"/>
      <c r="G317" s="194"/>
      <c r="H317" s="151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5.75" customHeight="1">
      <c r="A318" s="149"/>
      <c r="B318" s="57"/>
      <c r="C318" s="149"/>
      <c r="D318" s="176"/>
      <c r="E318" s="176"/>
      <c r="F318" s="176"/>
      <c r="G318" s="194"/>
      <c r="H318" s="151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5.75" customHeight="1">
      <c r="A319" s="149"/>
      <c r="B319" s="57"/>
      <c r="C319" s="149"/>
      <c r="D319" s="176"/>
      <c r="E319" s="176"/>
      <c r="F319" s="176"/>
      <c r="G319" s="194"/>
      <c r="H319" s="151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5.75" customHeight="1">
      <c r="A320" s="149"/>
      <c r="B320" s="57"/>
      <c r="C320" s="149"/>
      <c r="D320" s="176"/>
      <c r="E320" s="176"/>
      <c r="F320" s="176"/>
      <c r="G320" s="194"/>
      <c r="H320" s="151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5.75" customHeight="1">
      <c r="A321" s="149"/>
      <c r="B321" s="57"/>
      <c r="C321" s="149"/>
      <c r="D321" s="176"/>
      <c r="E321" s="176"/>
      <c r="F321" s="176"/>
      <c r="G321" s="194"/>
      <c r="H321" s="151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5.75" customHeight="1">
      <c r="A322" s="149"/>
      <c r="B322" s="57"/>
      <c r="C322" s="149"/>
      <c r="D322" s="176"/>
      <c r="E322" s="176"/>
      <c r="F322" s="176"/>
      <c r="G322" s="194"/>
      <c r="H322" s="151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5.75" customHeight="1">
      <c r="A323" s="149"/>
      <c r="B323" s="57"/>
      <c r="C323" s="149"/>
      <c r="D323" s="176"/>
      <c r="E323" s="176"/>
      <c r="F323" s="176"/>
      <c r="G323" s="194"/>
      <c r="H323" s="151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5.75" customHeight="1">
      <c r="A324" s="149"/>
      <c r="B324" s="57"/>
      <c r="C324" s="149"/>
      <c r="D324" s="176"/>
      <c r="E324" s="176"/>
      <c r="F324" s="176"/>
      <c r="G324" s="194"/>
      <c r="H324" s="151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5.75" customHeight="1">
      <c r="A325" s="149"/>
      <c r="B325" s="57"/>
      <c r="C325" s="149"/>
      <c r="D325" s="176"/>
      <c r="E325" s="176"/>
      <c r="F325" s="176"/>
      <c r="G325" s="194"/>
      <c r="H325" s="151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5.75" customHeight="1">
      <c r="A326" s="149"/>
      <c r="B326" s="57"/>
      <c r="C326" s="149"/>
      <c r="D326" s="176"/>
      <c r="E326" s="176"/>
      <c r="F326" s="176"/>
      <c r="G326" s="194"/>
      <c r="H326" s="151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5.75" customHeight="1">
      <c r="A327" s="149"/>
      <c r="B327" s="57"/>
      <c r="C327" s="149"/>
      <c r="D327" s="176"/>
      <c r="E327" s="176"/>
      <c r="F327" s="176"/>
      <c r="G327" s="194"/>
      <c r="H327" s="151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5.75" customHeight="1">
      <c r="A328" s="149"/>
      <c r="B328" s="57"/>
      <c r="C328" s="149"/>
      <c r="D328" s="176"/>
      <c r="E328" s="176"/>
      <c r="F328" s="176"/>
      <c r="G328" s="194"/>
      <c r="H328" s="151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5.75" customHeight="1">
      <c r="A329" s="149"/>
      <c r="B329" s="57"/>
      <c r="C329" s="149"/>
      <c r="D329" s="176"/>
      <c r="E329" s="176"/>
      <c r="F329" s="176"/>
      <c r="G329" s="194"/>
      <c r="H329" s="151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5.75" customHeight="1">
      <c r="A330" s="149"/>
      <c r="B330" s="57"/>
      <c r="C330" s="149"/>
      <c r="D330" s="176"/>
      <c r="E330" s="176"/>
      <c r="F330" s="176"/>
      <c r="G330" s="194"/>
      <c r="H330" s="151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5.75" customHeight="1">
      <c r="A331" s="149"/>
      <c r="B331" s="57"/>
      <c r="C331" s="149"/>
      <c r="D331" s="176"/>
      <c r="E331" s="176"/>
      <c r="F331" s="176"/>
      <c r="G331" s="194"/>
      <c r="H331" s="151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5.75" customHeight="1">
      <c r="A332" s="149"/>
      <c r="B332" s="57"/>
      <c r="C332" s="149"/>
      <c r="D332" s="176"/>
      <c r="E332" s="176"/>
      <c r="F332" s="176"/>
      <c r="G332" s="194"/>
      <c r="H332" s="151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5.75" customHeight="1">
      <c r="A333" s="149"/>
      <c r="B333" s="57"/>
      <c r="C333" s="149"/>
      <c r="D333" s="176"/>
      <c r="E333" s="176"/>
      <c r="F333" s="176"/>
      <c r="G333" s="194"/>
      <c r="H333" s="151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5.75" customHeight="1">
      <c r="A334" s="149"/>
      <c r="B334" s="57"/>
      <c r="C334" s="149"/>
      <c r="D334" s="176"/>
      <c r="E334" s="176"/>
      <c r="F334" s="176"/>
      <c r="G334" s="194"/>
      <c r="H334" s="151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5.75" customHeight="1">
      <c r="A335" s="149"/>
      <c r="B335" s="57"/>
      <c r="C335" s="149"/>
      <c r="D335" s="176"/>
      <c r="E335" s="176"/>
      <c r="F335" s="176"/>
      <c r="G335" s="194"/>
      <c r="H335" s="151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5.75" customHeight="1">
      <c r="A336" s="149"/>
      <c r="B336" s="57"/>
      <c r="C336" s="149"/>
      <c r="D336" s="176"/>
      <c r="E336" s="176"/>
      <c r="F336" s="176"/>
      <c r="G336" s="194"/>
      <c r="H336" s="151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5.75" customHeight="1">
      <c r="A337" s="149"/>
      <c r="B337" s="57"/>
      <c r="C337" s="149"/>
      <c r="D337" s="149"/>
      <c r="E337" s="149"/>
      <c r="F337" s="149"/>
      <c r="G337" s="57"/>
      <c r="H337" s="151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5.75" customHeight="1">
      <c r="A338" s="149"/>
      <c r="B338" s="57"/>
      <c r="C338" s="149"/>
      <c r="D338" s="149"/>
      <c r="E338" s="149"/>
      <c r="F338" s="149"/>
      <c r="G338" s="57"/>
      <c r="H338" s="151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5.75" customHeight="1">
      <c r="A339" s="149"/>
      <c r="B339" s="57"/>
      <c r="C339" s="149"/>
      <c r="D339" s="149"/>
      <c r="E339" s="149"/>
      <c r="F339" s="149"/>
      <c r="G339" s="57"/>
      <c r="H339" s="151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5.75" customHeight="1">
      <c r="A340" s="149"/>
      <c r="B340" s="57"/>
      <c r="C340" s="149"/>
      <c r="D340" s="149"/>
      <c r="E340" s="149"/>
      <c r="F340" s="149"/>
      <c r="G340" s="57"/>
      <c r="H340" s="151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5.75" customHeight="1">
      <c r="A341" s="149"/>
      <c r="B341" s="57"/>
      <c r="C341" s="149"/>
      <c r="D341" s="149"/>
      <c r="E341" s="149"/>
      <c r="F341" s="149"/>
      <c r="G341" s="57"/>
      <c r="H341" s="151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5.75" customHeight="1">
      <c r="A342" s="149"/>
      <c r="B342" s="57"/>
      <c r="C342" s="149"/>
      <c r="D342" s="149"/>
      <c r="E342" s="149"/>
      <c r="F342" s="149"/>
      <c r="G342" s="57"/>
      <c r="H342" s="151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5.75" customHeight="1">
      <c r="A343" s="149"/>
      <c r="B343" s="57"/>
      <c r="C343" s="149"/>
      <c r="D343" s="149"/>
      <c r="E343" s="149"/>
      <c r="F343" s="149"/>
      <c r="G343" s="57"/>
      <c r="H343" s="151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5.75" customHeight="1">
      <c r="A344" s="149"/>
      <c r="B344" s="57"/>
      <c r="C344" s="149"/>
      <c r="D344" s="149"/>
      <c r="E344" s="149"/>
      <c r="F344" s="149"/>
      <c r="G344" s="57"/>
      <c r="H344" s="151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5.75" customHeight="1">
      <c r="A345" s="149"/>
      <c r="B345" s="57"/>
      <c r="C345" s="149"/>
      <c r="D345" s="149"/>
      <c r="E345" s="149"/>
      <c r="F345" s="149"/>
      <c r="G345" s="57"/>
      <c r="H345" s="151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5.75" customHeight="1">
      <c r="A346" s="149"/>
      <c r="B346" s="57"/>
      <c r="C346" s="149"/>
      <c r="D346" s="149"/>
      <c r="E346" s="149"/>
      <c r="F346" s="149"/>
      <c r="G346" s="57"/>
      <c r="H346" s="151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5.75" customHeight="1">
      <c r="A347" s="149"/>
      <c r="B347" s="57"/>
      <c r="C347" s="149"/>
      <c r="D347" s="149"/>
      <c r="E347" s="149"/>
      <c r="F347" s="149"/>
      <c r="G347" s="57"/>
      <c r="H347" s="151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5.75" customHeight="1">
      <c r="A348" s="149"/>
      <c r="B348" s="57"/>
      <c r="C348" s="149"/>
      <c r="D348" s="149"/>
      <c r="E348" s="149"/>
      <c r="F348" s="149"/>
      <c r="G348" s="57"/>
      <c r="H348" s="151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5.75" customHeight="1">
      <c r="A349" s="149"/>
      <c r="B349" s="57"/>
      <c r="C349" s="149"/>
      <c r="D349" s="149"/>
      <c r="E349" s="149"/>
      <c r="F349" s="149"/>
      <c r="G349" s="57"/>
      <c r="H349" s="151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5.75" customHeight="1">
      <c r="A350" s="149"/>
      <c r="B350" s="57"/>
      <c r="C350" s="149"/>
      <c r="D350" s="149"/>
      <c r="E350" s="149"/>
      <c r="F350" s="149"/>
      <c r="G350" s="57"/>
      <c r="H350" s="151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5.75" customHeight="1">
      <c r="A351" s="149"/>
      <c r="B351" s="57"/>
      <c r="C351" s="149"/>
      <c r="D351" s="149"/>
      <c r="E351" s="149"/>
      <c r="F351" s="149"/>
      <c r="G351" s="57"/>
      <c r="H351" s="151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5.75" customHeight="1">
      <c r="A352" s="149"/>
      <c r="B352" s="57"/>
      <c r="C352" s="149"/>
      <c r="D352" s="149"/>
      <c r="E352" s="149"/>
      <c r="F352" s="149"/>
      <c r="G352" s="57"/>
      <c r="H352" s="151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5.75" customHeight="1">
      <c r="A353" s="149"/>
      <c r="B353" s="57"/>
      <c r="C353" s="149"/>
      <c r="D353" s="149"/>
      <c r="E353" s="149"/>
      <c r="F353" s="149"/>
      <c r="G353" s="57"/>
      <c r="H353" s="151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5.75" customHeight="1">
      <c r="A354" s="149"/>
      <c r="B354" s="57"/>
      <c r="C354" s="149"/>
      <c r="D354" s="149"/>
      <c r="E354" s="149"/>
      <c r="F354" s="149"/>
      <c r="G354" s="57"/>
      <c r="H354" s="151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5.75" customHeight="1">
      <c r="A355" s="149"/>
      <c r="B355" s="57"/>
      <c r="C355" s="149"/>
      <c r="D355" s="149"/>
      <c r="E355" s="149"/>
      <c r="F355" s="149"/>
      <c r="G355" s="57"/>
      <c r="H355" s="151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5.75" customHeight="1">
      <c r="A356" s="149"/>
      <c r="B356" s="57"/>
      <c r="C356" s="149"/>
      <c r="D356" s="149"/>
      <c r="E356" s="149"/>
      <c r="F356" s="149"/>
      <c r="G356" s="57"/>
      <c r="H356" s="151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5.75" customHeight="1">
      <c r="A357" s="149"/>
      <c r="B357" s="57"/>
      <c r="C357" s="149"/>
      <c r="D357" s="149"/>
      <c r="E357" s="149"/>
      <c r="F357" s="149"/>
      <c r="G357" s="57"/>
      <c r="H357" s="151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5.75" customHeight="1">
      <c r="A358" s="149"/>
      <c r="B358" s="57"/>
      <c r="C358" s="149"/>
      <c r="D358" s="149"/>
      <c r="E358" s="149"/>
      <c r="F358" s="149"/>
      <c r="G358" s="57"/>
      <c r="H358" s="151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5.75" customHeight="1">
      <c r="A359" s="149"/>
      <c r="B359" s="57"/>
      <c r="C359" s="149"/>
      <c r="D359" s="149"/>
      <c r="E359" s="149"/>
      <c r="F359" s="149"/>
      <c r="G359" s="57"/>
      <c r="H359" s="151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5.75" customHeight="1">
      <c r="A360" s="149"/>
      <c r="B360" s="57"/>
      <c r="C360" s="149"/>
      <c r="D360" s="149"/>
      <c r="E360" s="149"/>
      <c r="F360" s="149"/>
      <c r="G360" s="57"/>
      <c r="H360" s="151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5.75" customHeight="1">
      <c r="A361" s="149"/>
      <c r="B361" s="57"/>
      <c r="C361" s="149"/>
      <c r="D361" s="149"/>
      <c r="E361" s="149"/>
      <c r="F361" s="149"/>
      <c r="G361" s="57"/>
      <c r="H361" s="151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5.75" customHeight="1">
      <c r="A362" s="149"/>
      <c r="B362" s="57"/>
      <c r="C362" s="149"/>
      <c r="D362" s="149"/>
      <c r="E362" s="149"/>
      <c r="F362" s="149"/>
      <c r="G362" s="57"/>
      <c r="H362" s="151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5.75" customHeight="1">
      <c r="A363" s="149"/>
      <c r="B363" s="57"/>
      <c r="C363" s="149"/>
      <c r="D363" s="149"/>
      <c r="E363" s="149"/>
      <c r="F363" s="149"/>
      <c r="G363" s="57"/>
      <c r="H363" s="151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5.75" customHeight="1">
      <c r="A364" s="149"/>
      <c r="B364" s="57"/>
      <c r="C364" s="149"/>
      <c r="D364" s="149"/>
      <c r="E364" s="149"/>
      <c r="F364" s="149"/>
      <c r="G364" s="57"/>
      <c r="H364" s="151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5.75" customHeight="1">
      <c r="A365" s="149"/>
      <c r="B365" s="57"/>
      <c r="C365" s="149"/>
      <c r="D365" s="149"/>
      <c r="E365" s="149"/>
      <c r="F365" s="149"/>
      <c r="G365" s="57"/>
      <c r="H365" s="151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5.75" customHeight="1">
      <c r="A366" s="149"/>
      <c r="B366" s="57"/>
      <c r="C366" s="149"/>
      <c r="D366" s="149"/>
      <c r="E366" s="149"/>
      <c r="F366" s="149"/>
      <c r="G366" s="57"/>
      <c r="H366" s="151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5.75" customHeight="1">
      <c r="A367" s="149"/>
      <c r="B367" s="57"/>
      <c r="C367" s="149"/>
      <c r="D367" s="149"/>
      <c r="E367" s="149"/>
      <c r="F367" s="149"/>
      <c r="G367" s="57"/>
      <c r="H367" s="151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5.75" customHeight="1">
      <c r="A368" s="149"/>
      <c r="B368" s="57"/>
      <c r="C368" s="149"/>
      <c r="D368" s="149"/>
      <c r="E368" s="149"/>
      <c r="F368" s="149"/>
      <c r="G368" s="57"/>
      <c r="H368" s="151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5.75" customHeight="1">
      <c r="A369" s="149"/>
      <c r="B369" s="57"/>
      <c r="C369" s="149"/>
      <c r="D369" s="149"/>
      <c r="E369" s="149"/>
      <c r="F369" s="149"/>
      <c r="G369" s="57"/>
      <c r="H369" s="151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5.75" customHeight="1">
      <c r="A370" s="149"/>
      <c r="B370" s="57"/>
      <c r="C370" s="149"/>
      <c r="D370" s="149"/>
      <c r="E370" s="149"/>
      <c r="F370" s="149"/>
      <c r="G370" s="57"/>
      <c r="H370" s="151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5.75" customHeight="1">
      <c r="A371" s="149"/>
      <c r="B371" s="57"/>
      <c r="C371" s="149"/>
      <c r="D371" s="149"/>
      <c r="E371" s="149"/>
      <c r="F371" s="149"/>
      <c r="G371" s="57"/>
      <c r="H371" s="151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5.75" customHeight="1">
      <c r="A372" s="149"/>
      <c r="B372" s="57"/>
      <c r="C372" s="149"/>
      <c r="D372" s="149"/>
      <c r="E372" s="149"/>
      <c r="F372" s="149"/>
      <c r="G372" s="57"/>
      <c r="H372" s="151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5.75" customHeight="1">
      <c r="A373" s="149"/>
      <c r="B373" s="57"/>
      <c r="C373" s="149"/>
      <c r="D373" s="149"/>
      <c r="E373" s="149"/>
      <c r="F373" s="149"/>
      <c r="G373" s="57"/>
      <c r="H373" s="151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5.75" customHeight="1">
      <c r="A374" s="149"/>
      <c r="B374" s="57"/>
      <c r="C374" s="149"/>
      <c r="D374" s="149"/>
      <c r="E374" s="149"/>
      <c r="F374" s="149"/>
      <c r="G374" s="57"/>
      <c r="H374" s="151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5.75" customHeight="1">
      <c r="A375" s="149"/>
      <c r="B375" s="57"/>
      <c r="C375" s="149"/>
      <c r="D375" s="149"/>
      <c r="E375" s="149"/>
      <c r="F375" s="149"/>
      <c r="G375" s="57"/>
      <c r="H375" s="151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5.75" customHeight="1">
      <c r="A376" s="149"/>
      <c r="B376" s="57"/>
      <c r="C376" s="149"/>
      <c r="D376" s="149"/>
      <c r="E376" s="149"/>
      <c r="F376" s="149"/>
      <c r="G376" s="57"/>
      <c r="H376" s="151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5.75" customHeight="1">
      <c r="A377" s="149"/>
      <c r="B377" s="57"/>
      <c r="C377" s="149"/>
      <c r="D377" s="149"/>
      <c r="E377" s="149"/>
      <c r="F377" s="149"/>
      <c r="G377" s="57"/>
      <c r="H377" s="151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5.75" customHeight="1">
      <c r="A378" s="149"/>
      <c r="B378" s="57"/>
      <c r="C378" s="149"/>
      <c r="D378" s="149"/>
      <c r="E378" s="149"/>
      <c r="F378" s="149"/>
      <c r="G378" s="57"/>
      <c r="H378" s="151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5.75" customHeight="1">
      <c r="A379" s="149"/>
      <c r="B379" s="57"/>
      <c r="C379" s="149"/>
      <c r="D379" s="149"/>
      <c r="E379" s="149"/>
      <c r="F379" s="149"/>
      <c r="G379" s="57"/>
      <c r="H379" s="151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5.75" customHeight="1">
      <c r="A380" s="149"/>
      <c r="B380" s="57"/>
      <c r="C380" s="149"/>
      <c r="D380" s="149"/>
      <c r="E380" s="149"/>
      <c r="F380" s="149"/>
      <c r="G380" s="57"/>
      <c r="H380" s="151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5.75" customHeight="1">
      <c r="A381" s="149"/>
      <c r="B381" s="57"/>
      <c r="C381" s="149"/>
      <c r="D381" s="149"/>
      <c r="E381" s="149"/>
      <c r="F381" s="149"/>
      <c r="G381" s="57"/>
      <c r="H381" s="151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5.75" customHeight="1">
      <c r="A382" s="149"/>
      <c r="B382" s="57"/>
      <c r="C382" s="149"/>
      <c r="D382" s="149"/>
      <c r="E382" s="149"/>
      <c r="F382" s="149"/>
      <c r="G382" s="57"/>
      <c r="H382" s="151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5.75" customHeight="1">
      <c r="A383" s="149"/>
      <c r="B383" s="57"/>
      <c r="C383" s="149"/>
      <c r="D383" s="149"/>
      <c r="E383" s="149"/>
      <c r="F383" s="149"/>
      <c r="G383" s="57"/>
      <c r="H383" s="151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5.75" customHeight="1">
      <c r="A384" s="149"/>
      <c r="B384" s="57"/>
      <c r="C384" s="149"/>
      <c r="D384" s="149"/>
      <c r="E384" s="149"/>
      <c r="F384" s="149"/>
      <c r="G384" s="57"/>
      <c r="H384" s="151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5.75" customHeight="1">
      <c r="A385" s="149"/>
      <c r="B385" s="57"/>
      <c r="C385" s="149"/>
      <c r="D385" s="149"/>
      <c r="E385" s="149"/>
      <c r="F385" s="149"/>
      <c r="G385" s="57"/>
      <c r="H385" s="151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5.75" customHeight="1">
      <c r="A386" s="149"/>
      <c r="B386" s="57"/>
      <c r="C386" s="149"/>
      <c r="D386" s="149"/>
      <c r="E386" s="149"/>
      <c r="F386" s="149"/>
      <c r="G386" s="57"/>
      <c r="H386" s="151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5.75" customHeight="1">
      <c r="A387" s="149"/>
      <c r="B387" s="57"/>
      <c r="C387" s="149"/>
      <c r="D387" s="149"/>
      <c r="E387" s="149"/>
      <c r="F387" s="149"/>
      <c r="G387" s="57"/>
      <c r="H387" s="151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5.75" customHeight="1">
      <c r="A388" s="149"/>
      <c r="B388" s="57"/>
      <c r="C388" s="149"/>
      <c r="D388" s="149"/>
      <c r="E388" s="149"/>
      <c r="F388" s="149"/>
      <c r="G388" s="57"/>
      <c r="H388" s="151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5.75" customHeight="1">
      <c r="A389" s="149"/>
      <c r="B389" s="57"/>
      <c r="C389" s="149"/>
      <c r="D389" s="149"/>
      <c r="E389" s="149"/>
      <c r="F389" s="149"/>
      <c r="G389" s="57"/>
      <c r="H389" s="151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5.75" customHeight="1">
      <c r="A390" s="149"/>
      <c r="B390" s="57"/>
      <c r="C390" s="149"/>
      <c r="D390" s="149"/>
      <c r="E390" s="149"/>
      <c r="F390" s="149"/>
      <c r="G390" s="57"/>
      <c r="H390" s="151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5.75" customHeight="1">
      <c r="A391" s="149"/>
      <c r="B391" s="57"/>
      <c r="C391" s="149"/>
      <c r="D391" s="149"/>
      <c r="E391" s="149"/>
      <c r="F391" s="149"/>
      <c r="G391" s="57"/>
      <c r="H391" s="151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5.75" customHeight="1">
      <c r="A392" s="149"/>
      <c r="B392" s="57"/>
      <c r="C392" s="149"/>
      <c r="D392" s="149"/>
      <c r="E392" s="149"/>
      <c r="F392" s="149"/>
      <c r="G392" s="57"/>
      <c r="H392" s="151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5.75" customHeight="1">
      <c r="A393" s="149"/>
      <c r="B393" s="57"/>
      <c r="C393" s="149"/>
      <c r="D393" s="149"/>
      <c r="E393" s="149"/>
      <c r="F393" s="149"/>
      <c r="G393" s="57"/>
      <c r="H393" s="151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5.75" customHeight="1">
      <c r="A394" s="149"/>
      <c r="B394" s="57"/>
      <c r="C394" s="149"/>
      <c r="D394" s="149"/>
      <c r="E394" s="149"/>
      <c r="F394" s="149"/>
      <c r="G394" s="57"/>
      <c r="H394" s="151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5.75" customHeight="1">
      <c r="A395" s="149"/>
      <c r="B395" s="57"/>
      <c r="C395" s="149"/>
      <c r="D395" s="149"/>
      <c r="E395" s="149"/>
      <c r="F395" s="149"/>
      <c r="G395" s="57"/>
      <c r="H395" s="151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5.75" customHeight="1">
      <c r="A396" s="149"/>
      <c r="B396" s="57"/>
      <c r="C396" s="149"/>
      <c r="D396" s="149"/>
      <c r="E396" s="149"/>
      <c r="F396" s="149"/>
      <c r="G396" s="57"/>
      <c r="H396" s="151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5.75" customHeight="1">
      <c r="A397" s="149"/>
      <c r="B397" s="57"/>
      <c r="C397" s="149"/>
      <c r="D397" s="149"/>
      <c r="E397" s="149"/>
      <c r="F397" s="149"/>
      <c r="G397" s="57"/>
      <c r="H397" s="151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5.75" customHeight="1">
      <c r="A398" s="149"/>
      <c r="B398" s="57"/>
      <c r="C398" s="149"/>
      <c r="D398" s="149"/>
      <c r="E398" s="149"/>
      <c r="F398" s="149"/>
      <c r="G398" s="57"/>
      <c r="H398" s="151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5.75" customHeight="1">
      <c r="A399" s="149"/>
      <c r="B399" s="57"/>
      <c r="C399" s="149"/>
      <c r="D399" s="149"/>
      <c r="E399" s="149"/>
      <c r="F399" s="149"/>
      <c r="G399" s="57"/>
      <c r="H399" s="151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5.75" customHeight="1">
      <c r="A400" s="149"/>
      <c r="B400" s="57"/>
      <c r="C400" s="149"/>
      <c r="D400" s="149"/>
      <c r="E400" s="149"/>
      <c r="F400" s="149"/>
      <c r="G400" s="57"/>
      <c r="H400" s="151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5.75" customHeight="1">
      <c r="A401" s="149"/>
      <c r="B401" s="57"/>
      <c r="C401" s="149"/>
      <c r="D401" s="149"/>
      <c r="E401" s="149"/>
      <c r="F401" s="149"/>
      <c r="G401" s="57"/>
      <c r="H401" s="151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5.75" customHeight="1">
      <c r="A402" s="149"/>
      <c r="B402" s="57"/>
      <c r="C402" s="149"/>
      <c r="D402" s="149"/>
      <c r="E402" s="149"/>
      <c r="F402" s="149"/>
      <c r="G402" s="57"/>
      <c r="H402" s="151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5.75" customHeight="1">
      <c r="A403" s="149"/>
      <c r="B403" s="57"/>
      <c r="C403" s="149"/>
      <c r="D403" s="149"/>
      <c r="E403" s="149"/>
      <c r="F403" s="149"/>
      <c r="G403" s="57"/>
      <c r="H403" s="151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5.75" customHeight="1">
      <c r="A404" s="149"/>
      <c r="B404" s="57"/>
      <c r="C404" s="149"/>
      <c r="D404" s="149"/>
      <c r="E404" s="149"/>
      <c r="F404" s="149"/>
      <c r="G404" s="57"/>
      <c r="H404" s="151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5.75" customHeight="1">
      <c r="A405" s="149"/>
      <c r="B405" s="57"/>
      <c r="C405" s="149"/>
      <c r="D405" s="149"/>
      <c r="E405" s="149"/>
      <c r="F405" s="149"/>
      <c r="G405" s="57"/>
      <c r="H405" s="151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5.75" customHeight="1">
      <c r="A406" s="149"/>
      <c r="B406" s="57"/>
      <c r="C406" s="149"/>
      <c r="D406" s="149"/>
      <c r="E406" s="149"/>
      <c r="F406" s="149"/>
      <c r="G406" s="57"/>
      <c r="H406" s="151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5.75" customHeight="1">
      <c r="A407" s="149"/>
      <c r="B407" s="57"/>
      <c r="C407" s="149"/>
      <c r="D407" s="149"/>
      <c r="E407" s="149"/>
      <c r="F407" s="149"/>
      <c r="G407" s="57"/>
      <c r="H407" s="151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5.75" customHeight="1">
      <c r="A408" s="149"/>
      <c r="B408" s="57"/>
      <c r="C408" s="149"/>
      <c r="D408" s="149"/>
      <c r="E408" s="149"/>
      <c r="F408" s="149"/>
      <c r="G408" s="57"/>
      <c r="H408" s="151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5.75" customHeight="1">
      <c r="A409" s="149"/>
      <c r="B409" s="57"/>
      <c r="C409" s="149"/>
      <c r="D409" s="149"/>
      <c r="E409" s="149"/>
      <c r="F409" s="149"/>
      <c r="G409" s="57"/>
      <c r="H409" s="151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5.75" customHeight="1">
      <c r="A410" s="149"/>
      <c r="B410" s="57"/>
      <c r="C410" s="149"/>
      <c r="D410" s="149"/>
      <c r="E410" s="149"/>
      <c r="F410" s="149"/>
      <c r="G410" s="57"/>
      <c r="H410" s="151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5.75" customHeight="1">
      <c r="A411" s="149"/>
      <c r="B411" s="57"/>
      <c r="C411" s="149"/>
      <c r="D411" s="149"/>
      <c r="E411" s="149"/>
      <c r="F411" s="149"/>
      <c r="G411" s="57"/>
      <c r="H411" s="151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5.75" customHeight="1">
      <c r="A412" s="149"/>
      <c r="B412" s="57"/>
      <c r="C412" s="149"/>
      <c r="D412" s="149"/>
      <c r="E412" s="149"/>
      <c r="F412" s="149"/>
      <c r="G412" s="57"/>
      <c r="H412" s="151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5.75" customHeight="1">
      <c r="A413" s="149"/>
      <c r="B413" s="57"/>
      <c r="C413" s="149"/>
      <c r="D413" s="149"/>
      <c r="E413" s="149"/>
      <c r="F413" s="149"/>
      <c r="G413" s="57"/>
      <c r="H413" s="151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5.75" customHeight="1">
      <c r="A414" s="149"/>
      <c r="B414" s="57"/>
      <c r="C414" s="149"/>
      <c r="D414" s="149"/>
      <c r="E414" s="149"/>
      <c r="F414" s="149"/>
      <c r="G414" s="57"/>
      <c r="H414" s="151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5.75" customHeight="1">
      <c r="A415" s="149"/>
      <c r="B415" s="57"/>
      <c r="C415" s="149"/>
      <c r="D415" s="149"/>
      <c r="E415" s="149"/>
      <c r="F415" s="149"/>
      <c r="G415" s="57"/>
      <c r="H415" s="151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5.75" customHeight="1">
      <c r="A416" s="149"/>
      <c r="B416" s="57"/>
      <c r="C416" s="149"/>
      <c r="D416" s="149"/>
      <c r="E416" s="149"/>
      <c r="F416" s="149"/>
      <c r="G416" s="57"/>
      <c r="H416" s="151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5.75" customHeight="1">
      <c r="A417" s="149"/>
      <c r="B417" s="57"/>
      <c r="C417" s="149"/>
      <c r="D417" s="149"/>
      <c r="E417" s="149"/>
      <c r="F417" s="149"/>
      <c r="G417" s="57"/>
      <c r="H417" s="151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5.75" customHeight="1">
      <c r="A418" s="149"/>
      <c r="B418" s="57"/>
      <c r="C418" s="149"/>
      <c r="D418" s="149"/>
      <c r="E418" s="149"/>
      <c r="F418" s="149"/>
      <c r="G418" s="57"/>
      <c r="H418" s="151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5.75" customHeight="1">
      <c r="A419" s="149"/>
      <c r="B419" s="57"/>
      <c r="C419" s="149"/>
      <c r="D419" s="149"/>
      <c r="E419" s="149"/>
      <c r="F419" s="149"/>
      <c r="G419" s="57"/>
      <c r="H419" s="151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5.75" customHeight="1">
      <c r="A420" s="149"/>
      <c r="B420" s="57"/>
      <c r="C420" s="149"/>
      <c r="D420" s="149"/>
      <c r="E420" s="149"/>
      <c r="F420" s="149"/>
      <c r="G420" s="57"/>
      <c r="H420" s="151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5.75" customHeight="1">
      <c r="A421" s="149"/>
      <c r="B421" s="57"/>
      <c r="C421" s="149"/>
      <c r="D421" s="149"/>
      <c r="E421" s="149"/>
      <c r="F421" s="149"/>
      <c r="G421" s="57"/>
      <c r="H421" s="151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5.75" customHeight="1">
      <c r="A422" s="149"/>
      <c r="B422" s="57"/>
      <c r="C422" s="149"/>
      <c r="D422" s="149"/>
      <c r="E422" s="149"/>
      <c r="F422" s="149"/>
      <c r="G422" s="57"/>
      <c r="H422" s="151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5.75" customHeight="1">
      <c r="A423" s="149"/>
      <c r="B423" s="57"/>
      <c r="C423" s="149"/>
      <c r="D423" s="149"/>
      <c r="E423" s="149"/>
      <c r="F423" s="149"/>
      <c r="G423" s="57"/>
      <c r="H423" s="151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5.75" customHeight="1">
      <c r="A424" s="149"/>
      <c r="B424" s="57"/>
      <c r="C424" s="149"/>
      <c r="D424" s="149"/>
      <c r="E424" s="149"/>
      <c r="F424" s="149"/>
      <c r="G424" s="57"/>
      <c r="H424" s="151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5.75" customHeight="1">
      <c r="A425" s="149"/>
      <c r="B425" s="57"/>
      <c r="C425" s="149"/>
      <c r="D425" s="149"/>
      <c r="E425" s="149"/>
      <c r="F425" s="149"/>
      <c r="G425" s="57"/>
      <c r="H425" s="151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5.75" customHeight="1">
      <c r="A426" s="149"/>
      <c r="B426" s="57"/>
      <c r="C426" s="149"/>
      <c r="D426" s="149"/>
      <c r="E426" s="149"/>
      <c r="F426" s="149"/>
      <c r="G426" s="57"/>
      <c r="H426" s="151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5.75" customHeight="1">
      <c r="A427" s="149"/>
      <c r="B427" s="57"/>
      <c r="C427" s="149"/>
      <c r="D427" s="149"/>
      <c r="E427" s="149"/>
      <c r="F427" s="149"/>
      <c r="G427" s="57"/>
      <c r="H427" s="151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5.75" customHeight="1">
      <c r="A428" s="149"/>
      <c r="B428" s="57"/>
      <c r="C428" s="149"/>
      <c r="D428" s="149"/>
      <c r="E428" s="149"/>
      <c r="F428" s="149"/>
      <c r="G428" s="57"/>
      <c r="H428" s="151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5.75" customHeight="1">
      <c r="A429" s="149"/>
      <c r="B429" s="57"/>
      <c r="C429" s="149"/>
      <c r="D429" s="149"/>
      <c r="E429" s="149"/>
      <c r="F429" s="149"/>
      <c r="G429" s="57"/>
      <c r="H429" s="151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5.75" customHeight="1">
      <c r="A430" s="149"/>
      <c r="B430" s="57"/>
      <c r="C430" s="149"/>
      <c r="D430" s="149"/>
      <c r="E430" s="149"/>
      <c r="F430" s="149"/>
      <c r="G430" s="57"/>
      <c r="H430" s="151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5.75" customHeight="1">
      <c r="A431" s="149"/>
      <c r="B431" s="57"/>
      <c r="C431" s="149"/>
      <c r="D431" s="149"/>
      <c r="E431" s="149"/>
      <c r="F431" s="149"/>
      <c r="G431" s="57"/>
      <c r="H431" s="151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5.75" customHeight="1">
      <c r="A432" s="149"/>
      <c r="B432" s="57"/>
      <c r="C432" s="149"/>
      <c r="D432" s="149"/>
      <c r="E432" s="149"/>
      <c r="F432" s="149"/>
      <c r="G432" s="57"/>
      <c r="H432" s="151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5.75" customHeight="1">
      <c r="A433" s="149"/>
      <c r="B433" s="57"/>
      <c r="C433" s="149"/>
      <c r="D433" s="149"/>
      <c r="E433" s="149"/>
      <c r="F433" s="149"/>
      <c r="G433" s="57"/>
      <c r="H433" s="151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5.75" customHeight="1">
      <c r="A434" s="149"/>
      <c r="B434" s="57"/>
      <c r="C434" s="149"/>
      <c r="D434" s="149"/>
      <c r="E434" s="149"/>
      <c r="F434" s="149"/>
      <c r="G434" s="57"/>
      <c r="H434" s="151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5.75" customHeight="1">
      <c r="A435" s="149"/>
      <c r="B435" s="57"/>
      <c r="C435" s="149"/>
      <c r="D435" s="149"/>
      <c r="E435" s="149"/>
      <c r="F435" s="149"/>
      <c r="G435" s="57"/>
      <c r="H435" s="151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5.75" customHeight="1">
      <c r="A436" s="149"/>
      <c r="B436" s="57"/>
      <c r="C436" s="149"/>
      <c r="D436" s="149"/>
      <c r="E436" s="149"/>
      <c r="F436" s="149"/>
      <c r="G436" s="57"/>
      <c r="H436" s="151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5.75" customHeight="1">
      <c r="A437" s="149"/>
      <c r="B437" s="57"/>
      <c r="C437" s="149"/>
      <c r="D437" s="149"/>
      <c r="E437" s="149"/>
      <c r="F437" s="149"/>
      <c r="G437" s="57"/>
      <c r="H437" s="151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5.75" customHeight="1">
      <c r="A438" s="149"/>
      <c r="B438" s="57"/>
      <c r="C438" s="149"/>
      <c r="D438" s="149"/>
      <c r="E438" s="149"/>
      <c r="F438" s="149"/>
      <c r="G438" s="57"/>
      <c r="H438" s="151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5.75" customHeight="1">
      <c r="A439" s="149"/>
      <c r="B439" s="57"/>
      <c r="C439" s="149"/>
      <c r="D439" s="149"/>
      <c r="E439" s="149"/>
      <c r="F439" s="149"/>
      <c r="G439" s="57"/>
      <c r="H439" s="151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5.75" customHeight="1">
      <c r="A440" s="149"/>
      <c r="B440" s="57"/>
      <c r="C440" s="149"/>
      <c r="D440" s="149"/>
      <c r="E440" s="149"/>
      <c r="F440" s="149"/>
      <c r="G440" s="57"/>
      <c r="H440" s="151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5.75" customHeight="1">
      <c r="A441" s="149"/>
      <c r="B441" s="57"/>
      <c r="C441" s="149"/>
      <c r="D441" s="149"/>
      <c r="E441" s="149"/>
      <c r="F441" s="149"/>
      <c r="G441" s="57"/>
      <c r="H441" s="151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5.75" customHeight="1">
      <c r="A442" s="149"/>
      <c r="B442" s="57"/>
      <c r="C442" s="149"/>
      <c r="D442" s="149"/>
      <c r="E442" s="149"/>
      <c r="F442" s="149"/>
      <c r="G442" s="57"/>
      <c r="H442" s="151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5.75" customHeight="1">
      <c r="A443" s="149"/>
      <c r="B443" s="57"/>
      <c r="C443" s="149"/>
      <c r="D443" s="149"/>
      <c r="E443" s="149"/>
      <c r="F443" s="149"/>
      <c r="G443" s="57"/>
      <c r="H443" s="151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5.75" customHeight="1">
      <c r="A444" s="149"/>
      <c r="B444" s="57"/>
      <c r="C444" s="149"/>
      <c r="D444" s="149"/>
      <c r="E444" s="149"/>
      <c r="F444" s="149"/>
      <c r="G444" s="57"/>
      <c r="H444" s="151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5.75" customHeight="1">
      <c r="A445" s="149"/>
      <c r="B445" s="57"/>
      <c r="C445" s="149"/>
      <c r="D445" s="149"/>
      <c r="E445" s="149"/>
      <c r="F445" s="149"/>
      <c r="G445" s="57"/>
      <c r="H445" s="151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5.75" customHeight="1">
      <c r="A446" s="149"/>
      <c r="B446" s="57"/>
      <c r="C446" s="149"/>
      <c r="D446" s="149"/>
      <c r="E446" s="149"/>
      <c r="F446" s="149"/>
      <c r="G446" s="57"/>
      <c r="H446" s="151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5.75" customHeight="1">
      <c r="A447" s="149"/>
      <c r="B447" s="57"/>
      <c r="C447" s="149"/>
      <c r="D447" s="149"/>
      <c r="E447" s="149"/>
      <c r="F447" s="149"/>
      <c r="G447" s="57"/>
      <c r="H447" s="151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5.75" customHeight="1">
      <c r="A448" s="149"/>
      <c r="B448" s="57"/>
      <c r="C448" s="149"/>
      <c r="D448" s="149"/>
      <c r="E448" s="149"/>
      <c r="F448" s="149"/>
      <c r="G448" s="57"/>
      <c r="H448" s="151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5.75" customHeight="1">
      <c r="A449" s="149"/>
      <c r="B449" s="57"/>
      <c r="C449" s="149"/>
      <c r="D449" s="149"/>
      <c r="E449" s="149"/>
      <c r="F449" s="149"/>
      <c r="G449" s="57"/>
      <c r="H449" s="151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5.75" customHeight="1">
      <c r="A450" s="149"/>
      <c r="B450" s="57"/>
      <c r="C450" s="149"/>
      <c r="D450" s="149"/>
      <c r="E450" s="149"/>
      <c r="F450" s="149"/>
      <c r="G450" s="57"/>
      <c r="H450" s="151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5.75" customHeight="1">
      <c r="A451" s="149"/>
      <c r="B451" s="57"/>
      <c r="C451" s="149"/>
      <c r="D451" s="149"/>
      <c r="E451" s="149"/>
      <c r="F451" s="149"/>
      <c r="G451" s="57"/>
      <c r="H451" s="151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5.75" customHeight="1">
      <c r="A452" s="149"/>
      <c r="B452" s="57"/>
      <c r="C452" s="149"/>
      <c r="D452" s="149"/>
      <c r="E452" s="149"/>
      <c r="F452" s="149"/>
      <c r="G452" s="57"/>
      <c r="H452" s="151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5.75" customHeight="1">
      <c r="A453" s="149"/>
      <c r="B453" s="57"/>
      <c r="C453" s="149"/>
      <c r="D453" s="149"/>
      <c r="E453" s="149"/>
      <c r="F453" s="149"/>
      <c r="G453" s="57"/>
      <c r="H453" s="151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5.75" customHeight="1">
      <c r="A454" s="149"/>
      <c r="B454" s="57"/>
      <c r="C454" s="149"/>
      <c r="D454" s="149"/>
      <c r="E454" s="149"/>
      <c r="F454" s="149"/>
      <c r="G454" s="57"/>
      <c r="H454" s="151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5.75" customHeight="1">
      <c r="A455" s="149"/>
      <c r="B455" s="57"/>
      <c r="C455" s="149"/>
      <c r="D455" s="149"/>
      <c r="E455" s="149"/>
      <c r="F455" s="149"/>
      <c r="G455" s="57"/>
      <c r="H455" s="151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5.75" customHeight="1">
      <c r="A456" s="149"/>
      <c r="B456" s="57"/>
      <c r="C456" s="149"/>
      <c r="D456" s="149"/>
      <c r="E456" s="149"/>
      <c r="F456" s="149"/>
      <c r="G456" s="57"/>
      <c r="H456" s="151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5.75" customHeight="1">
      <c r="A457" s="149"/>
      <c r="B457" s="57"/>
      <c r="C457" s="149"/>
      <c r="D457" s="149"/>
      <c r="E457" s="149"/>
      <c r="F457" s="149"/>
      <c r="G457" s="57"/>
      <c r="H457" s="151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5.75" customHeight="1">
      <c r="A458" s="149"/>
      <c r="B458" s="57"/>
      <c r="C458" s="149"/>
      <c r="D458" s="149"/>
      <c r="E458" s="149"/>
      <c r="F458" s="149"/>
      <c r="G458" s="57"/>
      <c r="H458" s="151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5.75" customHeight="1">
      <c r="A459" s="149"/>
      <c r="B459" s="57"/>
      <c r="C459" s="149"/>
      <c r="D459" s="149"/>
      <c r="E459" s="149"/>
      <c r="F459" s="149"/>
      <c r="G459" s="57"/>
      <c r="H459" s="151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5.75" customHeight="1">
      <c r="A460" s="149"/>
      <c r="B460" s="57"/>
      <c r="C460" s="149"/>
      <c r="D460" s="149"/>
      <c r="E460" s="149"/>
      <c r="F460" s="149"/>
      <c r="G460" s="57"/>
      <c r="H460" s="151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5.75" customHeight="1">
      <c r="A461" s="149"/>
      <c r="B461" s="57"/>
      <c r="C461" s="149"/>
      <c r="D461" s="149"/>
      <c r="E461" s="149"/>
      <c r="F461" s="149"/>
      <c r="G461" s="57"/>
      <c r="H461" s="151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5.75" customHeight="1">
      <c r="A462" s="149"/>
      <c r="B462" s="57"/>
      <c r="C462" s="149"/>
      <c r="D462" s="149"/>
      <c r="E462" s="149"/>
      <c r="F462" s="149"/>
      <c r="G462" s="57"/>
      <c r="H462" s="151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5.75" customHeight="1">
      <c r="A463" s="149"/>
      <c r="B463" s="57"/>
      <c r="C463" s="149"/>
      <c r="D463" s="149"/>
      <c r="E463" s="149"/>
      <c r="F463" s="149"/>
      <c r="G463" s="57"/>
      <c r="H463" s="151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5.75" customHeight="1">
      <c r="A464" s="149"/>
      <c r="B464" s="57"/>
      <c r="C464" s="149"/>
      <c r="D464" s="149"/>
      <c r="E464" s="149"/>
      <c r="F464" s="149"/>
      <c r="G464" s="57"/>
      <c r="H464" s="151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5.75" customHeight="1">
      <c r="A465" s="149"/>
      <c r="B465" s="57"/>
      <c r="C465" s="149"/>
      <c r="D465" s="149"/>
      <c r="E465" s="149"/>
      <c r="F465" s="149"/>
      <c r="G465" s="57"/>
      <c r="H465" s="151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5.75" customHeight="1">
      <c r="A466" s="149"/>
      <c r="B466" s="57"/>
      <c r="C466" s="149"/>
      <c r="D466" s="149"/>
      <c r="E466" s="149"/>
      <c r="F466" s="149"/>
      <c r="G466" s="57"/>
      <c r="H466" s="151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5.75" customHeight="1">
      <c r="A467" s="149"/>
      <c r="B467" s="57"/>
      <c r="C467" s="149"/>
      <c r="D467" s="149"/>
      <c r="E467" s="149"/>
      <c r="F467" s="149"/>
      <c r="G467" s="57"/>
      <c r="H467" s="151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5.75" customHeight="1">
      <c r="A468" s="149"/>
      <c r="B468" s="57"/>
      <c r="C468" s="149"/>
      <c r="D468" s="149"/>
      <c r="E468" s="149"/>
      <c r="F468" s="149"/>
      <c r="G468" s="57"/>
      <c r="H468" s="151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5.75" customHeight="1">
      <c r="A469" s="149"/>
      <c r="B469" s="57"/>
      <c r="C469" s="149"/>
      <c r="D469" s="149"/>
      <c r="E469" s="149"/>
      <c r="F469" s="149"/>
      <c r="G469" s="57"/>
      <c r="H469" s="151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5.75" customHeight="1">
      <c r="A470" s="149"/>
      <c r="B470" s="57"/>
      <c r="C470" s="149"/>
      <c r="D470" s="149"/>
      <c r="E470" s="149"/>
      <c r="F470" s="149"/>
      <c r="G470" s="57"/>
      <c r="H470" s="151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5.75" customHeight="1">
      <c r="A471" s="149"/>
      <c r="B471" s="57"/>
      <c r="C471" s="149"/>
      <c r="D471" s="149"/>
      <c r="E471" s="149"/>
      <c r="F471" s="149"/>
      <c r="G471" s="57"/>
      <c r="H471" s="151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5.75" customHeight="1">
      <c r="A472" s="149"/>
      <c r="B472" s="57"/>
      <c r="C472" s="149"/>
      <c r="D472" s="149"/>
      <c r="E472" s="149"/>
      <c r="F472" s="149"/>
      <c r="G472" s="57"/>
      <c r="H472" s="151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5.75" customHeight="1">
      <c r="A473" s="149"/>
      <c r="B473" s="57"/>
      <c r="C473" s="149"/>
      <c r="D473" s="149"/>
      <c r="E473" s="149"/>
      <c r="F473" s="149"/>
      <c r="G473" s="57"/>
      <c r="H473" s="151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5.75" customHeight="1">
      <c r="A474" s="149"/>
      <c r="B474" s="57"/>
      <c r="C474" s="149"/>
      <c r="D474" s="149"/>
      <c r="E474" s="149"/>
      <c r="F474" s="149"/>
      <c r="G474" s="57"/>
      <c r="H474" s="151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5.75" customHeight="1">
      <c r="A475" s="149"/>
      <c r="B475" s="57"/>
      <c r="C475" s="149"/>
      <c r="D475" s="149"/>
      <c r="E475" s="149"/>
      <c r="F475" s="149"/>
      <c r="G475" s="57"/>
      <c r="H475" s="151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5.75" customHeight="1">
      <c r="A476" s="149"/>
      <c r="B476" s="57"/>
      <c r="C476" s="149"/>
      <c r="D476" s="149"/>
      <c r="E476" s="149"/>
      <c r="F476" s="149"/>
      <c r="G476" s="57"/>
      <c r="H476" s="151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5.75" customHeight="1">
      <c r="A477" s="149"/>
      <c r="B477" s="57"/>
      <c r="C477" s="149"/>
      <c r="D477" s="149"/>
      <c r="E477" s="149"/>
      <c r="F477" s="149"/>
      <c r="G477" s="57"/>
      <c r="H477" s="151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5.75" customHeight="1">
      <c r="A478" s="149"/>
      <c r="B478" s="57"/>
      <c r="C478" s="149"/>
      <c r="D478" s="149"/>
      <c r="E478" s="149"/>
      <c r="F478" s="149"/>
      <c r="G478" s="57"/>
      <c r="H478" s="151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5.75" customHeight="1">
      <c r="A479" s="149"/>
      <c r="B479" s="57"/>
      <c r="C479" s="149"/>
      <c r="D479" s="149"/>
      <c r="E479" s="149"/>
      <c r="F479" s="149"/>
      <c r="G479" s="57"/>
      <c r="H479" s="151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5.75" customHeight="1">
      <c r="A480" s="149"/>
      <c r="B480" s="57"/>
      <c r="C480" s="149"/>
      <c r="D480" s="149"/>
      <c r="E480" s="149"/>
      <c r="F480" s="149"/>
      <c r="G480" s="57"/>
      <c r="H480" s="151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5.75" customHeight="1">
      <c r="A481" s="149"/>
      <c r="B481" s="57"/>
      <c r="C481" s="149"/>
      <c r="D481" s="149"/>
      <c r="E481" s="149"/>
      <c r="F481" s="149"/>
      <c r="G481" s="57"/>
      <c r="H481" s="151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5.75" customHeight="1">
      <c r="A482" s="149"/>
      <c r="B482" s="57"/>
      <c r="C482" s="149"/>
      <c r="D482" s="149"/>
      <c r="E482" s="149"/>
      <c r="F482" s="149"/>
      <c r="G482" s="57"/>
      <c r="H482" s="151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5.75" customHeight="1">
      <c r="A483" s="149"/>
      <c r="B483" s="57"/>
      <c r="C483" s="149"/>
      <c r="D483" s="149"/>
      <c r="E483" s="149"/>
      <c r="F483" s="149"/>
      <c r="G483" s="57"/>
      <c r="H483" s="151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5.75" customHeight="1">
      <c r="A484" s="149"/>
      <c r="B484" s="57"/>
      <c r="C484" s="149"/>
      <c r="D484" s="149"/>
      <c r="E484" s="149"/>
      <c r="F484" s="149"/>
      <c r="G484" s="57"/>
      <c r="H484" s="151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5.75" customHeight="1">
      <c r="A485" s="149"/>
      <c r="B485" s="57"/>
      <c r="C485" s="149"/>
      <c r="D485" s="149"/>
      <c r="E485" s="149"/>
      <c r="F485" s="149"/>
      <c r="G485" s="57"/>
      <c r="H485" s="151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5.75" customHeight="1">
      <c r="A486" s="149"/>
      <c r="B486" s="57"/>
      <c r="C486" s="149"/>
      <c r="D486" s="149"/>
      <c r="E486" s="149"/>
      <c r="F486" s="149"/>
      <c r="G486" s="57"/>
      <c r="H486" s="151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5.75" customHeight="1">
      <c r="A487" s="149"/>
      <c r="B487" s="57"/>
      <c r="C487" s="149"/>
      <c r="D487" s="149"/>
      <c r="E487" s="149"/>
      <c r="F487" s="149"/>
      <c r="G487" s="57"/>
      <c r="H487" s="151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5.75" customHeight="1">
      <c r="A488" s="149"/>
      <c r="B488" s="57"/>
      <c r="C488" s="149"/>
      <c r="D488" s="149"/>
      <c r="E488" s="149"/>
      <c r="F488" s="149"/>
      <c r="G488" s="57"/>
      <c r="H488" s="151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5.75" customHeight="1">
      <c r="A489" s="149"/>
      <c r="B489" s="57"/>
      <c r="C489" s="149"/>
      <c r="D489" s="149"/>
      <c r="E489" s="149"/>
      <c r="F489" s="149"/>
      <c r="G489" s="57"/>
      <c r="H489" s="151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5.75" customHeight="1">
      <c r="A490" s="149"/>
      <c r="B490" s="57"/>
      <c r="C490" s="149"/>
      <c r="D490" s="149"/>
      <c r="E490" s="149"/>
      <c r="F490" s="149"/>
      <c r="G490" s="57"/>
      <c r="H490" s="151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5.75" customHeight="1">
      <c r="A491" s="149"/>
      <c r="B491" s="57"/>
      <c r="C491" s="149"/>
      <c r="D491" s="149"/>
      <c r="E491" s="149"/>
      <c r="F491" s="149"/>
      <c r="G491" s="57"/>
      <c r="H491" s="151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5.75" customHeight="1">
      <c r="A492" s="149"/>
      <c r="B492" s="57"/>
      <c r="C492" s="149"/>
      <c r="D492" s="149"/>
      <c r="E492" s="149"/>
      <c r="F492" s="149"/>
      <c r="G492" s="57"/>
      <c r="H492" s="151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5.75" customHeight="1">
      <c r="A493" s="149"/>
      <c r="B493" s="57"/>
      <c r="C493" s="149"/>
      <c r="D493" s="149"/>
      <c r="E493" s="149"/>
      <c r="F493" s="149"/>
      <c r="G493" s="57"/>
      <c r="H493" s="151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5.75" customHeight="1">
      <c r="A494" s="149"/>
      <c r="B494" s="57"/>
      <c r="C494" s="149"/>
      <c r="D494" s="149"/>
      <c r="E494" s="149"/>
      <c r="F494" s="149"/>
      <c r="G494" s="57"/>
      <c r="H494" s="151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5.75" customHeight="1">
      <c r="A495" s="149"/>
      <c r="B495" s="57"/>
      <c r="C495" s="149"/>
      <c r="D495" s="149"/>
      <c r="E495" s="149"/>
      <c r="F495" s="149"/>
      <c r="G495" s="57"/>
      <c r="H495" s="151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5.75" customHeight="1">
      <c r="A496" s="149"/>
      <c r="B496" s="57"/>
      <c r="C496" s="149"/>
      <c r="D496" s="149"/>
      <c r="E496" s="149"/>
      <c r="F496" s="149"/>
      <c r="G496" s="57"/>
      <c r="H496" s="151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5.75" customHeight="1">
      <c r="A497" s="149"/>
      <c r="B497" s="57"/>
      <c r="C497" s="149"/>
      <c r="D497" s="149"/>
      <c r="E497" s="149"/>
      <c r="F497" s="149"/>
      <c r="G497" s="57"/>
      <c r="H497" s="151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5.75" customHeight="1">
      <c r="A498" s="149"/>
      <c r="B498" s="57"/>
      <c r="C498" s="149"/>
      <c r="D498" s="149"/>
      <c r="E498" s="149"/>
      <c r="F498" s="149"/>
      <c r="G498" s="57"/>
      <c r="H498" s="151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5.75" customHeight="1">
      <c r="A499" s="149"/>
      <c r="B499" s="57"/>
      <c r="C499" s="149"/>
      <c r="D499" s="149"/>
      <c r="E499" s="149"/>
      <c r="F499" s="149"/>
      <c r="G499" s="57"/>
      <c r="H499" s="151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5.75" customHeight="1">
      <c r="A500" s="149"/>
      <c r="B500" s="57"/>
      <c r="C500" s="149"/>
      <c r="D500" s="149"/>
      <c r="E500" s="149"/>
      <c r="F500" s="149"/>
      <c r="G500" s="57"/>
      <c r="H500" s="151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5.75" customHeight="1">
      <c r="A501" s="149"/>
      <c r="B501" s="57"/>
      <c r="C501" s="149"/>
      <c r="D501" s="149"/>
      <c r="E501" s="149"/>
      <c r="F501" s="149"/>
      <c r="G501" s="57"/>
      <c r="H501" s="151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5.75" customHeight="1">
      <c r="A502" s="149"/>
      <c r="B502" s="57"/>
      <c r="C502" s="149"/>
      <c r="D502" s="149"/>
      <c r="E502" s="149"/>
      <c r="F502" s="149"/>
      <c r="G502" s="57"/>
      <c r="H502" s="151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5.75" customHeight="1">
      <c r="A503" s="149"/>
      <c r="B503" s="57"/>
      <c r="C503" s="149"/>
      <c r="D503" s="149"/>
      <c r="E503" s="149"/>
      <c r="F503" s="149"/>
      <c r="G503" s="57"/>
      <c r="H503" s="151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5.75" customHeight="1">
      <c r="A504" s="149"/>
      <c r="B504" s="57"/>
      <c r="C504" s="149"/>
      <c r="D504" s="149"/>
      <c r="E504" s="149"/>
      <c r="F504" s="149"/>
      <c r="G504" s="57"/>
      <c r="H504" s="151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5.75" customHeight="1">
      <c r="A505" s="149"/>
      <c r="B505" s="57"/>
      <c r="C505" s="149"/>
      <c r="D505" s="149"/>
      <c r="E505" s="149"/>
      <c r="F505" s="149"/>
      <c r="G505" s="57"/>
      <c r="H505" s="151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5.75" customHeight="1">
      <c r="A506" s="149"/>
      <c r="B506" s="57"/>
      <c r="C506" s="149"/>
      <c r="D506" s="149"/>
      <c r="E506" s="149"/>
      <c r="F506" s="149"/>
      <c r="G506" s="57"/>
      <c r="H506" s="151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5.75" customHeight="1">
      <c r="A507" s="149"/>
      <c r="B507" s="57"/>
      <c r="C507" s="149"/>
      <c r="D507" s="149"/>
      <c r="E507" s="149"/>
      <c r="F507" s="149"/>
      <c r="G507" s="57"/>
      <c r="H507" s="151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5.75" customHeight="1">
      <c r="A508" s="149"/>
      <c r="B508" s="57"/>
      <c r="C508" s="149"/>
      <c r="D508" s="149"/>
      <c r="E508" s="149"/>
      <c r="F508" s="149"/>
      <c r="G508" s="57"/>
      <c r="H508" s="151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5.75" customHeight="1">
      <c r="A509" s="149"/>
      <c r="B509" s="57"/>
      <c r="C509" s="149"/>
      <c r="D509" s="149"/>
      <c r="E509" s="149"/>
      <c r="F509" s="149"/>
      <c r="G509" s="57"/>
      <c r="H509" s="151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5.75" customHeight="1">
      <c r="A510" s="149"/>
      <c r="B510" s="57"/>
      <c r="C510" s="149"/>
      <c r="D510" s="149"/>
      <c r="E510" s="149"/>
      <c r="F510" s="149"/>
      <c r="G510" s="57"/>
      <c r="H510" s="151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5.75" customHeight="1">
      <c r="A511" s="149"/>
      <c r="B511" s="57"/>
      <c r="C511" s="149"/>
      <c r="D511" s="149"/>
      <c r="E511" s="149"/>
      <c r="F511" s="149"/>
      <c r="G511" s="57"/>
      <c r="H511" s="151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5.75" customHeight="1">
      <c r="A512" s="149"/>
      <c r="B512" s="57"/>
      <c r="C512" s="149"/>
      <c r="D512" s="149"/>
      <c r="E512" s="149"/>
      <c r="F512" s="149"/>
      <c r="G512" s="57"/>
      <c r="H512" s="151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5.75" customHeight="1">
      <c r="A513" s="149"/>
      <c r="B513" s="57"/>
      <c r="C513" s="149"/>
      <c r="D513" s="149"/>
      <c r="E513" s="149"/>
      <c r="F513" s="149"/>
      <c r="G513" s="57"/>
      <c r="H513" s="151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5.75" customHeight="1">
      <c r="A514" s="149"/>
      <c r="B514" s="57"/>
      <c r="C514" s="149"/>
      <c r="D514" s="149"/>
      <c r="E514" s="149"/>
      <c r="F514" s="149"/>
      <c r="G514" s="57"/>
      <c r="H514" s="151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5.75" customHeight="1">
      <c r="A515" s="149"/>
      <c r="B515" s="57"/>
      <c r="C515" s="149"/>
      <c r="D515" s="149"/>
      <c r="E515" s="149"/>
      <c r="F515" s="149"/>
      <c r="G515" s="57"/>
      <c r="H515" s="151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5.75" customHeight="1">
      <c r="A516" s="149"/>
      <c r="B516" s="57"/>
      <c r="C516" s="149"/>
      <c r="D516" s="149"/>
      <c r="E516" s="149"/>
      <c r="F516" s="149"/>
      <c r="G516" s="57"/>
      <c r="H516" s="151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5.75" customHeight="1">
      <c r="A517" s="149"/>
      <c r="B517" s="57"/>
      <c r="C517" s="149"/>
      <c r="D517" s="149"/>
      <c r="E517" s="149"/>
      <c r="F517" s="149"/>
      <c r="G517" s="57"/>
      <c r="H517" s="151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5.75" customHeight="1">
      <c r="A518" s="149"/>
      <c r="B518" s="57"/>
      <c r="C518" s="149"/>
      <c r="D518" s="149"/>
      <c r="E518" s="149"/>
      <c r="F518" s="149"/>
      <c r="G518" s="57"/>
      <c r="H518" s="151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5.75" customHeight="1">
      <c r="A519" s="149"/>
      <c r="B519" s="57"/>
      <c r="C519" s="149"/>
      <c r="D519" s="149"/>
      <c r="E519" s="149"/>
      <c r="F519" s="149"/>
      <c r="G519" s="57"/>
      <c r="H519" s="151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5.75" customHeight="1">
      <c r="A520" s="149"/>
      <c r="B520" s="57"/>
      <c r="C520" s="149"/>
      <c r="D520" s="149"/>
      <c r="E520" s="149"/>
      <c r="F520" s="149"/>
      <c r="G520" s="57"/>
      <c r="H520" s="151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5.75" customHeight="1">
      <c r="A521" s="149"/>
      <c r="B521" s="57"/>
      <c r="C521" s="149"/>
      <c r="D521" s="149"/>
      <c r="E521" s="149"/>
      <c r="F521" s="149"/>
      <c r="G521" s="57"/>
      <c r="H521" s="151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5.75" customHeight="1">
      <c r="A522" s="149"/>
      <c r="B522" s="57"/>
      <c r="C522" s="149"/>
      <c r="D522" s="149"/>
      <c r="E522" s="149"/>
      <c r="F522" s="149"/>
      <c r="G522" s="57"/>
      <c r="H522" s="151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5.75" customHeight="1">
      <c r="A523" s="149"/>
      <c r="B523" s="57"/>
      <c r="C523" s="149"/>
      <c r="D523" s="149"/>
      <c r="E523" s="149"/>
      <c r="F523" s="149"/>
      <c r="G523" s="57"/>
      <c r="H523" s="151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5.75" customHeight="1">
      <c r="A524" s="149"/>
      <c r="B524" s="57"/>
      <c r="C524" s="149"/>
      <c r="D524" s="149"/>
      <c r="E524" s="149"/>
      <c r="F524" s="149"/>
      <c r="G524" s="57"/>
      <c r="H524" s="151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5.75" customHeight="1">
      <c r="A525" s="149"/>
      <c r="B525" s="57"/>
      <c r="C525" s="149"/>
      <c r="D525" s="149"/>
      <c r="E525" s="149"/>
      <c r="F525" s="149"/>
      <c r="G525" s="57"/>
      <c r="H525" s="151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5.75" customHeight="1">
      <c r="A526" s="149"/>
      <c r="B526" s="57"/>
      <c r="C526" s="149"/>
      <c r="D526" s="149"/>
      <c r="E526" s="149"/>
      <c r="F526" s="149"/>
      <c r="G526" s="57"/>
      <c r="H526" s="151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5.75" customHeight="1">
      <c r="A527" s="149"/>
      <c r="B527" s="57"/>
      <c r="C527" s="149"/>
      <c r="D527" s="149"/>
      <c r="E527" s="149"/>
      <c r="F527" s="149"/>
      <c r="G527" s="57"/>
      <c r="H527" s="151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5.75" customHeight="1">
      <c r="A528" s="149"/>
      <c r="B528" s="57"/>
      <c r="C528" s="149"/>
      <c r="D528" s="149"/>
      <c r="E528" s="149"/>
      <c r="F528" s="149"/>
      <c r="G528" s="57"/>
      <c r="H528" s="151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5.75" customHeight="1">
      <c r="A529" s="149"/>
      <c r="B529" s="57"/>
      <c r="C529" s="149"/>
      <c r="D529" s="149"/>
      <c r="E529" s="149"/>
      <c r="F529" s="149"/>
      <c r="G529" s="57"/>
      <c r="H529" s="151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5.75" customHeight="1">
      <c r="A530" s="149"/>
      <c r="B530" s="57"/>
      <c r="C530" s="149"/>
      <c r="D530" s="149"/>
      <c r="E530" s="149"/>
      <c r="F530" s="149"/>
      <c r="G530" s="57"/>
      <c r="H530" s="151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5.75" customHeight="1">
      <c r="A531" s="149"/>
      <c r="B531" s="57"/>
      <c r="C531" s="149"/>
      <c r="D531" s="149"/>
      <c r="E531" s="149"/>
      <c r="F531" s="149"/>
      <c r="G531" s="57"/>
      <c r="H531" s="151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5.75" customHeight="1">
      <c r="A532" s="149"/>
      <c r="B532" s="57"/>
      <c r="C532" s="149"/>
      <c r="D532" s="149"/>
      <c r="E532" s="149"/>
      <c r="F532" s="149"/>
      <c r="G532" s="57"/>
      <c r="H532" s="151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5.75" customHeight="1">
      <c r="A533" s="149"/>
      <c r="B533" s="57"/>
      <c r="C533" s="149"/>
      <c r="D533" s="149"/>
      <c r="E533" s="149"/>
      <c r="F533" s="149"/>
      <c r="G533" s="57"/>
      <c r="H533" s="151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5.75" customHeight="1">
      <c r="A534" s="149"/>
      <c r="B534" s="57"/>
      <c r="C534" s="149"/>
      <c r="D534" s="149"/>
      <c r="E534" s="149"/>
      <c r="F534" s="149"/>
      <c r="G534" s="57"/>
      <c r="H534" s="151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5.75" customHeight="1">
      <c r="A535" s="149"/>
      <c r="B535" s="57"/>
      <c r="C535" s="149"/>
      <c r="D535" s="149"/>
      <c r="E535" s="149"/>
      <c r="F535" s="149"/>
      <c r="G535" s="57"/>
      <c r="H535" s="151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5.75" customHeight="1">
      <c r="A536" s="149"/>
      <c r="B536" s="57"/>
      <c r="C536" s="149"/>
      <c r="D536" s="149"/>
      <c r="E536" s="149"/>
      <c r="F536" s="149"/>
      <c r="G536" s="57"/>
      <c r="H536" s="151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5.75" customHeight="1">
      <c r="A537" s="149"/>
      <c r="B537" s="57"/>
      <c r="C537" s="149"/>
      <c r="D537" s="149"/>
      <c r="E537" s="149"/>
      <c r="F537" s="149"/>
      <c r="G537" s="57"/>
      <c r="H537" s="151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5.75" customHeight="1">
      <c r="A538" s="149"/>
      <c r="B538" s="57"/>
      <c r="C538" s="149"/>
      <c r="D538" s="149"/>
      <c r="E538" s="149"/>
      <c r="F538" s="149"/>
      <c r="G538" s="57"/>
      <c r="H538" s="151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5.75" customHeight="1">
      <c r="A539" s="149"/>
      <c r="B539" s="57"/>
      <c r="C539" s="149"/>
      <c r="D539" s="149"/>
      <c r="E539" s="149"/>
      <c r="F539" s="149"/>
      <c r="G539" s="57"/>
      <c r="H539" s="151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5.75" customHeight="1">
      <c r="A540" s="149"/>
      <c r="B540" s="57"/>
      <c r="C540" s="149"/>
      <c r="D540" s="149"/>
      <c r="E540" s="149"/>
      <c r="F540" s="149"/>
      <c r="G540" s="57"/>
      <c r="H540" s="151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5.75" customHeight="1">
      <c r="A541" s="149"/>
      <c r="B541" s="57"/>
      <c r="C541" s="149"/>
      <c r="D541" s="149"/>
      <c r="E541" s="149"/>
      <c r="F541" s="149"/>
      <c r="G541" s="57"/>
      <c r="H541" s="151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5.75" customHeight="1">
      <c r="A542" s="149"/>
      <c r="B542" s="57"/>
      <c r="C542" s="149"/>
      <c r="D542" s="149"/>
      <c r="E542" s="149"/>
      <c r="F542" s="149"/>
      <c r="G542" s="57"/>
      <c r="H542" s="151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5.75" customHeight="1">
      <c r="A543" s="149"/>
      <c r="B543" s="57"/>
      <c r="C543" s="149"/>
      <c r="D543" s="149"/>
      <c r="E543" s="149"/>
      <c r="F543" s="149"/>
      <c r="G543" s="57"/>
      <c r="H543" s="151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5.75" customHeight="1">
      <c r="A544" s="149"/>
      <c r="B544" s="57"/>
      <c r="C544" s="149"/>
      <c r="D544" s="149"/>
      <c r="E544" s="149"/>
      <c r="F544" s="149"/>
      <c r="G544" s="57"/>
      <c r="H544" s="151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5.75" customHeight="1">
      <c r="A545" s="149"/>
      <c r="B545" s="57"/>
      <c r="C545" s="149"/>
      <c r="D545" s="149"/>
      <c r="E545" s="149"/>
      <c r="F545" s="149"/>
      <c r="G545" s="57"/>
      <c r="H545" s="151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5.75" customHeight="1">
      <c r="A546" s="149"/>
      <c r="B546" s="57"/>
      <c r="C546" s="149"/>
      <c r="D546" s="149"/>
      <c r="E546" s="149"/>
      <c r="F546" s="149"/>
      <c r="G546" s="57"/>
      <c r="H546" s="151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5.75" customHeight="1">
      <c r="A547" s="149"/>
      <c r="B547" s="57"/>
      <c r="C547" s="149"/>
      <c r="D547" s="149"/>
      <c r="E547" s="149"/>
      <c r="F547" s="149"/>
      <c r="G547" s="57"/>
      <c r="H547" s="151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5.75" customHeight="1">
      <c r="A548" s="149"/>
      <c r="B548" s="57"/>
      <c r="C548" s="149"/>
      <c r="D548" s="149"/>
      <c r="E548" s="149"/>
      <c r="F548" s="149"/>
      <c r="G548" s="57"/>
      <c r="H548" s="151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5.75" customHeight="1">
      <c r="A549" s="149"/>
      <c r="B549" s="57"/>
      <c r="C549" s="149"/>
      <c r="D549" s="149"/>
      <c r="E549" s="149"/>
      <c r="F549" s="149"/>
      <c r="G549" s="57"/>
      <c r="H549" s="151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5.75" customHeight="1">
      <c r="A550" s="149"/>
      <c r="B550" s="57"/>
      <c r="C550" s="149"/>
      <c r="D550" s="149"/>
      <c r="E550" s="149"/>
      <c r="F550" s="149"/>
      <c r="G550" s="57"/>
      <c r="H550" s="151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5.75" customHeight="1">
      <c r="A551" s="149"/>
      <c r="B551" s="57"/>
      <c r="C551" s="149"/>
      <c r="D551" s="149"/>
      <c r="E551" s="149"/>
      <c r="F551" s="149"/>
      <c r="G551" s="57"/>
      <c r="H551" s="151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5.75" customHeight="1">
      <c r="A552" s="149"/>
      <c r="B552" s="57"/>
      <c r="C552" s="149"/>
      <c r="D552" s="149"/>
      <c r="E552" s="149"/>
      <c r="F552" s="149"/>
      <c r="G552" s="57"/>
      <c r="H552" s="151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5.75" customHeight="1">
      <c r="A553" s="149"/>
      <c r="B553" s="57"/>
      <c r="C553" s="149"/>
      <c r="D553" s="149"/>
      <c r="E553" s="149"/>
      <c r="F553" s="149"/>
      <c r="G553" s="57"/>
      <c r="H553" s="151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5.75" customHeight="1">
      <c r="A554" s="149"/>
      <c r="B554" s="57"/>
      <c r="C554" s="149"/>
      <c r="D554" s="149"/>
      <c r="E554" s="149"/>
      <c r="F554" s="149"/>
      <c r="G554" s="57"/>
      <c r="H554" s="151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5.75" customHeight="1">
      <c r="A555" s="149"/>
      <c r="B555" s="57"/>
      <c r="C555" s="149"/>
      <c r="D555" s="149"/>
      <c r="E555" s="149"/>
      <c r="F555" s="149"/>
      <c r="G555" s="57"/>
      <c r="H555" s="151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5.75" customHeight="1">
      <c r="A556" s="149"/>
      <c r="B556" s="57"/>
      <c r="C556" s="149"/>
      <c r="D556" s="149"/>
      <c r="E556" s="149"/>
      <c r="F556" s="149"/>
      <c r="G556" s="57"/>
      <c r="H556" s="151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5.75" customHeight="1">
      <c r="A557" s="149"/>
      <c r="B557" s="57"/>
      <c r="C557" s="149"/>
      <c r="D557" s="149"/>
      <c r="E557" s="149"/>
      <c r="F557" s="149"/>
      <c r="G557" s="57"/>
      <c r="H557" s="151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5.75" customHeight="1">
      <c r="A558" s="149"/>
      <c r="B558" s="57"/>
      <c r="C558" s="149"/>
      <c r="D558" s="149"/>
      <c r="E558" s="149"/>
      <c r="F558" s="149"/>
      <c r="G558" s="57"/>
      <c r="H558" s="151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5.75" customHeight="1">
      <c r="A559" s="149"/>
      <c r="B559" s="57"/>
      <c r="C559" s="149"/>
      <c r="D559" s="149"/>
      <c r="E559" s="149"/>
      <c r="F559" s="149"/>
      <c r="G559" s="57"/>
      <c r="H559" s="151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5.75" customHeight="1">
      <c r="A560" s="149"/>
      <c r="B560" s="57"/>
      <c r="C560" s="149"/>
      <c r="D560" s="149"/>
      <c r="E560" s="149"/>
      <c r="F560" s="149"/>
      <c r="G560" s="57"/>
      <c r="H560" s="151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5.75" customHeight="1">
      <c r="A561" s="149"/>
      <c r="B561" s="57"/>
      <c r="C561" s="149"/>
      <c r="D561" s="149"/>
      <c r="E561" s="149"/>
      <c r="F561" s="149"/>
      <c r="G561" s="57"/>
      <c r="H561" s="151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5.75" customHeight="1">
      <c r="A562" s="149"/>
      <c r="B562" s="57"/>
      <c r="C562" s="149"/>
      <c r="D562" s="149"/>
      <c r="E562" s="149"/>
      <c r="F562" s="149"/>
      <c r="G562" s="57"/>
      <c r="H562" s="151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5.75" customHeight="1">
      <c r="A563" s="149"/>
      <c r="B563" s="57"/>
      <c r="C563" s="149"/>
      <c r="D563" s="149"/>
      <c r="E563" s="149"/>
      <c r="F563" s="149"/>
      <c r="G563" s="57"/>
      <c r="H563" s="151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5.75" customHeight="1">
      <c r="A564" s="149"/>
      <c r="B564" s="57"/>
      <c r="C564" s="149"/>
      <c r="D564" s="149"/>
      <c r="E564" s="149"/>
      <c r="F564" s="149"/>
      <c r="G564" s="57"/>
      <c r="H564" s="151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5.75" customHeight="1">
      <c r="A565" s="149"/>
      <c r="B565" s="57"/>
      <c r="C565" s="149"/>
      <c r="D565" s="149"/>
      <c r="E565" s="149"/>
      <c r="F565" s="149"/>
      <c r="G565" s="57"/>
      <c r="H565" s="151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5.75" customHeight="1">
      <c r="A566" s="149"/>
      <c r="B566" s="57"/>
      <c r="C566" s="149"/>
      <c r="D566" s="149"/>
      <c r="E566" s="149"/>
      <c r="F566" s="149"/>
      <c r="G566" s="57"/>
      <c r="H566" s="151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5.75" customHeight="1">
      <c r="A567" s="149"/>
      <c r="B567" s="57"/>
      <c r="C567" s="149"/>
      <c r="D567" s="149"/>
      <c r="E567" s="149"/>
      <c r="F567" s="149"/>
      <c r="G567" s="57"/>
      <c r="H567" s="151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5.75" customHeight="1">
      <c r="A568" s="149"/>
      <c r="B568" s="57"/>
      <c r="C568" s="149"/>
      <c r="D568" s="149"/>
      <c r="E568" s="149"/>
      <c r="F568" s="149"/>
      <c r="G568" s="57"/>
      <c r="H568" s="151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5.75" customHeight="1">
      <c r="A569" s="149"/>
      <c r="B569" s="57"/>
      <c r="C569" s="149"/>
      <c r="D569" s="149"/>
      <c r="E569" s="149"/>
      <c r="F569" s="149"/>
      <c r="G569" s="57"/>
      <c r="H569" s="151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5.75" customHeight="1">
      <c r="A570" s="149"/>
      <c r="B570" s="57"/>
      <c r="C570" s="149"/>
      <c r="D570" s="149"/>
      <c r="E570" s="149"/>
      <c r="F570" s="149"/>
      <c r="G570" s="57"/>
      <c r="H570" s="151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5.75" customHeight="1">
      <c r="A571" s="149"/>
      <c r="B571" s="57"/>
      <c r="C571" s="149"/>
      <c r="D571" s="149"/>
      <c r="E571" s="149"/>
      <c r="F571" s="149"/>
      <c r="G571" s="57"/>
      <c r="H571" s="151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5.75" customHeight="1">
      <c r="A572" s="149"/>
      <c r="B572" s="57"/>
      <c r="C572" s="149"/>
      <c r="D572" s="149"/>
      <c r="E572" s="149"/>
      <c r="F572" s="149"/>
      <c r="G572" s="57"/>
      <c r="H572" s="151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5.75" customHeight="1">
      <c r="A573" s="149"/>
      <c r="B573" s="57"/>
      <c r="C573" s="149"/>
      <c r="D573" s="149"/>
      <c r="E573" s="149"/>
      <c r="F573" s="149"/>
      <c r="G573" s="57"/>
      <c r="H573" s="151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5.75" customHeight="1">
      <c r="A574" s="149"/>
      <c r="B574" s="57"/>
      <c r="C574" s="149"/>
      <c r="D574" s="149"/>
      <c r="E574" s="149"/>
      <c r="F574" s="149"/>
      <c r="G574" s="57"/>
      <c r="H574" s="151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5.75" customHeight="1">
      <c r="A575" s="149"/>
      <c r="B575" s="57"/>
      <c r="C575" s="149"/>
      <c r="D575" s="149"/>
      <c r="E575" s="149"/>
      <c r="F575" s="149"/>
      <c r="G575" s="57"/>
      <c r="H575" s="151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5.75" customHeight="1">
      <c r="A576" s="149"/>
      <c r="B576" s="57"/>
      <c r="C576" s="149"/>
      <c r="D576" s="149"/>
      <c r="E576" s="149"/>
      <c r="F576" s="149"/>
      <c r="G576" s="57"/>
      <c r="H576" s="151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5.75" customHeight="1">
      <c r="A577" s="149"/>
      <c r="B577" s="57"/>
      <c r="C577" s="149"/>
      <c r="D577" s="149"/>
      <c r="E577" s="149"/>
      <c r="F577" s="149"/>
      <c r="G577" s="57"/>
      <c r="H577" s="151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5.75" customHeight="1">
      <c r="A578" s="149"/>
      <c r="B578" s="57"/>
      <c r="C578" s="149"/>
      <c r="D578" s="149"/>
      <c r="E578" s="149"/>
      <c r="F578" s="149"/>
      <c r="G578" s="57"/>
      <c r="H578" s="151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5.75" customHeight="1">
      <c r="A579" s="149"/>
      <c r="B579" s="57"/>
      <c r="C579" s="149"/>
      <c r="D579" s="149"/>
      <c r="E579" s="149"/>
      <c r="F579" s="149"/>
      <c r="G579" s="57"/>
      <c r="H579" s="151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5.75" customHeight="1">
      <c r="A580" s="149"/>
      <c r="B580" s="57"/>
      <c r="C580" s="149"/>
      <c r="D580" s="149"/>
      <c r="E580" s="149"/>
      <c r="F580" s="149"/>
      <c r="G580" s="57"/>
      <c r="H580" s="151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5.75" customHeight="1">
      <c r="A581" s="149"/>
      <c r="B581" s="57"/>
      <c r="C581" s="149"/>
      <c r="D581" s="149"/>
      <c r="E581" s="149"/>
      <c r="F581" s="149"/>
      <c r="G581" s="57"/>
      <c r="H581" s="151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5.75" customHeight="1">
      <c r="A582" s="149"/>
      <c r="B582" s="57"/>
      <c r="C582" s="149"/>
      <c r="D582" s="149"/>
      <c r="E582" s="149"/>
      <c r="F582" s="149"/>
      <c r="G582" s="57"/>
      <c r="H582" s="151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5.75" customHeight="1">
      <c r="A583" s="149"/>
      <c r="B583" s="57"/>
      <c r="C583" s="149"/>
      <c r="D583" s="149"/>
      <c r="E583" s="149"/>
      <c r="F583" s="149"/>
      <c r="G583" s="57"/>
      <c r="H583" s="151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5.75" customHeight="1">
      <c r="A584" s="149"/>
      <c r="B584" s="57"/>
      <c r="C584" s="149"/>
      <c r="D584" s="149"/>
      <c r="E584" s="149"/>
      <c r="F584" s="149"/>
      <c r="G584" s="57"/>
      <c r="H584" s="151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5.75" customHeight="1">
      <c r="A585" s="149"/>
      <c r="B585" s="57"/>
      <c r="C585" s="149"/>
      <c r="D585" s="149"/>
      <c r="E585" s="149"/>
      <c r="F585" s="149"/>
      <c r="G585" s="57"/>
      <c r="H585" s="151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5.75" customHeight="1">
      <c r="A586" s="149"/>
      <c r="B586" s="57"/>
      <c r="C586" s="149"/>
      <c r="D586" s="149"/>
      <c r="E586" s="149"/>
      <c r="F586" s="149"/>
      <c r="G586" s="57"/>
      <c r="H586" s="151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5.75" customHeight="1">
      <c r="A587" s="149"/>
      <c r="B587" s="57"/>
      <c r="C587" s="149"/>
      <c r="D587" s="149"/>
      <c r="E587" s="149"/>
      <c r="F587" s="149"/>
      <c r="G587" s="57"/>
      <c r="H587" s="151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5.75" customHeight="1">
      <c r="A588" s="149"/>
      <c r="B588" s="57"/>
      <c r="C588" s="149"/>
      <c r="D588" s="149"/>
      <c r="E588" s="149"/>
      <c r="F588" s="149"/>
      <c r="G588" s="57"/>
      <c r="H588" s="151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5.75" customHeight="1">
      <c r="A589" s="149"/>
      <c r="B589" s="57"/>
      <c r="C589" s="149"/>
      <c r="D589" s="149"/>
      <c r="E589" s="149"/>
      <c r="F589" s="149"/>
      <c r="G589" s="57"/>
      <c r="H589" s="151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5.75" customHeight="1">
      <c r="A590" s="149"/>
      <c r="B590" s="57"/>
      <c r="C590" s="149"/>
      <c r="D590" s="149"/>
      <c r="E590" s="149"/>
      <c r="F590" s="149"/>
      <c r="G590" s="57"/>
      <c r="H590" s="151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5.75" customHeight="1">
      <c r="A591" s="149"/>
      <c r="B591" s="57"/>
      <c r="C591" s="149"/>
      <c r="D591" s="149"/>
      <c r="E591" s="149"/>
      <c r="F591" s="149"/>
      <c r="G591" s="57"/>
      <c r="H591" s="151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5.75" customHeight="1">
      <c r="A592" s="149"/>
      <c r="B592" s="57"/>
      <c r="C592" s="149"/>
      <c r="D592" s="149"/>
      <c r="E592" s="149"/>
      <c r="F592" s="149"/>
      <c r="G592" s="57"/>
      <c r="H592" s="151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5.75" customHeight="1">
      <c r="A593" s="149"/>
      <c r="B593" s="57"/>
      <c r="C593" s="149"/>
      <c r="D593" s="149"/>
      <c r="E593" s="149"/>
      <c r="F593" s="149"/>
      <c r="G593" s="57"/>
      <c r="H593" s="151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5.75" customHeight="1">
      <c r="A594" s="149"/>
      <c r="B594" s="57"/>
      <c r="C594" s="149"/>
      <c r="D594" s="149"/>
      <c r="E594" s="149"/>
      <c r="F594" s="149"/>
      <c r="G594" s="57"/>
      <c r="H594" s="151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5.75" customHeight="1">
      <c r="A595" s="149"/>
      <c r="B595" s="57"/>
      <c r="C595" s="149"/>
      <c r="D595" s="149"/>
      <c r="E595" s="149"/>
      <c r="F595" s="149"/>
      <c r="G595" s="57"/>
      <c r="H595" s="151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5.75" customHeight="1">
      <c r="A596" s="149"/>
      <c r="B596" s="57"/>
      <c r="C596" s="149"/>
      <c r="D596" s="149"/>
      <c r="E596" s="149"/>
      <c r="F596" s="149"/>
      <c r="G596" s="57"/>
      <c r="H596" s="151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5.75" customHeight="1">
      <c r="A597" s="149"/>
      <c r="B597" s="57"/>
      <c r="C597" s="149"/>
      <c r="D597" s="149"/>
      <c r="E597" s="149"/>
      <c r="F597" s="149"/>
      <c r="G597" s="57"/>
      <c r="H597" s="151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5.75" customHeight="1">
      <c r="A598" s="149"/>
      <c r="B598" s="57"/>
      <c r="C598" s="149"/>
      <c r="D598" s="149"/>
      <c r="E598" s="149"/>
      <c r="F598" s="149"/>
      <c r="G598" s="57"/>
      <c r="H598" s="151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5.75" customHeight="1">
      <c r="A599" s="149"/>
      <c r="B599" s="57"/>
      <c r="C599" s="149"/>
      <c r="D599" s="149"/>
      <c r="E599" s="149"/>
      <c r="F599" s="149"/>
      <c r="G599" s="57"/>
      <c r="H599" s="151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5.75" customHeight="1">
      <c r="A600" s="149"/>
      <c r="B600" s="57"/>
      <c r="C600" s="149"/>
      <c r="D600" s="149"/>
      <c r="E600" s="149"/>
      <c r="F600" s="149"/>
      <c r="G600" s="57"/>
      <c r="H600" s="151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5.75" customHeight="1">
      <c r="A601" s="149"/>
      <c r="B601" s="57"/>
      <c r="C601" s="149"/>
      <c r="D601" s="149"/>
      <c r="E601" s="149"/>
      <c r="F601" s="149"/>
      <c r="G601" s="57"/>
      <c r="H601" s="151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5.75" customHeight="1">
      <c r="A602" s="149"/>
      <c r="B602" s="57"/>
      <c r="C602" s="149"/>
      <c r="D602" s="149"/>
      <c r="E602" s="149"/>
      <c r="F602" s="149"/>
      <c r="G602" s="57"/>
      <c r="H602" s="151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5.75" customHeight="1">
      <c r="A603" s="149"/>
      <c r="B603" s="57"/>
      <c r="C603" s="149"/>
      <c r="D603" s="149"/>
      <c r="E603" s="149"/>
      <c r="F603" s="149"/>
      <c r="G603" s="57"/>
      <c r="H603" s="151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5.75" customHeight="1">
      <c r="A604" s="149"/>
      <c r="B604" s="57"/>
      <c r="C604" s="149"/>
      <c r="D604" s="149"/>
      <c r="E604" s="149"/>
      <c r="F604" s="149"/>
      <c r="G604" s="57"/>
      <c r="H604" s="151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5.75" customHeight="1">
      <c r="A605" s="149"/>
      <c r="B605" s="57"/>
      <c r="C605" s="149"/>
      <c r="D605" s="149"/>
      <c r="E605" s="149"/>
      <c r="F605" s="149"/>
      <c r="G605" s="57"/>
      <c r="H605" s="151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5.75" customHeight="1">
      <c r="A606" s="149"/>
      <c r="B606" s="57"/>
      <c r="C606" s="149"/>
      <c r="D606" s="149"/>
      <c r="E606" s="149"/>
      <c r="F606" s="149"/>
      <c r="G606" s="57"/>
      <c r="H606" s="151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5.75" customHeight="1">
      <c r="A607" s="149"/>
      <c r="B607" s="57"/>
      <c r="C607" s="149"/>
      <c r="D607" s="149"/>
      <c r="E607" s="149"/>
      <c r="F607" s="149"/>
      <c r="G607" s="57"/>
      <c r="H607" s="151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5.75" customHeight="1">
      <c r="A608" s="149"/>
      <c r="B608" s="57"/>
      <c r="C608" s="149"/>
      <c r="D608" s="149"/>
      <c r="E608" s="149"/>
      <c r="F608" s="149"/>
      <c r="G608" s="57"/>
      <c r="H608" s="151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5.75" customHeight="1">
      <c r="A609" s="149"/>
      <c r="B609" s="57"/>
      <c r="C609" s="149"/>
      <c r="D609" s="149"/>
      <c r="E609" s="149"/>
      <c r="F609" s="149"/>
      <c r="G609" s="57"/>
      <c r="H609" s="151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5.75" customHeight="1">
      <c r="A610" s="149"/>
      <c r="B610" s="57"/>
      <c r="C610" s="149"/>
      <c r="D610" s="149"/>
      <c r="E610" s="149"/>
      <c r="F610" s="149"/>
      <c r="G610" s="57"/>
      <c r="H610" s="151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5.75" customHeight="1">
      <c r="A611" s="149"/>
      <c r="B611" s="57"/>
      <c r="C611" s="149"/>
      <c r="D611" s="149"/>
      <c r="E611" s="149"/>
      <c r="F611" s="149"/>
      <c r="G611" s="57"/>
      <c r="H611" s="151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5.75" customHeight="1">
      <c r="A612" s="149"/>
      <c r="B612" s="57"/>
      <c r="C612" s="149"/>
      <c r="D612" s="149"/>
      <c r="E612" s="149"/>
      <c r="F612" s="149"/>
      <c r="G612" s="57"/>
      <c r="H612" s="151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5.75" customHeight="1">
      <c r="A613" s="149"/>
      <c r="B613" s="57"/>
      <c r="C613" s="149"/>
      <c r="D613" s="149"/>
      <c r="E613" s="149"/>
      <c r="F613" s="149"/>
      <c r="G613" s="57"/>
      <c r="H613" s="151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5.75" customHeight="1">
      <c r="A614" s="149"/>
      <c r="B614" s="57"/>
      <c r="C614" s="149"/>
      <c r="D614" s="149"/>
      <c r="E614" s="149"/>
      <c r="F614" s="149"/>
      <c r="G614" s="57"/>
      <c r="H614" s="151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5.75" customHeight="1">
      <c r="A615" s="149"/>
      <c r="B615" s="57"/>
      <c r="C615" s="149"/>
      <c r="D615" s="149"/>
      <c r="E615" s="149"/>
      <c r="F615" s="149"/>
      <c r="G615" s="57"/>
      <c r="H615" s="151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5.75" customHeight="1">
      <c r="A616" s="149"/>
      <c r="B616" s="57"/>
      <c r="C616" s="149"/>
      <c r="D616" s="149"/>
      <c r="E616" s="149"/>
      <c r="F616" s="149"/>
      <c r="G616" s="57"/>
      <c r="H616" s="151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5.75" customHeight="1">
      <c r="A617" s="149"/>
      <c r="B617" s="57"/>
      <c r="C617" s="149"/>
      <c r="D617" s="149"/>
      <c r="E617" s="149"/>
      <c r="F617" s="149"/>
      <c r="G617" s="57"/>
      <c r="H617" s="151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5.75" customHeight="1">
      <c r="A618" s="149"/>
      <c r="B618" s="57"/>
      <c r="C618" s="149"/>
      <c r="D618" s="149"/>
      <c r="E618" s="149"/>
      <c r="F618" s="149"/>
      <c r="G618" s="57"/>
      <c r="H618" s="151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5.75" customHeight="1">
      <c r="A619" s="149"/>
      <c r="B619" s="57"/>
      <c r="C619" s="149"/>
      <c r="D619" s="149"/>
      <c r="E619" s="149"/>
      <c r="F619" s="149"/>
      <c r="G619" s="57"/>
      <c r="H619" s="151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5.75" customHeight="1">
      <c r="A620" s="149"/>
      <c r="B620" s="57"/>
      <c r="C620" s="149"/>
      <c r="D620" s="149"/>
      <c r="E620" s="149"/>
      <c r="F620" s="149"/>
      <c r="G620" s="57"/>
      <c r="H620" s="151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5.75" customHeight="1">
      <c r="A621" s="149"/>
      <c r="B621" s="57"/>
      <c r="C621" s="149"/>
      <c r="D621" s="149"/>
      <c r="E621" s="149"/>
      <c r="F621" s="149"/>
      <c r="G621" s="57"/>
      <c r="H621" s="151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5.75" customHeight="1">
      <c r="A622" s="149"/>
      <c r="B622" s="57"/>
      <c r="C622" s="149"/>
      <c r="D622" s="149"/>
      <c r="E622" s="149"/>
      <c r="F622" s="149"/>
      <c r="G622" s="57"/>
      <c r="H622" s="151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5.75" customHeight="1">
      <c r="A623" s="149"/>
      <c r="B623" s="57"/>
      <c r="C623" s="149"/>
      <c r="D623" s="149"/>
      <c r="E623" s="149"/>
      <c r="F623" s="149"/>
      <c r="G623" s="57"/>
      <c r="H623" s="151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5.75" customHeight="1">
      <c r="A624" s="149"/>
      <c r="B624" s="57"/>
      <c r="C624" s="149"/>
      <c r="D624" s="149"/>
      <c r="E624" s="149"/>
      <c r="F624" s="149"/>
      <c r="G624" s="57"/>
      <c r="H624" s="151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5.75" customHeight="1">
      <c r="A625" s="149"/>
      <c r="B625" s="57"/>
      <c r="C625" s="149"/>
      <c r="D625" s="149"/>
      <c r="E625" s="149"/>
      <c r="F625" s="149"/>
      <c r="G625" s="57"/>
      <c r="H625" s="151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5.75" customHeight="1">
      <c r="A626" s="149"/>
      <c r="B626" s="57"/>
      <c r="C626" s="149"/>
      <c r="D626" s="149"/>
      <c r="E626" s="149"/>
      <c r="F626" s="149"/>
      <c r="G626" s="57"/>
      <c r="H626" s="151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5.75" customHeight="1">
      <c r="A627" s="149"/>
      <c r="B627" s="57"/>
      <c r="C627" s="149"/>
      <c r="D627" s="149"/>
      <c r="E627" s="149"/>
      <c r="F627" s="149"/>
      <c r="G627" s="57"/>
      <c r="H627" s="151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5.75" customHeight="1">
      <c r="A628" s="149"/>
      <c r="B628" s="57"/>
      <c r="C628" s="149"/>
      <c r="D628" s="149"/>
      <c r="E628" s="149"/>
      <c r="F628" s="149"/>
      <c r="G628" s="57"/>
      <c r="H628" s="151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5.75" customHeight="1">
      <c r="A629" s="149"/>
      <c r="B629" s="57"/>
      <c r="C629" s="149"/>
      <c r="D629" s="149"/>
      <c r="E629" s="149"/>
      <c r="F629" s="149"/>
      <c r="G629" s="57"/>
      <c r="H629" s="151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5.75" customHeight="1">
      <c r="A630" s="149"/>
      <c r="B630" s="57"/>
      <c r="C630" s="149"/>
      <c r="D630" s="149"/>
      <c r="E630" s="149"/>
      <c r="F630" s="149"/>
      <c r="G630" s="57"/>
      <c r="H630" s="151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5.75" customHeight="1">
      <c r="A631" s="149"/>
      <c r="B631" s="57"/>
      <c r="C631" s="149"/>
      <c r="D631" s="149"/>
      <c r="E631" s="149"/>
      <c r="F631" s="149"/>
      <c r="G631" s="57"/>
      <c r="H631" s="151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5.75" customHeight="1">
      <c r="A632" s="149"/>
      <c r="B632" s="57"/>
      <c r="C632" s="149"/>
      <c r="D632" s="149"/>
      <c r="E632" s="149"/>
      <c r="F632" s="149"/>
      <c r="G632" s="57"/>
      <c r="H632" s="151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5.75" customHeight="1">
      <c r="A633" s="149"/>
      <c r="B633" s="57"/>
      <c r="C633" s="149"/>
      <c r="D633" s="149"/>
      <c r="E633" s="149"/>
      <c r="F633" s="149"/>
      <c r="G633" s="57"/>
      <c r="H633" s="151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5.75" customHeight="1">
      <c r="A634" s="149"/>
      <c r="B634" s="57"/>
      <c r="C634" s="149"/>
      <c r="D634" s="149"/>
      <c r="E634" s="149"/>
      <c r="F634" s="149"/>
      <c r="G634" s="57"/>
      <c r="H634" s="151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5.75" customHeight="1">
      <c r="A635" s="149"/>
      <c r="B635" s="57"/>
      <c r="C635" s="149"/>
      <c r="D635" s="149"/>
      <c r="E635" s="149"/>
      <c r="F635" s="149"/>
      <c r="G635" s="57"/>
      <c r="H635" s="151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5.75" customHeight="1">
      <c r="A636" s="149"/>
      <c r="B636" s="57"/>
      <c r="C636" s="149"/>
      <c r="D636" s="149"/>
      <c r="E636" s="149"/>
      <c r="F636" s="149"/>
      <c r="G636" s="57"/>
      <c r="H636" s="151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5.75" customHeight="1">
      <c r="A637" s="149"/>
      <c r="B637" s="57"/>
      <c r="C637" s="149"/>
      <c r="D637" s="149"/>
      <c r="E637" s="149"/>
      <c r="F637" s="149"/>
      <c r="G637" s="57"/>
      <c r="H637" s="151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5.75" customHeight="1">
      <c r="A638" s="149"/>
      <c r="B638" s="57"/>
      <c r="C638" s="149"/>
      <c r="D638" s="149"/>
      <c r="E638" s="149"/>
      <c r="F638" s="149"/>
      <c r="G638" s="57"/>
      <c r="H638" s="151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5.75" customHeight="1">
      <c r="A639" s="149"/>
      <c r="B639" s="57"/>
      <c r="C639" s="149"/>
      <c r="D639" s="149"/>
      <c r="E639" s="149"/>
      <c r="F639" s="149"/>
      <c r="G639" s="57"/>
      <c r="H639" s="151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5.75" customHeight="1">
      <c r="A640" s="149"/>
      <c r="B640" s="57"/>
      <c r="C640" s="149"/>
      <c r="D640" s="149"/>
      <c r="E640" s="149"/>
      <c r="F640" s="149"/>
      <c r="G640" s="57"/>
      <c r="H640" s="151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5.75" customHeight="1">
      <c r="A641" s="149"/>
      <c r="B641" s="57"/>
      <c r="C641" s="149"/>
      <c r="D641" s="149"/>
      <c r="E641" s="149"/>
      <c r="F641" s="149"/>
      <c r="G641" s="57"/>
      <c r="H641" s="151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5.75" customHeight="1">
      <c r="A642" s="149"/>
      <c r="B642" s="57"/>
      <c r="C642" s="149"/>
      <c r="D642" s="149"/>
      <c r="E642" s="149"/>
      <c r="F642" s="149"/>
      <c r="G642" s="57"/>
      <c r="H642" s="151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5.75" customHeight="1">
      <c r="A643" s="149"/>
      <c r="B643" s="57"/>
      <c r="C643" s="149"/>
      <c r="D643" s="149"/>
      <c r="E643" s="149"/>
      <c r="F643" s="149"/>
      <c r="G643" s="57"/>
      <c r="H643" s="151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5.75" customHeight="1">
      <c r="A644" s="149"/>
      <c r="B644" s="57"/>
      <c r="C644" s="149"/>
      <c r="D644" s="149"/>
      <c r="E644" s="149"/>
      <c r="F644" s="149"/>
      <c r="G644" s="57"/>
      <c r="H644" s="151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5.75" customHeight="1">
      <c r="A645" s="149"/>
      <c r="B645" s="57"/>
      <c r="C645" s="149"/>
      <c r="D645" s="149"/>
      <c r="E645" s="149"/>
      <c r="F645" s="149"/>
      <c r="G645" s="57"/>
      <c r="H645" s="151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5.75" customHeight="1">
      <c r="A646" s="149"/>
      <c r="B646" s="57"/>
      <c r="C646" s="149"/>
      <c r="D646" s="149"/>
      <c r="E646" s="149"/>
      <c r="F646" s="149"/>
      <c r="G646" s="57"/>
      <c r="H646" s="151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5.75" customHeight="1">
      <c r="A647" s="149"/>
      <c r="B647" s="57"/>
      <c r="C647" s="149"/>
      <c r="D647" s="149"/>
      <c r="E647" s="149"/>
      <c r="F647" s="149"/>
      <c r="G647" s="57"/>
      <c r="H647" s="151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5.75" customHeight="1">
      <c r="A648" s="149"/>
      <c r="B648" s="57"/>
      <c r="C648" s="149"/>
      <c r="D648" s="149"/>
      <c r="E648" s="149"/>
      <c r="F648" s="149"/>
      <c r="G648" s="57"/>
      <c r="H648" s="151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5.75" customHeight="1">
      <c r="A649" s="149"/>
      <c r="B649" s="57"/>
      <c r="C649" s="149"/>
      <c r="D649" s="149"/>
      <c r="E649" s="149"/>
      <c r="F649" s="149"/>
      <c r="G649" s="57"/>
      <c r="H649" s="151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5.75" customHeight="1">
      <c r="A650" s="149"/>
      <c r="B650" s="57"/>
      <c r="C650" s="149"/>
      <c r="D650" s="149"/>
      <c r="E650" s="149"/>
      <c r="F650" s="149"/>
      <c r="G650" s="57"/>
      <c r="H650" s="151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5.75" customHeight="1">
      <c r="A651" s="149"/>
      <c r="B651" s="57"/>
      <c r="C651" s="149"/>
      <c r="D651" s="149"/>
      <c r="E651" s="149"/>
      <c r="F651" s="149"/>
      <c r="G651" s="57"/>
      <c r="H651" s="151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5.75" customHeight="1">
      <c r="A652" s="149"/>
      <c r="B652" s="57"/>
      <c r="C652" s="149"/>
      <c r="D652" s="149"/>
      <c r="E652" s="149"/>
      <c r="F652" s="149"/>
      <c r="G652" s="57"/>
      <c r="H652" s="151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5.75" customHeight="1">
      <c r="A653" s="149"/>
      <c r="B653" s="57"/>
      <c r="C653" s="149"/>
      <c r="D653" s="149"/>
      <c r="E653" s="149"/>
      <c r="F653" s="149"/>
      <c r="G653" s="57"/>
      <c r="H653" s="151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5.75" customHeight="1">
      <c r="A654" s="149"/>
      <c r="B654" s="57"/>
      <c r="C654" s="149"/>
      <c r="D654" s="149"/>
      <c r="E654" s="149"/>
      <c r="F654" s="149"/>
      <c r="G654" s="57"/>
      <c r="H654" s="151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5.75" customHeight="1">
      <c r="A655" s="149"/>
      <c r="B655" s="57"/>
      <c r="C655" s="149"/>
      <c r="D655" s="149"/>
      <c r="E655" s="149"/>
      <c r="F655" s="149"/>
      <c r="G655" s="57"/>
      <c r="H655" s="151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5.75" customHeight="1">
      <c r="A656" s="149"/>
      <c r="B656" s="57"/>
      <c r="C656" s="149"/>
      <c r="D656" s="149"/>
      <c r="E656" s="149"/>
      <c r="F656" s="149"/>
      <c r="G656" s="57"/>
      <c r="H656" s="151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5.75" customHeight="1">
      <c r="A657" s="149"/>
      <c r="B657" s="57"/>
      <c r="C657" s="149"/>
      <c r="D657" s="149"/>
      <c r="E657" s="149"/>
      <c r="F657" s="149"/>
      <c r="G657" s="57"/>
      <c r="H657" s="151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5.75" customHeight="1">
      <c r="A658" s="149"/>
      <c r="B658" s="57"/>
      <c r="C658" s="149"/>
      <c r="D658" s="149"/>
      <c r="E658" s="149"/>
      <c r="F658" s="149"/>
      <c r="G658" s="57"/>
      <c r="H658" s="151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5.75" customHeight="1">
      <c r="A659" s="149"/>
      <c r="B659" s="57"/>
      <c r="C659" s="149"/>
      <c r="D659" s="149"/>
      <c r="E659" s="149"/>
      <c r="F659" s="149"/>
      <c r="G659" s="57"/>
      <c r="H659" s="151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5.75" customHeight="1">
      <c r="A660" s="149"/>
      <c r="B660" s="57"/>
      <c r="C660" s="149"/>
      <c r="D660" s="149"/>
      <c r="E660" s="149"/>
      <c r="F660" s="149"/>
      <c r="G660" s="57"/>
      <c r="H660" s="151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5.75" customHeight="1">
      <c r="A661" s="149"/>
      <c r="B661" s="57"/>
      <c r="C661" s="149"/>
      <c r="D661" s="149"/>
      <c r="E661" s="149"/>
      <c r="F661" s="149"/>
      <c r="G661" s="57"/>
      <c r="H661" s="151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5.75" customHeight="1">
      <c r="A662" s="149"/>
      <c r="B662" s="57"/>
      <c r="C662" s="149"/>
      <c r="D662" s="149"/>
      <c r="E662" s="149"/>
      <c r="F662" s="149"/>
      <c r="G662" s="57"/>
      <c r="H662" s="151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5.75" customHeight="1">
      <c r="A663" s="149"/>
      <c r="B663" s="57"/>
      <c r="C663" s="149"/>
      <c r="D663" s="149"/>
      <c r="E663" s="149"/>
      <c r="F663" s="149"/>
      <c r="G663" s="57"/>
      <c r="H663" s="151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5.75" customHeight="1">
      <c r="A664" s="149"/>
      <c r="B664" s="57"/>
      <c r="C664" s="149"/>
      <c r="D664" s="149"/>
      <c r="E664" s="149"/>
      <c r="F664" s="149"/>
      <c r="G664" s="57"/>
      <c r="H664" s="151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5.75" customHeight="1">
      <c r="A665" s="149"/>
      <c r="B665" s="57"/>
      <c r="C665" s="149"/>
      <c r="D665" s="149"/>
      <c r="E665" s="149"/>
      <c r="F665" s="149"/>
      <c r="G665" s="57"/>
      <c r="H665" s="151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5.75" customHeight="1">
      <c r="A666" s="149"/>
      <c r="B666" s="57"/>
      <c r="C666" s="149"/>
      <c r="D666" s="149"/>
      <c r="E666" s="149"/>
      <c r="F666" s="149"/>
      <c r="G666" s="57"/>
      <c r="H666" s="151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5.75" customHeight="1">
      <c r="A667" s="149"/>
      <c r="B667" s="57"/>
      <c r="C667" s="149"/>
      <c r="D667" s="149"/>
      <c r="E667" s="149"/>
      <c r="F667" s="149"/>
      <c r="G667" s="57"/>
      <c r="H667" s="151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5.75" customHeight="1">
      <c r="A668" s="149"/>
      <c r="B668" s="57"/>
      <c r="C668" s="149"/>
      <c r="D668" s="149"/>
      <c r="E668" s="149"/>
      <c r="F668" s="149"/>
      <c r="G668" s="57"/>
      <c r="H668" s="151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5.75" customHeight="1">
      <c r="A669" s="149"/>
      <c r="B669" s="57"/>
      <c r="C669" s="149"/>
      <c r="D669" s="149"/>
      <c r="E669" s="149"/>
      <c r="F669" s="149"/>
      <c r="G669" s="57"/>
      <c r="H669" s="151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5.75" customHeight="1">
      <c r="A670" s="149"/>
      <c r="B670" s="57"/>
      <c r="C670" s="149"/>
      <c r="D670" s="149"/>
      <c r="E670" s="149"/>
      <c r="F670" s="149"/>
      <c r="G670" s="57"/>
      <c r="H670" s="151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5.75" customHeight="1">
      <c r="A671" s="149"/>
      <c r="B671" s="57"/>
      <c r="C671" s="149"/>
      <c r="D671" s="149"/>
      <c r="E671" s="149"/>
      <c r="F671" s="149"/>
      <c r="G671" s="57"/>
      <c r="H671" s="151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5.75" customHeight="1">
      <c r="A672" s="149"/>
      <c r="B672" s="57"/>
      <c r="C672" s="149"/>
      <c r="D672" s="149"/>
      <c r="E672" s="149"/>
      <c r="F672" s="149"/>
      <c r="G672" s="57"/>
      <c r="H672" s="151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5.75" customHeight="1">
      <c r="A673" s="149"/>
      <c r="B673" s="57"/>
      <c r="C673" s="149"/>
      <c r="D673" s="149"/>
      <c r="E673" s="149"/>
      <c r="F673" s="149"/>
      <c r="G673" s="57"/>
      <c r="H673" s="151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5.75" customHeight="1">
      <c r="A674" s="149"/>
      <c r="B674" s="57"/>
      <c r="C674" s="149"/>
      <c r="D674" s="149"/>
      <c r="E674" s="149"/>
      <c r="F674" s="149"/>
      <c r="G674" s="57"/>
      <c r="H674" s="151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5.75" customHeight="1">
      <c r="A675" s="149"/>
      <c r="B675" s="57"/>
      <c r="C675" s="149"/>
      <c r="D675" s="149"/>
      <c r="E675" s="149"/>
      <c r="F675" s="149"/>
      <c r="G675" s="57"/>
      <c r="H675" s="151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5.75" customHeight="1">
      <c r="A676" s="149"/>
      <c r="B676" s="57"/>
      <c r="C676" s="149"/>
      <c r="D676" s="149"/>
      <c r="E676" s="149"/>
      <c r="F676" s="149"/>
      <c r="G676" s="57"/>
      <c r="H676" s="151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5.75" customHeight="1">
      <c r="A677" s="149"/>
      <c r="B677" s="57"/>
      <c r="C677" s="149"/>
      <c r="D677" s="149"/>
      <c r="E677" s="149"/>
      <c r="F677" s="149"/>
      <c r="G677" s="57"/>
      <c r="H677" s="151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5.75" customHeight="1">
      <c r="A678" s="149"/>
      <c r="B678" s="57"/>
      <c r="C678" s="149"/>
      <c r="D678" s="149"/>
      <c r="E678" s="149"/>
      <c r="F678" s="149"/>
      <c r="G678" s="57"/>
      <c r="H678" s="151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5.75" customHeight="1">
      <c r="A679" s="149"/>
      <c r="B679" s="57"/>
      <c r="C679" s="149"/>
      <c r="D679" s="149"/>
      <c r="E679" s="149"/>
      <c r="F679" s="149"/>
      <c r="G679" s="57"/>
      <c r="H679" s="151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5.75" customHeight="1">
      <c r="A680" s="149"/>
      <c r="B680" s="57"/>
      <c r="C680" s="149"/>
      <c r="D680" s="149"/>
      <c r="E680" s="149"/>
      <c r="F680" s="149"/>
      <c r="G680" s="57"/>
      <c r="H680" s="151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5.75" customHeight="1">
      <c r="A681" s="149"/>
      <c r="B681" s="57"/>
      <c r="C681" s="149"/>
      <c r="D681" s="149"/>
      <c r="E681" s="149"/>
      <c r="F681" s="149"/>
      <c r="G681" s="57"/>
      <c r="H681" s="151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5.75" customHeight="1">
      <c r="A682" s="149"/>
      <c r="B682" s="57"/>
      <c r="C682" s="149"/>
      <c r="D682" s="149"/>
      <c r="E682" s="149"/>
      <c r="F682" s="149"/>
      <c r="G682" s="57"/>
      <c r="H682" s="151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5.75" customHeight="1">
      <c r="A683" s="149"/>
      <c r="B683" s="57"/>
      <c r="C683" s="149"/>
      <c r="D683" s="149"/>
      <c r="E683" s="149"/>
      <c r="F683" s="149"/>
      <c r="G683" s="57"/>
      <c r="H683" s="151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5.75" customHeight="1">
      <c r="A684" s="149"/>
      <c r="B684" s="57"/>
      <c r="C684" s="149"/>
      <c r="D684" s="149"/>
      <c r="E684" s="149"/>
      <c r="F684" s="149"/>
      <c r="G684" s="57"/>
      <c r="H684" s="151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5.75" customHeight="1">
      <c r="A685" s="149"/>
      <c r="B685" s="57"/>
      <c r="C685" s="149"/>
      <c r="D685" s="149"/>
      <c r="E685" s="149"/>
      <c r="F685" s="149"/>
      <c r="G685" s="57"/>
      <c r="H685" s="151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5.75" customHeight="1">
      <c r="A686" s="149"/>
      <c r="B686" s="57"/>
      <c r="C686" s="149"/>
      <c r="D686" s="149"/>
      <c r="E686" s="149"/>
      <c r="F686" s="149"/>
      <c r="G686" s="57"/>
      <c r="H686" s="151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5.75" customHeight="1">
      <c r="A687" s="149"/>
      <c r="B687" s="57"/>
      <c r="C687" s="149"/>
      <c r="D687" s="149"/>
      <c r="E687" s="149"/>
      <c r="F687" s="149"/>
      <c r="G687" s="57"/>
      <c r="H687" s="151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5.75" customHeight="1">
      <c r="A688" s="149"/>
      <c r="B688" s="57"/>
      <c r="C688" s="149"/>
      <c r="D688" s="149"/>
      <c r="E688" s="149"/>
      <c r="F688" s="149"/>
      <c r="G688" s="57"/>
      <c r="H688" s="151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5.75" customHeight="1">
      <c r="A689" s="149"/>
      <c r="B689" s="57"/>
      <c r="C689" s="149"/>
      <c r="D689" s="149"/>
      <c r="E689" s="149"/>
      <c r="F689" s="149"/>
      <c r="G689" s="57"/>
      <c r="H689" s="151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5.75" customHeight="1">
      <c r="A690" s="149"/>
      <c r="B690" s="57"/>
      <c r="C690" s="149"/>
      <c r="D690" s="149"/>
      <c r="E690" s="149"/>
      <c r="F690" s="149"/>
      <c r="G690" s="57"/>
      <c r="H690" s="151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5.75" customHeight="1">
      <c r="A691" s="149"/>
      <c r="B691" s="57"/>
      <c r="C691" s="149"/>
      <c r="D691" s="149"/>
      <c r="E691" s="149"/>
      <c r="F691" s="149"/>
      <c r="G691" s="57"/>
      <c r="H691" s="151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5.75" customHeight="1">
      <c r="A692" s="149"/>
      <c r="B692" s="57"/>
      <c r="C692" s="149"/>
      <c r="D692" s="149"/>
      <c r="E692" s="149"/>
      <c r="F692" s="149"/>
      <c r="G692" s="57"/>
      <c r="H692" s="151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5.75" customHeight="1">
      <c r="A693" s="149"/>
      <c r="B693" s="57"/>
      <c r="C693" s="149"/>
      <c r="D693" s="149"/>
      <c r="E693" s="149"/>
      <c r="F693" s="149"/>
      <c r="G693" s="57"/>
      <c r="H693" s="151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5.75" customHeight="1">
      <c r="A694" s="149"/>
      <c r="B694" s="57"/>
      <c r="C694" s="149"/>
      <c r="D694" s="149"/>
      <c r="E694" s="149"/>
      <c r="F694" s="149"/>
      <c r="G694" s="57"/>
      <c r="H694" s="151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5.75" customHeight="1">
      <c r="A695" s="149"/>
      <c r="B695" s="57"/>
      <c r="C695" s="149"/>
      <c r="D695" s="149"/>
      <c r="E695" s="149"/>
      <c r="F695" s="149"/>
      <c r="G695" s="57"/>
      <c r="H695" s="151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5.75" customHeight="1">
      <c r="A696" s="149"/>
      <c r="B696" s="57"/>
      <c r="C696" s="149"/>
      <c r="D696" s="149"/>
      <c r="E696" s="149"/>
      <c r="F696" s="149"/>
      <c r="G696" s="57"/>
      <c r="H696" s="151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5.75" customHeight="1">
      <c r="A697" s="149"/>
      <c r="B697" s="57"/>
      <c r="C697" s="149"/>
      <c r="D697" s="149"/>
      <c r="E697" s="149"/>
      <c r="F697" s="149"/>
      <c r="G697" s="57"/>
      <c r="H697" s="151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5.75" customHeight="1">
      <c r="A698" s="149"/>
      <c r="B698" s="57"/>
      <c r="C698" s="149"/>
      <c r="D698" s="149"/>
      <c r="E698" s="149"/>
      <c r="F698" s="149"/>
      <c r="G698" s="57"/>
      <c r="H698" s="151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5.75" customHeight="1">
      <c r="A699" s="149"/>
      <c r="B699" s="57"/>
      <c r="C699" s="149"/>
      <c r="D699" s="149"/>
      <c r="E699" s="149"/>
      <c r="F699" s="149"/>
      <c r="G699" s="57"/>
      <c r="H699" s="151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5.75" customHeight="1">
      <c r="A700" s="149"/>
      <c r="B700" s="57"/>
      <c r="C700" s="149"/>
      <c r="D700" s="149"/>
      <c r="E700" s="149"/>
      <c r="F700" s="149"/>
      <c r="G700" s="57"/>
      <c r="H700" s="151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5.75" customHeight="1">
      <c r="A701" s="149"/>
      <c r="B701" s="57"/>
      <c r="C701" s="149"/>
      <c r="D701" s="149"/>
      <c r="E701" s="149"/>
      <c r="F701" s="149"/>
      <c r="G701" s="57"/>
      <c r="H701" s="151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5.75" customHeight="1">
      <c r="A702" s="149"/>
      <c r="B702" s="57"/>
      <c r="C702" s="149"/>
      <c r="D702" s="149"/>
      <c r="E702" s="149"/>
      <c r="F702" s="149"/>
      <c r="G702" s="57"/>
      <c r="H702" s="151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5.75" customHeight="1">
      <c r="A703" s="149"/>
      <c r="B703" s="57"/>
      <c r="C703" s="149"/>
      <c r="D703" s="149"/>
      <c r="E703" s="149"/>
      <c r="F703" s="149"/>
      <c r="G703" s="57"/>
      <c r="H703" s="151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5.75" customHeight="1">
      <c r="A704" s="149"/>
      <c r="B704" s="57"/>
      <c r="C704" s="149"/>
      <c r="D704" s="149"/>
      <c r="E704" s="149"/>
      <c r="F704" s="149"/>
      <c r="G704" s="57"/>
      <c r="H704" s="151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5.75" customHeight="1">
      <c r="A705" s="149"/>
      <c r="B705" s="57"/>
      <c r="C705" s="149"/>
      <c r="D705" s="149"/>
      <c r="E705" s="149"/>
      <c r="F705" s="149"/>
      <c r="G705" s="57"/>
      <c r="H705" s="151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5.75" customHeight="1">
      <c r="A706" s="149"/>
      <c r="B706" s="57"/>
      <c r="C706" s="149"/>
      <c r="D706" s="149"/>
      <c r="E706" s="149"/>
      <c r="F706" s="149"/>
      <c r="G706" s="57"/>
      <c r="H706" s="151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5.75" customHeight="1">
      <c r="A707" s="149"/>
      <c r="B707" s="57"/>
      <c r="C707" s="149"/>
      <c r="D707" s="149"/>
      <c r="E707" s="149"/>
      <c r="F707" s="149"/>
      <c r="G707" s="57"/>
      <c r="H707" s="151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5.75" customHeight="1">
      <c r="A708" s="149"/>
      <c r="B708" s="57"/>
      <c r="C708" s="149"/>
      <c r="D708" s="149"/>
      <c r="E708" s="149"/>
      <c r="F708" s="149"/>
      <c r="G708" s="57"/>
      <c r="H708" s="151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5.75" customHeight="1">
      <c r="A709" s="149"/>
      <c r="B709" s="57"/>
      <c r="C709" s="149"/>
      <c r="D709" s="149"/>
      <c r="E709" s="149"/>
      <c r="F709" s="149"/>
      <c r="G709" s="57"/>
      <c r="H709" s="151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5.75" customHeight="1">
      <c r="A710" s="149"/>
      <c r="B710" s="57"/>
      <c r="C710" s="149"/>
      <c r="D710" s="149"/>
      <c r="E710" s="149"/>
      <c r="F710" s="149"/>
      <c r="G710" s="57"/>
      <c r="H710" s="151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5.75" customHeight="1">
      <c r="A711" s="149"/>
      <c r="B711" s="57"/>
      <c r="C711" s="149"/>
      <c r="D711" s="149"/>
      <c r="E711" s="149"/>
      <c r="F711" s="149"/>
      <c r="G711" s="57"/>
      <c r="H711" s="151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5.75" customHeight="1">
      <c r="A712" s="149"/>
      <c r="B712" s="57"/>
      <c r="C712" s="149"/>
      <c r="D712" s="149"/>
      <c r="E712" s="149"/>
      <c r="F712" s="149"/>
      <c r="G712" s="57"/>
      <c r="H712" s="151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5.75" customHeight="1">
      <c r="A713" s="149"/>
      <c r="B713" s="57"/>
      <c r="C713" s="149"/>
      <c r="D713" s="149"/>
      <c r="E713" s="149"/>
      <c r="F713" s="149"/>
      <c r="G713" s="57"/>
      <c r="H713" s="151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5.75" customHeight="1">
      <c r="A714" s="149"/>
      <c r="B714" s="57"/>
      <c r="C714" s="149"/>
      <c r="D714" s="149"/>
      <c r="E714" s="149"/>
      <c r="F714" s="149"/>
      <c r="G714" s="57"/>
      <c r="H714" s="151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5.75" customHeight="1">
      <c r="A715" s="149"/>
      <c r="B715" s="57"/>
      <c r="C715" s="149"/>
      <c r="D715" s="149"/>
      <c r="E715" s="149"/>
      <c r="F715" s="149"/>
      <c r="G715" s="57"/>
      <c r="H715" s="151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5.75" customHeight="1">
      <c r="A716" s="149"/>
      <c r="B716" s="57"/>
      <c r="C716" s="149"/>
      <c r="D716" s="149"/>
      <c r="E716" s="149"/>
      <c r="F716" s="149"/>
      <c r="G716" s="57"/>
      <c r="H716" s="151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5.75" customHeight="1">
      <c r="A717" s="149"/>
      <c r="B717" s="57"/>
      <c r="C717" s="149"/>
      <c r="D717" s="149"/>
      <c r="E717" s="149"/>
      <c r="F717" s="149"/>
      <c r="G717" s="57"/>
      <c r="H717" s="151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5.75" customHeight="1">
      <c r="A718" s="149"/>
      <c r="B718" s="57"/>
      <c r="C718" s="149"/>
      <c r="D718" s="149"/>
      <c r="E718" s="149"/>
      <c r="F718" s="149"/>
      <c r="G718" s="57"/>
      <c r="H718" s="151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5.75" customHeight="1">
      <c r="A719" s="149"/>
      <c r="B719" s="57"/>
      <c r="C719" s="149"/>
      <c r="D719" s="149"/>
      <c r="E719" s="149"/>
      <c r="F719" s="149"/>
      <c r="G719" s="57"/>
      <c r="H719" s="151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5.75" customHeight="1">
      <c r="A720" s="149"/>
      <c r="B720" s="57"/>
      <c r="C720" s="149"/>
      <c r="D720" s="149"/>
      <c r="E720" s="149"/>
      <c r="F720" s="149"/>
      <c r="G720" s="57"/>
      <c r="H720" s="151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5.75" customHeight="1">
      <c r="A721" s="149"/>
      <c r="B721" s="57"/>
      <c r="C721" s="149"/>
      <c r="D721" s="149"/>
      <c r="E721" s="149"/>
      <c r="F721" s="149"/>
      <c r="G721" s="57"/>
      <c r="H721" s="151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5.75" customHeight="1">
      <c r="A722" s="149"/>
      <c r="B722" s="57"/>
      <c r="C722" s="149"/>
      <c r="D722" s="149"/>
      <c r="E722" s="149"/>
      <c r="F722" s="149"/>
      <c r="G722" s="57"/>
      <c r="H722" s="151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5.75" customHeight="1">
      <c r="A723" s="149"/>
      <c r="B723" s="57"/>
      <c r="C723" s="149"/>
      <c r="D723" s="149"/>
      <c r="E723" s="149"/>
      <c r="F723" s="149"/>
      <c r="G723" s="57"/>
      <c r="H723" s="151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5.75" customHeight="1">
      <c r="A724" s="149"/>
      <c r="B724" s="57"/>
      <c r="C724" s="149"/>
      <c r="D724" s="149"/>
      <c r="E724" s="149"/>
      <c r="F724" s="149"/>
      <c r="G724" s="57"/>
      <c r="H724" s="151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5.75" customHeight="1">
      <c r="A725" s="149"/>
      <c r="B725" s="57"/>
      <c r="C725" s="149"/>
      <c r="D725" s="149"/>
      <c r="E725" s="149"/>
      <c r="F725" s="149"/>
      <c r="G725" s="57"/>
      <c r="H725" s="151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5.75" customHeight="1">
      <c r="A726" s="149"/>
      <c r="B726" s="57"/>
      <c r="C726" s="149"/>
      <c r="D726" s="149"/>
      <c r="E726" s="149"/>
      <c r="F726" s="149"/>
      <c r="G726" s="57"/>
      <c r="H726" s="151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5.75" customHeight="1">
      <c r="A727" s="149"/>
      <c r="B727" s="57"/>
      <c r="C727" s="149"/>
      <c r="D727" s="149"/>
      <c r="E727" s="149"/>
      <c r="F727" s="149"/>
      <c r="G727" s="57"/>
      <c r="H727" s="151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5.75" customHeight="1">
      <c r="A728" s="149"/>
      <c r="B728" s="57"/>
      <c r="C728" s="149"/>
      <c r="D728" s="149"/>
      <c r="E728" s="149"/>
      <c r="F728" s="149"/>
      <c r="G728" s="57"/>
      <c r="H728" s="151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5.75" customHeight="1">
      <c r="A729" s="149"/>
      <c r="B729" s="57"/>
      <c r="C729" s="149"/>
      <c r="D729" s="149"/>
      <c r="E729" s="149"/>
      <c r="F729" s="149"/>
      <c r="G729" s="57"/>
      <c r="H729" s="151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5.75" customHeight="1">
      <c r="A730" s="149"/>
      <c r="B730" s="57"/>
      <c r="C730" s="149"/>
      <c r="D730" s="149"/>
      <c r="E730" s="149"/>
      <c r="F730" s="149"/>
      <c r="G730" s="57"/>
      <c r="H730" s="151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5.75" customHeight="1">
      <c r="A731" s="149"/>
      <c r="B731" s="57"/>
      <c r="C731" s="149"/>
      <c r="D731" s="149"/>
      <c r="E731" s="149"/>
      <c r="F731" s="149"/>
      <c r="G731" s="57"/>
      <c r="H731" s="151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5.75" customHeight="1">
      <c r="A732" s="149"/>
      <c r="B732" s="57"/>
      <c r="C732" s="149"/>
      <c r="D732" s="149"/>
      <c r="E732" s="149"/>
      <c r="F732" s="149"/>
      <c r="G732" s="57"/>
      <c r="H732" s="151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5.75" customHeight="1">
      <c r="A733" s="149"/>
      <c r="B733" s="57"/>
      <c r="C733" s="149"/>
      <c r="D733" s="149"/>
      <c r="E733" s="149"/>
      <c r="F733" s="149"/>
      <c r="G733" s="57"/>
      <c r="H733" s="151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5.75" customHeight="1">
      <c r="A734" s="149"/>
      <c r="B734" s="57"/>
      <c r="C734" s="149"/>
      <c r="D734" s="149"/>
      <c r="E734" s="149"/>
      <c r="F734" s="149"/>
      <c r="G734" s="57"/>
      <c r="H734" s="151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5.75" customHeight="1">
      <c r="A735" s="149"/>
      <c r="B735" s="57"/>
      <c r="C735" s="149"/>
      <c r="D735" s="149"/>
      <c r="E735" s="149"/>
      <c r="F735" s="149"/>
      <c r="G735" s="57"/>
      <c r="H735" s="151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5.75" customHeight="1">
      <c r="A736" s="149"/>
      <c r="B736" s="57"/>
      <c r="C736" s="149"/>
      <c r="D736" s="149"/>
      <c r="E736" s="149"/>
      <c r="F736" s="149"/>
      <c r="G736" s="57"/>
      <c r="H736" s="151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5.75" customHeight="1">
      <c r="A737" s="149"/>
      <c r="B737" s="57"/>
      <c r="C737" s="149"/>
      <c r="D737" s="149"/>
      <c r="E737" s="149"/>
      <c r="F737" s="149"/>
      <c r="G737" s="57"/>
      <c r="H737" s="151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5.75" customHeight="1">
      <c r="A738" s="149"/>
      <c r="B738" s="57"/>
      <c r="C738" s="149"/>
      <c r="D738" s="149"/>
      <c r="E738" s="149"/>
      <c r="F738" s="149"/>
      <c r="G738" s="57"/>
      <c r="H738" s="151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5.75" customHeight="1">
      <c r="A739" s="149"/>
      <c r="B739" s="57"/>
      <c r="C739" s="149"/>
      <c r="D739" s="149"/>
      <c r="E739" s="149"/>
      <c r="F739" s="149"/>
      <c r="G739" s="57"/>
      <c r="H739" s="151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5.75" customHeight="1">
      <c r="A740" s="149"/>
      <c r="B740" s="57"/>
      <c r="C740" s="149"/>
      <c r="D740" s="149"/>
      <c r="E740" s="149"/>
      <c r="F740" s="149"/>
      <c r="G740" s="57"/>
      <c r="H740" s="151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5.75" customHeight="1">
      <c r="A741" s="149"/>
      <c r="B741" s="57"/>
      <c r="C741" s="149"/>
      <c r="D741" s="149"/>
      <c r="E741" s="149"/>
      <c r="F741" s="149"/>
      <c r="G741" s="57"/>
      <c r="H741" s="151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5.75" customHeight="1">
      <c r="A742" s="149"/>
      <c r="B742" s="57"/>
      <c r="C742" s="149"/>
      <c r="D742" s="149"/>
      <c r="E742" s="149"/>
      <c r="F742" s="149"/>
      <c r="G742" s="57"/>
      <c r="H742" s="151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5.75" customHeight="1">
      <c r="A743" s="149"/>
      <c r="B743" s="57"/>
      <c r="C743" s="149"/>
      <c r="D743" s="149"/>
      <c r="E743" s="149"/>
      <c r="F743" s="149"/>
      <c r="G743" s="57"/>
      <c r="H743" s="151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5.75" customHeight="1">
      <c r="A744" s="149"/>
      <c r="B744" s="57"/>
      <c r="C744" s="149"/>
      <c r="D744" s="149"/>
      <c r="E744" s="149"/>
      <c r="F744" s="149"/>
      <c r="G744" s="57"/>
      <c r="H744" s="151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5.75" customHeight="1">
      <c r="A745" s="149"/>
      <c r="B745" s="57"/>
      <c r="C745" s="149"/>
      <c r="D745" s="149"/>
      <c r="E745" s="149"/>
      <c r="F745" s="149"/>
      <c r="G745" s="57"/>
      <c r="H745" s="151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5.75" customHeight="1">
      <c r="A746" s="149"/>
      <c r="B746" s="57"/>
      <c r="C746" s="149"/>
      <c r="D746" s="149"/>
      <c r="E746" s="149"/>
      <c r="F746" s="149"/>
      <c r="G746" s="57"/>
      <c r="H746" s="151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5.75" customHeight="1">
      <c r="A747" s="149"/>
      <c r="B747" s="57"/>
      <c r="C747" s="149"/>
      <c r="D747" s="149"/>
      <c r="E747" s="149"/>
      <c r="F747" s="149"/>
      <c r="G747" s="57"/>
      <c r="H747" s="151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5.75" customHeight="1">
      <c r="A748" s="149"/>
      <c r="B748" s="57"/>
      <c r="C748" s="149"/>
      <c r="D748" s="149"/>
      <c r="E748" s="149"/>
      <c r="F748" s="149"/>
      <c r="G748" s="57"/>
      <c r="H748" s="151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5.75" customHeight="1">
      <c r="A749" s="149"/>
      <c r="B749" s="57"/>
      <c r="C749" s="149"/>
      <c r="D749" s="149"/>
      <c r="E749" s="149"/>
      <c r="F749" s="149"/>
      <c r="G749" s="57"/>
      <c r="H749" s="151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5.75" customHeight="1">
      <c r="A750" s="149"/>
      <c r="B750" s="57"/>
      <c r="C750" s="149"/>
      <c r="D750" s="149"/>
      <c r="E750" s="149"/>
      <c r="F750" s="149"/>
      <c r="G750" s="57"/>
      <c r="H750" s="151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5.75" customHeight="1">
      <c r="A751" s="149"/>
      <c r="B751" s="57"/>
      <c r="C751" s="149"/>
      <c r="D751" s="149"/>
      <c r="E751" s="149"/>
      <c r="F751" s="149"/>
      <c r="G751" s="57"/>
      <c r="H751" s="151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5.75" customHeight="1">
      <c r="A752" s="149"/>
      <c r="B752" s="57"/>
      <c r="C752" s="149"/>
      <c r="D752" s="149"/>
      <c r="E752" s="149"/>
      <c r="F752" s="149"/>
      <c r="G752" s="57"/>
      <c r="H752" s="151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5.75" customHeight="1">
      <c r="A753" s="149"/>
      <c r="B753" s="57"/>
      <c r="C753" s="149"/>
      <c r="D753" s="149"/>
      <c r="E753" s="149"/>
      <c r="F753" s="149"/>
      <c r="G753" s="57"/>
      <c r="H753" s="151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5.75" customHeight="1">
      <c r="A754" s="149"/>
      <c r="B754" s="57"/>
      <c r="C754" s="149"/>
      <c r="D754" s="149"/>
      <c r="E754" s="149"/>
      <c r="F754" s="149"/>
      <c r="G754" s="57"/>
      <c r="H754" s="151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5.75" customHeight="1">
      <c r="A755" s="149"/>
      <c r="B755" s="57"/>
      <c r="C755" s="149"/>
      <c r="D755" s="149"/>
      <c r="E755" s="149"/>
      <c r="F755" s="149"/>
      <c r="G755" s="57"/>
      <c r="H755" s="151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5.75" customHeight="1">
      <c r="A756" s="149"/>
      <c r="B756" s="57"/>
      <c r="C756" s="149"/>
      <c r="D756" s="149"/>
      <c r="E756" s="149"/>
      <c r="F756" s="149"/>
      <c r="G756" s="57"/>
      <c r="H756" s="151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5.75" customHeight="1">
      <c r="A757" s="149"/>
      <c r="B757" s="57"/>
      <c r="C757" s="149"/>
      <c r="D757" s="149"/>
      <c r="E757" s="149"/>
      <c r="F757" s="149"/>
      <c r="G757" s="57"/>
      <c r="H757" s="151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5.75" customHeight="1">
      <c r="A758" s="149"/>
      <c r="B758" s="57"/>
      <c r="C758" s="149"/>
      <c r="D758" s="149"/>
      <c r="E758" s="149"/>
      <c r="F758" s="149"/>
      <c r="G758" s="57"/>
      <c r="H758" s="151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5.75" customHeight="1">
      <c r="A759" s="149"/>
      <c r="B759" s="57"/>
      <c r="C759" s="149"/>
      <c r="D759" s="149"/>
      <c r="E759" s="149"/>
      <c r="F759" s="149"/>
      <c r="G759" s="57"/>
      <c r="H759" s="151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5.75" customHeight="1">
      <c r="A760" s="149"/>
      <c r="B760" s="57"/>
      <c r="C760" s="149"/>
      <c r="D760" s="149"/>
      <c r="E760" s="149"/>
      <c r="F760" s="149"/>
      <c r="G760" s="57"/>
      <c r="H760" s="151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5.75" customHeight="1">
      <c r="A761" s="149"/>
      <c r="B761" s="57"/>
      <c r="C761" s="149"/>
      <c r="D761" s="149"/>
      <c r="E761" s="149"/>
      <c r="F761" s="149"/>
      <c r="G761" s="57"/>
      <c r="H761" s="151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5.75" customHeight="1">
      <c r="A762" s="149"/>
      <c r="B762" s="57"/>
      <c r="C762" s="149"/>
      <c r="D762" s="149"/>
      <c r="E762" s="149"/>
      <c r="F762" s="149"/>
      <c r="G762" s="57"/>
      <c r="H762" s="151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5.75" customHeight="1">
      <c r="A763" s="149"/>
      <c r="B763" s="57"/>
      <c r="C763" s="149"/>
      <c r="D763" s="149"/>
      <c r="E763" s="149"/>
      <c r="F763" s="149"/>
      <c r="G763" s="57"/>
      <c r="H763" s="151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5.75" customHeight="1">
      <c r="A764" s="149"/>
      <c r="B764" s="57"/>
      <c r="C764" s="149"/>
      <c r="D764" s="149"/>
      <c r="E764" s="149"/>
      <c r="F764" s="149"/>
      <c r="G764" s="57"/>
      <c r="H764" s="151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5.75" customHeight="1">
      <c r="A765" s="149"/>
      <c r="B765" s="57"/>
      <c r="C765" s="149"/>
      <c r="D765" s="149"/>
      <c r="E765" s="149"/>
      <c r="F765" s="149"/>
      <c r="G765" s="57"/>
      <c r="H765" s="151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5.75" customHeight="1">
      <c r="A766" s="149"/>
      <c r="B766" s="57"/>
      <c r="C766" s="149"/>
      <c r="D766" s="149"/>
      <c r="E766" s="149"/>
      <c r="F766" s="149"/>
      <c r="G766" s="57"/>
      <c r="H766" s="151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5.75" customHeight="1">
      <c r="A767" s="149"/>
      <c r="B767" s="57"/>
      <c r="C767" s="149"/>
      <c r="D767" s="149"/>
      <c r="E767" s="149"/>
      <c r="F767" s="149"/>
      <c r="G767" s="57"/>
      <c r="H767" s="151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5.75" customHeight="1">
      <c r="A768" s="149"/>
      <c r="B768" s="57"/>
      <c r="C768" s="149"/>
      <c r="D768" s="149"/>
      <c r="E768" s="149"/>
      <c r="F768" s="149"/>
      <c r="G768" s="57"/>
      <c r="H768" s="151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5.75" customHeight="1">
      <c r="A769" s="149"/>
      <c r="B769" s="57"/>
      <c r="C769" s="149"/>
      <c r="D769" s="149"/>
      <c r="E769" s="149"/>
      <c r="F769" s="149"/>
      <c r="G769" s="57"/>
      <c r="H769" s="151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5.75" customHeight="1">
      <c r="A770" s="149"/>
      <c r="B770" s="57"/>
      <c r="C770" s="149"/>
      <c r="D770" s="149"/>
      <c r="E770" s="149"/>
      <c r="F770" s="149"/>
      <c r="G770" s="57"/>
      <c r="H770" s="151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5.75" customHeight="1">
      <c r="A771" s="149"/>
      <c r="B771" s="57"/>
      <c r="C771" s="149"/>
      <c r="D771" s="149"/>
      <c r="E771" s="149"/>
      <c r="F771" s="149"/>
      <c r="G771" s="57"/>
      <c r="H771" s="151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5.75" customHeight="1">
      <c r="A772" s="149"/>
      <c r="B772" s="57"/>
      <c r="C772" s="149"/>
      <c r="D772" s="149"/>
      <c r="E772" s="149"/>
      <c r="F772" s="149"/>
      <c r="G772" s="57"/>
      <c r="H772" s="151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5.75" customHeight="1">
      <c r="A773" s="149"/>
      <c r="B773" s="57"/>
      <c r="C773" s="149"/>
      <c r="D773" s="149"/>
      <c r="E773" s="149"/>
      <c r="F773" s="149"/>
      <c r="G773" s="57"/>
      <c r="H773" s="151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5.75" customHeight="1">
      <c r="A774" s="149"/>
      <c r="B774" s="57"/>
      <c r="C774" s="149"/>
      <c r="D774" s="149"/>
      <c r="E774" s="149"/>
      <c r="F774" s="149"/>
      <c r="G774" s="57"/>
      <c r="H774" s="151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5.75" customHeight="1">
      <c r="A775" s="149"/>
      <c r="B775" s="57"/>
      <c r="C775" s="149"/>
      <c r="D775" s="149"/>
      <c r="E775" s="149"/>
      <c r="F775" s="149"/>
      <c r="G775" s="57"/>
      <c r="H775" s="151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5.75" customHeight="1">
      <c r="A776" s="149"/>
      <c r="B776" s="57"/>
      <c r="C776" s="149"/>
      <c r="D776" s="149"/>
      <c r="E776" s="149"/>
      <c r="F776" s="149"/>
      <c r="G776" s="57"/>
      <c r="H776" s="151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5.75" customHeight="1">
      <c r="A777" s="149"/>
      <c r="B777" s="57"/>
      <c r="C777" s="149"/>
      <c r="D777" s="149"/>
      <c r="E777" s="149"/>
      <c r="F777" s="149"/>
      <c r="G777" s="57"/>
      <c r="H777" s="151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5.75" customHeight="1">
      <c r="A778" s="149"/>
      <c r="B778" s="57"/>
      <c r="C778" s="149"/>
      <c r="D778" s="149"/>
      <c r="E778" s="149"/>
      <c r="F778" s="149"/>
      <c r="G778" s="57"/>
      <c r="H778" s="151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5.75" customHeight="1">
      <c r="A779" s="149"/>
      <c r="B779" s="57"/>
      <c r="C779" s="149"/>
      <c r="D779" s="149"/>
      <c r="E779" s="149"/>
      <c r="F779" s="149"/>
      <c r="G779" s="57"/>
      <c r="H779" s="151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5.75" customHeight="1">
      <c r="A780" s="149"/>
      <c r="B780" s="57"/>
      <c r="C780" s="149"/>
      <c r="D780" s="149"/>
      <c r="E780" s="149"/>
      <c r="F780" s="149"/>
      <c r="G780" s="57"/>
      <c r="H780" s="151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5.75" customHeight="1">
      <c r="A781" s="149"/>
      <c r="B781" s="57"/>
      <c r="C781" s="149"/>
      <c r="D781" s="149"/>
      <c r="E781" s="149"/>
      <c r="F781" s="149"/>
      <c r="G781" s="57"/>
      <c r="H781" s="151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5.75" customHeight="1">
      <c r="A782" s="149"/>
      <c r="B782" s="57"/>
      <c r="C782" s="149"/>
      <c r="D782" s="149"/>
      <c r="E782" s="149"/>
      <c r="F782" s="149"/>
      <c r="G782" s="57"/>
      <c r="H782" s="151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5.75" customHeight="1">
      <c r="A783" s="149"/>
      <c r="B783" s="57"/>
      <c r="C783" s="149"/>
      <c r="D783" s="149"/>
      <c r="E783" s="149"/>
      <c r="F783" s="149"/>
      <c r="G783" s="57"/>
      <c r="H783" s="151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5.75" customHeight="1">
      <c r="A784" s="149"/>
      <c r="B784" s="57"/>
      <c r="C784" s="149"/>
      <c r="D784" s="149"/>
      <c r="E784" s="149"/>
      <c r="F784" s="149"/>
      <c r="G784" s="57"/>
      <c r="H784" s="151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5.75" customHeight="1">
      <c r="A785" s="149"/>
      <c r="B785" s="57"/>
      <c r="C785" s="149"/>
      <c r="D785" s="149"/>
      <c r="E785" s="149"/>
      <c r="F785" s="149"/>
      <c r="G785" s="57"/>
      <c r="H785" s="151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5.75" customHeight="1">
      <c r="A786" s="149"/>
      <c r="B786" s="57"/>
      <c r="C786" s="149"/>
      <c r="D786" s="149"/>
      <c r="E786" s="149"/>
      <c r="F786" s="149"/>
      <c r="G786" s="57"/>
      <c r="H786" s="151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5.75" customHeight="1">
      <c r="A787" s="149"/>
      <c r="B787" s="57"/>
      <c r="C787" s="149"/>
      <c r="D787" s="149"/>
      <c r="E787" s="149"/>
      <c r="F787" s="149"/>
      <c r="G787" s="57"/>
      <c r="H787" s="151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5.75" customHeight="1">
      <c r="A788" s="149"/>
      <c r="B788" s="57"/>
      <c r="C788" s="149"/>
      <c r="D788" s="149"/>
      <c r="E788" s="149"/>
      <c r="F788" s="149"/>
      <c r="G788" s="57"/>
      <c r="H788" s="151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5.75" customHeight="1">
      <c r="A789" s="149"/>
      <c r="B789" s="57"/>
      <c r="C789" s="149"/>
      <c r="D789" s="149"/>
      <c r="E789" s="149"/>
      <c r="F789" s="149"/>
      <c r="G789" s="57"/>
      <c r="H789" s="151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5.75" customHeight="1">
      <c r="A790" s="149"/>
      <c r="B790" s="57"/>
      <c r="C790" s="149"/>
      <c r="D790" s="149"/>
      <c r="E790" s="149"/>
      <c r="F790" s="149"/>
      <c r="G790" s="57"/>
      <c r="H790" s="151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5.75" customHeight="1">
      <c r="A791" s="149"/>
      <c r="B791" s="57"/>
      <c r="C791" s="149"/>
      <c r="D791" s="149"/>
      <c r="E791" s="149"/>
      <c r="F791" s="149"/>
      <c r="G791" s="57"/>
      <c r="H791" s="151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5.75" customHeight="1">
      <c r="A792" s="149"/>
      <c r="B792" s="57"/>
      <c r="C792" s="149"/>
      <c r="D792" s="149"/>
      <c r="E792" s="149"/>
      <c r="F792" s="149"/>
      <c r="G792" s="57"/>
      <c r="H792" s="151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5.75" customHeight="1">
      <c r="A793" s="149"/>
      <c r="B793" s="57"/>
      <c r="C793" s="149"/>
      <c r="D793" s="149"/>
      <c r="E793" s="149"/>
      <c r="F793" s="149"/>
      <c r="G793" s="57"/>
      <c r="H793" s="151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5.75" customHeight="1">
      <c r="A794" s="149"/>
      <c r="B794" s="57"/>
      <c r="C794" s="149"/>
      <c r="D794" s="149"/>
      <c r="E794" s="149"/>
      <c r="F794" s="149"/>
      <c r="G794" s="57"/>
      <c r="H794" s="151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5.75" customHeight="1">
      <c r="A795" s="149"/>
      <c r="B795" s="57"/>
      <c r="C795" s="149"/>
      <c r="D795" s="149"/>
      <c r="E795" s="149"/>
      <c r="F795" s="149"/>
      <c r="G795" s="57"/>
      <c r="H795" s="151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5.75" customHeight="1">
      <c r="A796" s="149"/>
      <c r="B796" s="57"/>
      <c r="C796" s="149"/>
      <c r="D796" s="149"/>
      <c r="E796" s="149"/>
      <c r="F796" s="149"/>
      <c r="G796" s="57"/>
      <c r="H796" s="151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5.75" customHeight="1">
      <c r="A797" s="149"/>
      <c r="B797" s="57"/>
      <c r="C797" s="149"/>
      <c r="D797" s="149"/>
      <c r="E797" s="149"/>
      <c r="F797" s="149"/>
      <c r="G797" s="57"/>
      <c r="H797" s="151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5.75" customHeight="1">
      <c r="A798" s="149"/>
      <c r="B798" s="57"/>
      <c r="C798" s="149"/>
      <c r="D798" s="149"/>
      <c r="E798" s="149"/>
      <c r="F798" s="149"/>
      <c r="G798" s="57"/>
      <c r="H798" s="151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5.75" customHeight="1">
      <c r="A799" s="149"/>
      <c r="B799" s="57"/>
      <c r="C799" s="149"/>
      <c r="D799" s="149"/>
      <c r="E799" s="149"/>
      <c r="F799" s="149"/>
      <c r="G799" s="57"/>
      <c r="H799" s="151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5.75" customHeight="1">
      <c r="A800" s="149"/>
      <c r="B800" s="57"/>
      <c r="C800" s="149"/>
      <c r="D800" s="149"/>
      <c r="E800" s="149"/>
      <c r="F800" s="149"/>
      <c r="G800" s="57"/>
      <c r="H800" s="151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5.75" customHeight="1">
      <c r="A801" s="149"/>
      <c r="B801" s="57"/>
      <c r="C801" s="149"/>
      <c r="D801" s="149"/>
      <c r="E801" s="149"/>
      <c r="F801" s="149"/>
      <c r="G801" s="57"/>
      <c r="H801" s="151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5.75" customHeight="1">
      <c r="A802" s="149"/>
      <c r="B802" s="57"/>
      <c r="C802" s="149"/>
      <c r="D802" s="149"/>
      <c r="E802" s="149"/>
      <c r="F802" s="149"/>
      <c r="G802" s="57"/>
      <c r="H802" s="151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5.75" customHeight="1">
      <c r="A803" s="149"/>
      <c r="B803" s="57"/>
      <c r="C803" s="149"/>
      <c r="D803" s="149"/>
      <c r="E803" s="149"/>
      <c r="F803" s="149"/>
      <c r="G803" s="57"/>
      <c r="H803" s="151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5.75" customHeight="1">
      <c r="A804" s="149"/>
      <c r="B804" s="57"/>
      <c r="C804" s="149"/>
      <c r="D804" s="149"/>
      <c r="E804" s="149"/>
      <c r="F804" s="149"/>
      <c r="G804" s="57"/>
      <c r="H804" s="151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5.75" customHeight="1">
      <c r="A805" s="149"/>
      <c r="B805" s="57"/>
      <c r="C805" s="149"/>
      <c r="D805" s="149"/>
      <c r="E805" s="149"/>
      <c r="F805" s="149"/>
      <c r="G805" s="57"/>
      <c r="H805" s="151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5.75" customHeight="1">
      <c r="A806" s="149"/>
      <c r="B806" s="57"/>
      <c r="C806" s="149"/>
      <c r="D806" s="149"/>
      <c r="E806" s="149"/>
      <c r="F806" s="149"/>
      <c r="G806" s="57"/>
      <c r="H806" s="151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5.75" customHeight="1">
      <c r="A807" s="149"/>
      <c r="B807" s="57"/>
      <c r="C807" s="149"/>
      <c r="D807" s="149"/>
      <c r="E807" s="149"/>
      <c r="F807" s="149"/>
      <c r="G807" s="57"/>
      <c r="H807" s="151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5.75" customHeight="1">
      <c r="A808" s="149"/>
      <c r="B808" s="57"/>
      <c r="C808" s="149"/>
      <c r="D808" s="149"/>
      <c r="E808" s="149"/>
      <c r="F808" s="149"/>
      <c r="G808" s="57"/>
      <c r="H808" s="151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5.75" customHeight="1">
      <c r="A809" s="149"/>
      <c r="B809" s="57"/>
      <c r="C809" s="149"/>
      <c r="D809" s="149"/>
      <c r="E809" s="149"/>
      <c r="F809" s="149"/>
      <c r="G809" s="57"/>
      <c r="H809" s="151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5.75" customHeight="1">
      <c r="A810" s="149"/>
      <c r="B810" s="57"/>
      <c r="C810" s="149"/>
      <c r="D810" s="149"/>
      <c r="E810" s="149"/>
      <c r="F810" s="149"/>
      <c r="G810" s="57"/>
      <c r="H810" s="151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5.75" customHeight="1">
      <c r="A811" s="149"/>
      <c r="B811" s="57"/>
      <c r="C811" s="149"/>
      <c r="D811" s="149"/>
      <c r="E811" s="149"/>
      <c r="F811" s="149"/>
      <c r="G811" s="57"/>
      <c r="H811" s="151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5.75" customHeight="1">
      <c r="A812" s="149"/>
      <c r="B812" s="57"/>
      <c r="C812" s="149"/>
      <c r="D812" s="149"/>
      <c r="E812" s="149"/>
      <c r="F812" s="149"/>
      <c r="G812" s="57"/>
      <c r="H812" s="151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5.75" customHeight="1">
      <c r="A813" s="149"/>
      <c r="B813" s="57"/>
      <c r="C813" s="149"/>
      <c r="D813" s="149"/>
      <c r="E813" s="149"/>
      <c r="F813" s="149"/>
      <c r="G813" s="57"/>
      <c r="H813" s="151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5.75" customHeight="1">
      <c r="A814" s="149"/>
      <c r="B814" s="57"/>
      <c r="C814" s="149"/>
      <c r="D814" s="149"/>
      <c r="E814" s="149"/>
      <c r="F814" s="149"/>
      <c r="G814" s="57"/>
      <c r="H814" s="151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5.75" customHeight="1">
      <c r="A815" s="149"/>
      <c r="B815" s="57"/>
      <c r="C815" s="149"/>
      <c r="D815" s="149"/>
      <c r="E815" s="149"/>
      <c r="F815" s="149"/>
      <c r="G815" s="57"/>
      <c r="H815" s="151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5.75" customHeight="1">
      <c r="A816" s="149"/>
      <c r="B816" s="57"/>
      <c r="C816" s="149"/>
      <c r="D816" s="149"/>
      <c r="E816" s="149"/>
      <c r="F816" s="149"/>
      <c r="G816" s="57"/>
      <c r="H816" s="151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5.75" customHeight="1">
      <c r="A817" s="149"/>
      <c r="B817" s="57"/>
      <c r="C817" s="149"/>
      <c r="D817" s="149"/>
      <c r="E817" s="149"/>
      <c r="F817" s="149"/>
      <c r="G817" s="57"/>
      <c r="H817" s="151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5.75" customHeight="1">
      <c r="A818" s="149"/>
      <c r="B818" s="57"/>
      <c r="C818" s="149"/>
      <c r="D818" s="149"/>
      <c r="E818" s="149"/>
      <c r="F818" s="149"/>
      <c r="G818" s="57"/>
      <c r="H818" s="151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5.75" customHeight="1">
      <c r="A819" s="149"/>
      <c r="B819" s="57"/>
      <c r="C819" s="149"/>
      <c r="D819" s="149"/>
      <c r="E819" s="149"/>
      <c r="F819" s="149"/>
      <c r="G819" s="57"/>
      <c r="H819" s="151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5.75" customHeight="1">
      <c r="A820" s="149"/>
      <c r="B820" s="57"/>
      <c r="C820" s="149"/>
      <c r="D820" s="149"/>
      <c r="E820" s="149"/>
      <c r="F820" s="149"/>
      <c r="G820" s="57"/>
      <c r="H820" s="151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5.75" customHeight="1">
      <c r="A821" s="149"/>
      <c r="B821" s="57"/>
      <c r="C821" s="149"/>
      <c r="D821" s="149"/>
      <c r="E821" s="149"/>
      <c r="F821" s="149"/>
      <c r="G821" s="57"/>
      <c r="H821" s="151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5.75" customHeight="1">
      <c r="A822" s="149"/>
      <c r="B822" s="57"/>
      <c r="C822" s="149"/>
      <c r="D822" s="149"/>
      <c r="E822" s="149"/>
      <c r="F822" s="149"/>
      <c r="G822" s="57"/>
      <c r="H822" s="151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5.75" customHeight="1">
      <c r="A823" s="149"/>
      <c r="B823" s="57"/>
      <c r="C823" s="149"/>
      <c r="D823" s="149"/>
      <c r="E823" s="149"/>
      <c r="F823" s="149"/>
      <c r="G823" s="57"/>
      <c r="H823" s="151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5.75" customHeight="1">
      <c r="A824" s="149"/>
      <c r="B824" s="57"/>
      <c r="C824" s="149"/>
      <c r="D824" s="149"/>
      <c r="E824" s="149"/>
      <c r="F824" s="149"/>
      <c r="G824" s="57"/>
      <c r="H824" s="151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5.75" customHeight="1">
      <c r="A825" s="149"/>
      <c r="B825" s="57"/>
      <c r="C825" s="149"/>
      <c r="D825" s="149"/>
      <c r="E825" s="149"/>
      <c r="F825" s="149"/>
      <c r="G825" s="57"/>
      <c r="H825" s="151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5.75" customHeight="1">
      <c r="A826" s="149"/>
      <c r="B826" s="57"/>
      <c r="C826" s="149"/>
      <c r="D826" s="149"/>
      <c r="E826" s="149"/>
      <c r="F826" s="149"/>
      <c r="G826" s="57"/>
      <c r="H826" s="151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5.75" customHeight="1">
      <c r="A827" s="149"/>
      <c r="B827" s="57"/>
      <c r="C827" s="149"/>
      <c r="D827" s="149"/>
      <c r="E827" s="149"/>
      <c r="F827" s="149"/>
      <c r="G827" s="57"/>
      <c r="H827" s="151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5.75" customHeight="1">
      <c r="A828" s="149"/>
      <c r="B828" s="57"/>
      <c r="C828" s="149"/>
      <c r="D828" s="149"/>
      <c r="E828" s="149"/>
      <c r="F828" s="149"/>
      <c r="G828" s="57"/>
      <c r="H828" s="151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5.75" customHeight="1">
      <c r="A829" s="149"/>
      <c r="B829" s="57"/>
      <c r="C829" s="149"/>
      <c r="D829" s="149"/>
      <c r="E829" s="149"/>
      <c r="F829" s="149"/>
      <c r="G829" s="57"/>
      <c r="H829" s="151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5.75" customHeight="1">
      <c r="A830" s="149"/>
      <c r="B830" s="57"/>
      <c r="C830" s="149"/>
      <c r="D830" s="149"/>
      <c r="E830" s="149"/>
      <c r="F830" s="149"/>
      <c r="G830" s="57"/>
      <c r="H830" s="151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5.75" customHeight="1">
      <c r="A831" s="149"/>
      <c r="B831" s="57"/>
      <c r="C831" s="149"/>
      <c r="D831" s="149"/>
      <c r="E831" s="149"/>
      <c r="F831" s="149"/>
      <c r="G831" s="57"/>
      <c r="H831" s="151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5.75" customHeight="1">
      <c r="A832" s="149"/>
      <c r="B832" s="57"/>
      <c r="C832" s="149"/>
      <c r="D832" s="149"/>
      <c r="E832" s="149"/>
      <c r="F832" s="149"/>
      <c r="G832" s="57"/>
      <c r="H832" s="151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5.75" customHeight="1">
      <c r="A833" s="149"/>
      <c r="B833" s="57"/>
      <c r="C833" s="149"/>
      <c r="D833" s="149"/>
      <c r="E833" s="149"/>
      <c r="F833" s="149"/>
      <c r="G833" s="57"/>
      <c r="H833" s="151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5.75" customHeight="1">
      <c r="A834" s="149"/>
      <c r="B834" s="57"/>
      <c r="C834" s="149"/>
      <c r="D834" s="149"/>
      <c r="E834" s="149"/>
      <c r="F834" s="149"/>
      <c r="G834" s="57"/>
      <c r="H834" s="151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5.75" customHeight="1">
      <c r="A835" s="149"/>
      <c r="B835" s="57"/>
      <c r="C835" s="149"/>
      <c r="D835" s="149"/>
      <c r="E835" s="149"/>
      <c r="F835" s="149"/>
      <c r="G835" s="57"/>
      <c r="H835" s="151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5.75" customHeight="1">
      <c r="A836" s="149"/>
      <c r="B836" s="57"/>
      <c r="C836" s="149"/>
      <c r="D836" s="149"/>
      <c r="E836" s="149"/>
      <c r="F836" s="149"/>
      <c r="G836" s="57"/>
      <c r="H836" s="151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5.75" customHeight="1">
      <c r="A837" s="149"/>
      <c r="B837" s="57"/>
      <c r="C837" s="149"/>
      <c r="D837" s="149"/>
      <c r="E837" s="149"/>
      <c r="F837" s="149"/>
      <c r="G837" s="57"/>
      <c r="H837" s="151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5.75" customHeight="1">
      <c r="A838" s="149"/>
      <c r="B838" s="57"/>
      <c r="C838" s="149"/>
      <c r="D838" s="149"/>
      <c r="E838" s="149"/>
      <c r="F838" s="149"/>
      <c r="G838" s="57"/>
      <c r="H838" s="151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5.75" customHeight="1">
      <c r="A839" s="149"/>
      <c r="B839" s="57"/>
      <c r="C839" s="149"/>
      <c r="D839" s="149"/>
      <c r="E839" s="149"/>
      <c r="F839" s="149"/>
      <c r="G839" s="57"/>
      <c r="H839" s="151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5.75" customHeight="1">
      <c r="A840" s="149"/>
      <c r="B840" s="57"/>
      <c r="C840" s="149"/>
      <c r="D840" s="149"/>
      <c r="E840" s="149"/>
      <c r="F840" s="149"/>
      <c r="G840" s="57"/>
      <c r="H840" s="151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5.75" customHeight="1">
      <c r="A841" s="149"/>
      <c r="B841" s="57"/>
      <c r="C841" s="149"/>
      <c r="D841" s="149"/>
      <c r="E841" s="149"/>
      <c r="F841" s="149"/>
      <c r="G841" s="57"/>
      <c r="H841" s="151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5.75" customHeight="1">
      <c r="A842" s="149"/>
      <c r="B842" s="57"/>
      <c r="C842" s="149"/>
      <c r="D842" s="149"/>
      <c r="E842" s="149"/>
      <c r="F842" s="149"/>
      <c r="G842" s="57"/>
      <c r="H842" s="151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5.75" customHeight="1">
      <c r="A843" s="149"/>
      <c r="B843" s="57"/>
      <c r="C843" s="149"/>
      <c r="D843" s="149"/>
      <c r="E843" s="149"/>
      <c r="F843" s="149"/>
      <c r="G843" s="57"/>
      <c r="H843" s="151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5.75" customHeight="1">
      <c r="A844" s="149"/>
      <c r="B844" s="57"/>
      <c r="C844" s="149"/>
      <c r="D844" s="149"/>
      <c r="E844" s="149"/>
      <c r="F844" s="149"/>
      <c r="G844" s="57"/>
      <c r="H844" s="151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5.75" customHeight="1">
      <c r="A845" s="149"/>
      <c r="B845" s="57"/>
      <c r="C845" s="149"/>
      <c r="D845" s="149"/>
      <c r="E845" s="149"/>
      <c r="F845" s="149"/>
      <c r="G845" s="57"/>
      <c r="H845" s="151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5.75" customHeight="1">
      <c r="A846" s="149"/>
      <c r="B846" s="57"/>
      <c r="C846" s="149"/>
      <c r="D846" s="149"/>
      <c r="E846" s="149"/>
      <c r="F846" s="149"/>
      <c r="G846" s="57"/>
      <c r="H846" s="151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5.75" customHeight="1">
      <c r="A847" s="149"/>
      <c r="B847" s="57"/>
      <c r="C847" s="149"/>
      <c r="D847" s="149"/>
      <c r="E847" s="149"/>
      <c r="F847" s="149"/>
      <c r="G847" s="57"/>
      <c r="H847" s="151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5.75" customHeight="1">
      <c r="A848" s="149"/>
      <c r="B848" s="57"/>
      <c r="C848" s="149"/>
      <c r="D848" s="149"/>
      <c r="E848" s="149"/>
      <c r="F848" s="149"/>
      <c r="G848" s="57"/>
      <c r="H848" s="151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5.75" customHeight="1">
      <c r="A849" s="149"/>
      <c r="B849" s="57"/>
      <c r="C849" s="149"/>
      <c r="D849" s="149"/>
      <c r="E849" s="149"/>
      <c r="F849" s="149"/>
      <c r="G849" s="57"/>
      <c r="H849" s="151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5.75" customHeight="1">
      <c r="A850" s="149"/>
      <c r="B850" s="57"/>
      <c r="C850" s="149"/>
      <c r="D850" s="149"/>
      <c r="E850" s="149"/>
      <c r="F850" s="149"/>
      <c r="G850" s="57"/>
      <c r="H850" s="151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5.75" customHeight="1">
      <c r="A851" s="149"/>
      <c r="B851" s="57"/>
      <c r="C851" s="149"/>
      <c r="D851" s="149"/>
      <c r="E851" s="149"/>
      <c r="F851" s="149"/>
      <c r="G851" s="57"/>
      <c r="H851" s="151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5.75" customHeight="1">
      <c r="A852" s="149"/>
      <c r="B852" s="57"/>
      <c r="C852" s="149"/>
      <c r="D852" s="149"/>
      <c r="E852" s="149"/>
      <c r="F852" s="149"/>
      <c r="G852" s="57"/>
      <c r="H852" s="151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5.75" customHeight="1">
      <c r="A853" s="149"/>
      <c r="B853" s="57"/>
      <c r="C853" s="149"/>
      <c r="D853" s="149"/>
      <c r="E853" s="149"/>
      <c r="F853" s="149"/>
      <c r="G853" s="57"/>
      <c r="H853" s="151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5.75" customHeight="1">
      <c r="A854" s="149"/>
      <c r="B854" s="57"/>
      <c r="C854" s="149"/>
      <c r="D854" s="149"/>
      <c r="E854" s="149"/>
      <c r="F854" s="149"/>
      <c r="G854" s="57"/>
      <c r="H854" s="151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5.75" customHeight="1">
      <c r="A855" s="149"/>
      <c r="B855" s="57"/>
      <c r="C855" s="149"/>
      <c r="D855" s="149"/>
      <c r="E855" s="149"/>
      <c r="F855" s="149"/>
      <c r="G855" s="57"/>
      <c r="H855" s="151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5.75" customHeight="1">
      <c r="A856" s="149"/>
      <c r="B856" s="57"/>
      <c r="C856" s="149"/>
      <c r="D856" s="149"/>
      <c r="E856" s="149"/>
      <c r="F856" s="149"/>
      <c r="G856" s="57"/>
      <c r="H856" s="151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5.75" customHeight="1">
      <c r="A857" s="149"/>
      <c r="B857" s="57"/>
      <c r="C857" s="149"/>
      <c r="D857" s="149"/>
      <c r="E857" s="149"/>
      <c r="F857" s="149"/>
      <c r="G857" s="57"/>
      <c r="H857" s="151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5.75" customHeight="1">
      <c r="A858" s="149"/>
      <c r="B858" s="57"/>
      <c r="C858" s="149"/>
      <c r="D858" s="149"/>
      <c r="E858" s="149"/>
      <c r="F858" s="149"/>
      <c r="G858" s="57"/>
      <c r="H858" s="151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5.75" customHeight="1">
      <c r="A859" s="149"/>
      <c r="B859" s="57"/>
      <c r="C859" s="149"/>
      <c r="D859" s="149"/>
      <c r="E859" s="149"/>
      <c r="F859" s="149"/>
      <c r="G859" s="57"/>
      <c r="H859" s="151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5.75" customHeight="1">
      <c r="A860" s="149"/>
      <c r="B860" s="57"/>
      <c r="C860" s="149"/>
      <c r="D860" s="149"/>
      <c r="E860" s="149"/>
      <c r="F860" s="149"/>
      <c r="G860" s="57"/>
      <c r="H860" s="151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5.75" customHeight="1">
      <c r="A861" s="149"/>
      <c r="B861" s="57"/>
      <c r="C861" s="149"/>
      <c r="D861" s="149"/>
      <c r="E861" s="149"/>
      <c r="F861" s="149"/>
      <c r="G861" s="57"/>
      <c r="H861" s="151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5.75" customHeight="1">
      <c r="A862" s="149"/>
      <c r="B862" s="57"/>
      <c r="C862" s="149"/>
      <c r="D862" s="149"/>
      <c r="E862" s="149"/>
      <c r="F862" s="149"/>
      <c r="G862" s="57"/>
      <c r="H862" s="151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5.75" customHeight="1">
      <c r="A863" s="149"/>
      <c r="B863" s="57"/>
      <c r="C863" s="149"/>
      <c r="D863" s="149"/>
      <c r="E863" s="149"/>
      <c r="F863" s="149"/>
      <c r="G863" s="57"/>
      <c r="H863" s="151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5.75" customHeight="1">
      <c r="A864" s="149"/>
      <c r="B864" s="57"/>
      <c r="C864" s="149"/>
      <c r="D864" s="149"/>
      <c r="E864" s="149"/>
      <c r="F864" s="149"/>
      <c r="G864" s="57"/>
      <c r="H864" s="151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5.75" customHeight="1">
      <c r="A865" s="149"/>
      <c r="B865" s="57"/>
      <c r="C865" s="149"/>
      <c r="D865" s="149"/>
      <c r="E865" s="149"/>
      <c r="F865" s="149"/>
      <c r="G865" s="57"/>
      <c r="H865" s="151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5.75" customHeight="1">
      <c r="A866" s="149"/>
      <c r="B866" s="57"/>
      <c r="C866" s="149"/>
      <c r="D866" s="149"/>
      <c r="E866" s="149"/>
      <c r="F866" s="149"/>
      <c r="G866" s="57"/>
      <c r="H866" s="151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5.75" customHeight="1">
      <c r="A867" s="149"/>
      <c r="B867" s="57"/>
      <c r="C867" s="149"/>
      <c r="D867" s="149"/>
      <c r="E867" s="149"/>
      <c r="F867" s="149"/>
      <c r="G867" s="57"/>
      <c r="H867" s="151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5.75" customHeight="1">
      <c r="A868" s="149"/>
      <c r="B868" s="57"/>
      <c r="C868" s="149"/>
      <c r="D868" s="149"/>
      <c r="E868" s="149"/>
      <c r="F868" s="149"/>
      <c r="G868" s="57"/>
      <c r="H868" s="151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5.75" customHeight="1">
      <c r="A869" s="149"/>
      <c r="B869" s="57"/>
      <c r="C869" s="149"/>
      <c r="D869" s="149"/>
      <c r="E869" s="149"/>
      <c r="F869" s="149"/>
      <c r="G869" s="57"/>
      <c r="H869" s="151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5.75" customHeight="1">
      <c r="A870" s="149"/>
      <c r="B870" s="57"/>
      <c r="C870" s="149"/>
      <c r="D870" s="149"/>
      <c r="E870" s="149"/>
      <c r="F870" s="149"/>
      <c r="G870" s="57"/>
      <c r="H870" s="151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5.75" customHeight="1">
      <c r="A871" s="149"/>
      <c r="B871" s="57"/>
      <c r="C871" s="149"/>
      <c r="D871" s="149"/>
      <c r="E871" s="149"/>
      <c r="F871" s="149"/>
      <c r="G871" s="57"/>
      <c r="H871" s="151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5.75" customHeight="1">
      <c r="A872" s="149"/>
      <c r="B872" s="57"/>
      <c r="C872" s="149"/>
      <c r="D872" s="149"/>
      <c r="E872" s="149"/>
      <c r="F872" s="149"/>
      <c r="G872" s="57"/>
      <c r="H872" s="151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5.75" customHeight="1">
      <c r="A873" s="149"/>
      <c r="B873" s="57"/>
      <c r="C873" s="149"/>
      <c r="D873" s="149"/>
      <c r="E873" s="149"/>
      <c r="F873" s="149"/>
      <c r="G873" s="57"/>
      <c r="H873" s="151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5.75" customHeight="1">
      <c r="A874" s="149"/>
      <c r="B874" s="57"/>
      <c r="C874" s="149"/>
      <c r="D874" s="149"/>
      <c r="E874" s="149"/>
      <c r="F874" s="149"/>
      <c r="G874" s="57"/>
      <c r="H874" s="151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5.75" customHeight="1">
      <c r="A875" s="149"/>
      <c r="B875" s="57"/>
      <c r="C875" s="149"/>
      <c r="D875" s="149"/>
      <c r="E875" s="149"/>
      <c r="F875" s="149"/>
      <c r="G875" s="57"/>
      <c r="H875" s="151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5.75" customHeight="1">
      <c r="A876" s="149"/>
      <c r="B876" s="57"/>
      <c r="C876" s="149"/>
      <c r="D876" s="149"/>
      <c r="E876" s="149"/>
      <c r="F876" s="149"/>
      <c r="G876" s="57"/>
      <c r="H876" s="151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5.75" customHeight="1">
      <c r="A877" s="149"/>
      <c r="B877" s="57"/>
      <c r="C877" s="149"/>
      <c r="D877" s="149"/>
      <c r="E877" s="149"/>
      <c r="F877" s="149"/>
      <c r="G877" s="57"/>
      <c r="H877" s="151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5.75" customHeight="1">
      <c r="A878" s="149"/>
      <c r="B878" s="57"/>
      <c r="C878" s="149"/>
      <c r="D878" s="149"/>
      <c r="E878" s="149"/>
      <c r="F878" s="149"/>
      <c r="G878" s="57"/>
      <c r="H878" s="151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5.75" customHeight="1">
      <c r="A879" s="149"/>
      <c r="B879" s="57"/>
      <c r="C879" s="149"/>
      <c r="D879" s="149"/>
      <c r="E879" s="149"/>
      <c r="F879" s="149"/>
      <c r="G879" s="57"/>
      <c r="H879" s="151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5.75" customHeight="1">
      <c r="A880" s="149"/>
      <c r="B880" s="57"/>
      <c r="C880" s="149"/>
      <c r="D880" s="149"/>
      <c r="E880" s="149"/>
      <c r="F880" s="149"/>
      <c r="G880" s="57"/>
      <c r="H880" s="151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5.75" customHeight="1">
      <c r="A881" s="149"/>
      <c r="B881" s="57"/>
      <c r="C881" s="149"/>
      <c r="D881" s="149"/>
      <c r="E881" s="149"/>
      <c r="F881" s="149"/>
      <c r="G881" s="57"/>
      <c r="H881" s="151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5.75" customHeight="1">
      <c r="A882" s="149"/>
      <c r="B882" s="57"/>
      <c r="C882" s="149"/>
      <c r="D882" s="149"/>
      <c r="E882" s="149"/>
      <c r="F882" s="149"/>
      <c r="G882" s="57"/>
      <c r="H882" s="151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5.75" customHeight="1">
      <c r="A883" s="149"/>
      <c r="B883" s="57"/>
      <c r="C883" s="149"/>
      <c r="D883" s="149"/>
      <c r="E883" s="149"/>
      <c r="F883" s="149"/>
      <c r="G883" s="57"/>
      <c r="H883" s="151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5.75" customHeight="1">
      <c r="A884" s="149"/>
      <c r="B884" s="57"/>
      <c r="C884" s="149"/>
      <c r="D884" s="149"/>
      <c r="E884" s="149"/>
      <c r="F884" s="149"/>
      <c r="G884" s="57"/>
      <c r="H884" s="151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5.75" customHeight="1">
      <c r="A885" s="149"/>
      <c r="B885" s="57"/>
      <c r="C885" s="149"/>
      <c r="D885" s="149"/>
      <c r="E885" s="149"/>
      <c r="F885" s="149"/>
      <c r="G885" s="57"/>
      <c r="H885" s="151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5.75" customHeight="1">
      <c r="A886" s="149"/>
      <c r="B886" s="57"/>
      <c r="C886" s="149"/>
      <c r="D886" s="149"/>
      <c r="E886" s="149"/>
      <c r="F886" s="149"/>
      <c r="G886" s="57"/>
      <c r="H886" s="151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5.75" customHeight="1">
      <c r="A887" s="149"/>
      <c r="B887" s="57"/>
      <c r="C887" s="149"/>
      <c r="D887" s="149"/>
      <c r="E887" s="149"/>
      <c r="F887" s="149"/>
      <c r="G887" s="57"/>
      <c r="H887" s="151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5.75" customHeight="1">
      <c r="A888" s="149"/>
      <c r="B888" s="57"/>
      <c r="C888" s="149"/>
      <c r="D888" s="149"/>
      <c r="E888" s="149"/>
      <c r="F888" s="149"/>
      <c r="G888" s="57"/>
      <c r="H888" s="151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5.75" customHeight="1">
      <c r="A889" s="149"/>
      <c r="B889" s="57"/>
      <c r="C889" s="149"/>
      <c r="D889" s="149"/>
      <c r="E889" s="149"/>
      <c r="F889" s="149"/>
      <c r="G889" s="57"/>
      <c r="H889" s="151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5.75" customHeight="1">
      <c r="A890" s="149"/>
      <c r="B890" s="57"/>
      <c r="C890" s="149"/>
      <c r="D890" s="149"/>
      <c r="E890" s="149"/>
      <c r="F890" s="149"/>
      <c r="G890" s="57"/>
      <c r="H890" s="151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5.75" customHeight="1">
      <c r="A891" s="149"/>
      <c r="B891" s="57"/>
      <c r="C891" s="149"/>
      <c r="D891" s="149"/>
      <c r="E891" s="149"/>
      <c r="F891" s="149"/>
      <c r="G891" s="57"/>
      <c r="H891" s="151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5.75" customHeight="1">
      <c r="A892" s="149"/>
      <c r="B892" s="57"/>
      <c r="C892" s="149"/>
      <c r="D892" s="149"/>
      <c r="E892" s="149"/>
      <c r="F892" s="149"/>
      <c r="G892" s="57"/>
      <c r="H892" s="151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5.75" customHeight="1">
      <c r="A893" s="149"/>
      <c r="B893" s="57"/>
      <c r="C893" s="149"/>
      <c r="D893" s="149"/>
      <c r="E893" s="149"/>
      <c r="F893" s="149"/>
      <c r="G893" s="57"/>
      <c r="H893" s="151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5.75" customHeight="1">
      <c r="A894" s="149"/>
      <c r="B894" s="57"/>
      <c r="C894" s="149"/>
      <c r="D894" s="149"/>
      <c r="E894" s="149"/>
      <c r="F894" s="149"/>
      <c r="G894" s="57"/>
      <c r="H894" s="151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5.75" customHeight="1">
      <c r="A895" s="149"/>
      <c r="B895" s="57"/>
      <c r="C895" s="149"/>
      <c r="D895" s="149"/>
      <c r="E895" s="149"/>
      <c r="F895" s="149"/>
      <c r="G895" s="57"/>
      <c r="H895" s="151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5.75" customHeight="1">
      <c r="A896" s="149"/>
      <c r="B896" s="57"/>
      <c r="C896" s="149"/>
      <c r="D896" s="149"/>
      <c r="E896" s="149"/>
      <c r="F896" s="149"/>
      <c r="G896" s="57"/>
      <c r="H896" s="151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5.75" customHeight="1">
      <c r="A897" s="149"/>
      <c r="B897" s="57"/>
      <c r="C897" s="149"/>
      <c r="D897" s="149"/>
      <c r="E897" s="149"/>
      <c r="F897" s="149"/>
      <c r="G897" s="57"/>
      <c r="H897" s="151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5.75" customHeight="1">
      <c r="A898" s="149"/>
      <c r="B898" s="57"/>
      <c r="C898" s="149"/>
      <c r="D898" s="149"/>
      <c r="E898" s="149"/>
      <c r="F898" s="149"/>
      <c r="G898" s="57"/>
      <c r="H898" s="151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ht="15.75" customHeight="1">
      <c r="A899" s="149"/>
      <c r="B899" s="57"/>
      <c r="C899" s="149"/>
      <c r="D899" s="149"/>
      <c r="E899" s="149"/>
      <c r="F899" s="149"/>
      <c r="G899" s="57"/>
      <c r="H899" s="151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ht="15.75" customHeight="1">
      <c r="A900" s="149"/>
      <c r="B900" s="57"/>
      <c r="C900" s="149"/>
      <c r="D900" s="149"/>
      <c r="E900" s="149"/>
      <c r="F900" s="149"/>
      <c r="G900" s="57"/>
      <c r="H900" s="151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ht="15.75" customHeight="1">
      <c r="A901" s="149"/>
      <c r="B901" s="57"/>
      <c r="C901" s="149"/>
      <c r="D901" s="149"/>
      <c r="E901" s="149"/>
      <c r="F901" s="149"/>
      <c r="G901" s="57"/>
      <c r="H901" s="151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ht="15.75" customHeight="1">
      <c r="A902" s="149"/>
      <c r="B902" s="57"/>
      <c r="C902" s="149"/>
      <c r="D902" s="149"/>
      <c r="E902" s="149"/>
      <c r="F902" s="149"/>
      <c r="G902" s="57"/>
      <c r="H902" s="151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ht="15.75" customHeight="1">
      <c r="A903" s="149"/>
      <c r="B903" s="57"/>
      <c r="C903" s="149"/>
      <c r="D903" s="149"/>
      <c r="E903" s="149"/>
      <c r="F903" s="149"/>
      <c r="G903" s="57"/>
      <c r="H903" s="151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ht="15.75" customHeight="1">
      <c r="A904" s="149"/>
      <c r="B904" s="57"/>
      <c r="C904" s="149"/>
      <c r="D904" s="149"/>
      <c r="E904" s="149"/>
      <c r="F904" s="149"/>
      <c r="G904" s="57"/>
      <c r="H904" s="151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ht="15.75" customHeight="1">
      <c r="A905" s="149"/>
      <c r="B905" s="57"/>
      <c r="C905" s="149"/>
      <c r="D905" s="149"/>
      <c r="E905" s="149"/>
      <c r="F905" s="149"/>
      <c r="G905" s="57"/>
      <c r="H905" s="151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ht="15.75" customHeight="1">
      <c r="A906" s="149"/>
      <c r="B906" s="57"/>
      <c r="C906" s="149"/>
      <c r="D906" s="149"/>
      <c r="E906" s="149"/>
      <c r="F906" s="149"/>
      <c r="G906" s="57"/>
      <c r="H906" s="151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ht="15.75" customHeight="1">
      <c r="A907" s="149"/>
      <c r="B907" s="57"/>
      <c r="C907" s="149"/>
      <c r="D907" s="149"/>
      <c r="E907" s="149"/>
      <c r="F907" s="149"/>
      <c r="G907" s="57"/>
      <c r="H907" s="151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ht="15.75" customHeight="1">
      <c r="A908" s="149"/>
      <c r="B908" s="57"/>
      <c r="C908" s="149"/>
      <c r="D908" s="149"/>
      <c r="E908" s="149"/>
      <c r="F908" s="149"/>
      <c r="G908" s="57"/>
      <c r="H908" s="151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ht="15.75" customHeight="1">
      <c r="A909" s="149"/>
      <c r="B909" s="57"/>
      <c r="C909" s="149"/>
      <c r="D909" s="149"/>
      <c r="E909" s="149"/>
      <c r="F909" s="149"/>
      <c r="G909" s="57"/>
      <c r="H909" s="151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15.75" customHeight="1">
      <c r="A910" s="149"/>
      <c r="B910" s="57"/>
      <c r="C910" s="149"/>
      <c r="D910" s="149"/>
      <c r="E910" s="149"/>
      <c r="F910" s="149"/>
      <c r="G910" s="57"/>
      <c r="H910" s="151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ht="15.75" customHeight="1">
      <c r="A911" s="149"/>
      <c r="B911" s="57"/>
      <c r="C911" s="149"/>
      <c r="D911" s="149"/>
      <c r="E911" s="149"/>
      <c r="F911" s="149"/>
      <c r="G911" s="57"/>
      <c r="H911" s="151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ht="15.75" customHeight="1">
      <c r="A912" s="149"/>
      <c r="B912" s="57"/>
      <c r="C912" s="149"/>
      <c r="D912" s="149"/>
      <c r="E912" s="149"/>
      <c r="F912" s="149"/>
      <c r="G912" s="57"/>
      <c r="H912" s="151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ht="15.75" customHeight="1">
      <c r="A913" s="149"/>
      <c r="B913" s="57"/>
      <c r="C913" s="149"/>
      <c r="D913" s="149"/>
      <c r="E913" s="149"/>
      <c r="F913" s="149"/>
      <c r="G913" s="57"/>
      <c r="H913" s="151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ht="15.75" customHeight="1">
      <c r="A914" s="149"/>
      <c r="B914" s="57"/>
      <c r="C914" s="149"/>
      <c r="D914" s="149"/>
      <c r="E914" s="149"/>
      <c r="F914" s="149"/>
      <c r="G914" s="57"/>
      <c r="H914" s="151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ht="15.75" customHeight="1">
      <c r="A915" s="149"/>
      <c r="B915" s="57"/>
      <c r="C915" s="149"/>
      <c r="D915" s="149"/>
      <c r="E915" s="149"/>
      <c r="F915" s="149"/>
      <c r="G915" s="57"/>
      <c r="H915" s="151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ht="15.75" customHeight="1">
      <c r="A916" s="149"/>
      <c r="B916" s="57"/>
      <c r="C916" s="149"/>
      <c r="D916" s="149"/>
      <c r="E916" s="149"/>
      <c r="F916" s="149"/>
      <c r="G916" s="57"/>
      <c r="H916" s="151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ht="15.75" customHeight="1">
      <c r="A917" s="149"/>
      <c r="B917" s="57"/>
      <c r="C917" s="149"/>
      <c r="D917" s="149"/>
      <c r="E917" s="149"/>
      <c r="F917" s="149"/>
      <c r="G917" s="57"/>
      <c r="H917" s="151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ht="15.75" customHeight="1">
      <c r="A918" s="149"/>
      <c r="B918" s="57"/>
      <c r="C918" s="149"/>
      <c r="D918" s="149"/>
      <c r="E918" s="149"/>
      <c r="F918" s="149"/>
      <c r="G918" s="57"/>
      <c r="H918" s="151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ht="15.75" customHeight="1">
      <c r="A919" s="149"/>
      <c r="B919" s="57"/>
      <c r="C919" s="149"/>
      <c r="D919" s="149"/>
      <c r="E919" s="149"/>
      <c r="F919" s="149"/>
      <c r="G919" s="57"/>
      <c r="H919" s="151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ht="15.75" customHeight="1">
      <c r="A920" s="149"/>
      <c r="B920" s="57"/>
      <c r="C920" s="149"/>
      <c r="D920" s="149"/>
      <c r="E920" s="149"/>
      <c r="F920" s="149"/>
      <c r="G920" s="57"/>
      <c r="H920" s="151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ht="15.75" customHeight="1">
      <c r="A921" s="149"/>
      <c r="B921" s="57"/>
      <c r="C921" s="149"/>
      <c r="D921" s="149"/>
      <c r="E921" s="149"/>
      <c r="F921" s="149"/>
      <c r="G921" s="57"/>
      <c r="H921" s="151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ht="15.75" customHeight="1">
      <c r="A922" s="149"/>
      <c r="B922" s="57"/>
      <c r="C922" s="149"/>
      <c r="D922" s="149"/>
      <c r="E922" s="149"/>
      <c r="F922" s="149"/>
      <c r="G922" s="57"/>
      <c r="H922" s="151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ht="15.75" customHeight="1">
      <c r="A923" s="149"/>
      <c r="B923" s="57"/>
      <c r="C923" s="149"/>
      <c r="D923" s="149"/>
      <c r="E923" s="149"/>
      <c r="F923" s="149"/>
      <c r="G923" s="57"/>
      <c r="H923" s="151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ht="15.75" customHeight="1">
      <c r="A924" s="149"/>
      <c r="B924" s="57"/>
      <c r="C924" s="149"/>
      <c r="D924" s="149"/>
      <c r="E924" s="149"/>
      <c r="F924" s="149"/>
      <c r="G924" s="57"/>
      <c r="H924" s="151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ht="15.75" customHeight="1">
      <c r="A925" s="149"/>
      <c r="B925" s="57"/>
      <c r="C925" s="149"/>
      <c r="D925" s="149"/>
      <c r="E925" s="149"/>
      <c r="F925" s="149"/>
      <c r="G925" s="57"/>
      <c r="H925" s="151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ht="15.75" customHeight="1">
      <c r="A926" s="149"/>
      <c r="B926" s="57"/>
      <c r="C926" s="149"/>
      <c r="D926" s="149"/>
      <c r="E926" s="149"/>
      <c r="F926" s="149"/>
      <c r="G926" s="57"/>
      <c r="H926" s="151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ht="15.75" customHeight="1">
      <c r="A927" s="149"/>
      <c r="B927" s="57"/>
      <c r="C927" s="149"/>
      <c r="D927" s="149"/>
      <c r="E927" s="149"/>
      <c r="F927" s="149"/>
      <c r="G927" s="57"/>
      <c r="H927" s="151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ht="15.75" customHeight="1">
      <c r="A928" s="149"/>
      <c r="B928" s="57"/>
      <c r="C928" s="149"/>
      <c r="D928" s="149"/>
      <c r="E928" s="149"/>
      <c r="F928" s="149"/>
      <c r="G928" s="57"/>
      <c r="H928" s="151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ht="15.75" customHeight="1">
      <c r="A929" s="149"/>
      <c r="B929" s="57"/>
      <c r="C929" s="149"/>
      <c r="D929" s="149"/>
      <c r="E929" s="149"/>
      <c r="F929" s="149"/>
      <c r="G929" s="57"/>
      <c r="H929" s="151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ht="15.75" customHeight="1">
      <c r="A930" s="149"/>
      <c r="B930" s="57"/>
      <c r="C930" s="149"/>
      <c r="D930" s="149"/>
      <c r="E930" s="149"/>
      <c r="F930" s="149"/>
      <c r="G930" s="57"/>
      <c r="H930" s="151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15.75" customHeight="1">
      <c r="A931" s="149"/>
      <c r="B931" s="57"/>
      <c r="C931" s="149"/>
      <c r="D931" s="149"/>
      <c r="E931" s="149"/>
      <c r="F931" s="149"/>
      <c r="G931" s="57"/>
      <c r="H931" s="151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ht="15.75" customHeight="1">
      <c r="A932" s="149"/>
      <c r="B932" s="57"/>
      <c r="C932" s="149"/>
      <c r="D932" s="149"/>
      <c r="E932" s="149"/>
      <c r="F932" s="149"/>
      <c r="G932" s="57"/>
      <c r="H932" s="151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ht="15.75" customHeight="1">
      <c r="A933" s="149"/>
      <c r="B933" s="57"/>
      <c r="C933" s="149"/>
      <c r="D933" s="149"/>
      <c r="E933" s="149"/>
      <c r="F933" s="149"/>
      <c r="G933" s="57"/>
      <c r="H933" s="151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15.75" customHeight="1">
      <c r="A934" s="149"/>
      <c r="B934" s="57"/>
      <c r="C934" s="149"/>
      <c r="D934" s="149"/>
      <c r="E934" s="149"/>
      <c r="F934" s="149"/>
      <c r="G934" s="57"/>
      <c r="H934" s="151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ht="15.75" customHeight="1">
      <c r="A935" s="149"/>
      <c r="B935" s="57"/>
      <c r="C935" s="149"/>
      <c r="D935" s="149"/>
      <c r="E935" s="149"/>
      <c r="F935" s="149"/>
      <c r="G935" s="57"/>
      <c r="H935" s="151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ht="15.75" customHeight="1">
      <c r="A936" s="149"/>
      <c r="B936" s="57"/>
      <c r="C936" s="149"/>
      <c r="D936" s="149"/>
      <c r="E936" s="149"/>
      <c r="F936" s="149"/>
      <c r="G936" s="57"/>
      <c r="H936" s="151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ht="15.75" customHeight="1">
      <c r="A937" s="149"/>
      <c r="B937" s="57"/>
      <c r="C937" s="149"/>
      <c r="D937" s="149"/>
      <c r="E937" s="149"/>
      <c r="F937" s="149"/>
      <c r="G937" s="57"/>
      <c r="H937" s="151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ht="15.75" customHeight="1">
      <c r="A938" s="149"/>
      <c r="B938" s="57"/>
      <c r="C938" s="149"/>
      <c r="D938" s="149"/>
      <c r="E938" s="149"/>
      <c r="F938" s="149"/>
      <c r="G938" s="57"/>
      <c r="H938" s="151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ht="15.75" customHeight="1">
      <c r="A939" s="149"/>
      <c r="B939" s="57"/>
      <c r="C939" s="149"/>
      <c r="D939" s="149"/>
      <c r="E939" s="149"/>
      <c r="F939" s="149"/>
      <c r="G939" s="57"/>
      <c r="H939" s="151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ht="15.75" customHeight="1">
      <c r="A940" s="149"/>
      <c r="B940" s="57"/>
      <c r="C940" s="149"/>
      <c r="D940" s="149"/>
      <c r="E940" s="149"/>
      <c r="F940" s="149"/>
      <c r="G940" s="57"/>
      <c r="H940" s="151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ht="15.75" customHeight="1">
      <c r="A941" s="149"/>
      <c r="B941" s="57"/>
      <c r="C941" s="149"/>
      <c r="D941" s="149"/>
      <c r="E941" s="149"/>
      <c r="F941" s="149"/>
      <c r="G941" s="57"/>
      <c r="H941" s="151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ht="15.75" customHeight="1">
      <c r="A942" s="149"/>
      <c r="B942" s="57"/>
      <c r="C942" s="149"/>
      <c r="D942" s="149"/>
      <c r="E942" s="149"/>
      <c r="F942" s="149"/>
      <c r="G942" s="57"/>
      <c r="H942" s="151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ht="15.75" customHeight="1">
      <c r="A943" s="149"/>
      <c r="B943" s="57"/>
      <c r="C943" s="149"/>
      <c r="D943" s="149"/>
      <c r="E943" s="149"/>
      <c r="F943" s="149"/>
      <c r="G943" s="57"/>
      <c r="H943" s="151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ht="15.75" customHeight="1">
      <c r="A944" s="149"/>
      <c r="B944" s="57"/>
      <c r="C944" s="149"/>
      <c r="D944" s="149"/>
      <c r="E944" s="149"/>
      <c r="F944" s="149"/>
      <c r="G944" s="57"/>
      <c r="H944" s="151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ht="15.75" customHeight="1">
      <c r="A945" s="149"/>
      <c r="B945" s="57"/>
      <c r="C945" s="149"/>
      <c r="D945" s="149"/>
      <c r="E945" s="149"/>
      <c r="F945" s="149"/>
      <c r="G945" s="57"/>
      <c r="H945" s="151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ht="15.75" customHeight="1">
      <c r="A946" s="149"/>
      <c r="B946" s="57"/>
      <c r="C946" s="149"/>
      <c r="D946" s="149"/>
      <c r="E946" s="149"/>
      <c r="F946" s="149"/>
      <c r="G946" s="57"/>
      <c r="H946" s="151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ht="15.75" customHeight="1">
      <c r="A947" s="149"/>
      <c r="B947" s="57"/>
      <c r="C947" s="149"/>
      <c r="D947" s="149"/>
      <c r="E947" s="149"/>
      <c r="F947" s="149"/>
      <c r="G947" s="57"/>
      <c r="H947" s="151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ht="15.75" customHeight="1">
      <c r="A948" s="149"/>
      <c r="B948" s="57"/>
      <c r="C948" s="149"/>
      <c r="D948" s="149"/>
      <c r="E948" s="149"/>
      <c r="F948" s="149"/>
      <c r="G948" s="57"/>
      <c r="H948" s="151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ht="15.75" customHeight="1">
      <c r="A949" s="149"/>
      <c r="B949" s="57"/>
      <c r="C949" s="149"/>
      <c r="D949" s="149"/>
      <c r="E949" s="149"/>
      <c r="F949" s="149"/>
      <c r="G949" s="57"/>
      <c r="H949" s="151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ht="15.75" customHeight="1">
      <c r="A950" s="149"/>
      <c r="B950" s="57"/>
      <c r="C950" s="149"/>
      <c r="D950" s="149"/>
      <c r="E950" s="149"/>
      <c r="F950" s="149"/>
      <c r="G950" s="57"/>
      <c r="H950" s="151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ht="15.75" customHeight="1">
      <c r="A951" s="149"/>
      <c r="B951" s="57"/>
      <c r="C951" s="149"/>
      <c r="D951" s="149"/>
      <c r="E951" s="149"/>
      <c r="F951" s="149"/>
      <c r="G951" s="57"/>
      <c r="H951" s="151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ht="15.75" customHeight="1">
      <c r="A952" s="149"/>
      <c r="B952" s="57"/>
      <c r="C952" s="149"/>
      <c r="D952" s="149"/>
      <c r="E952" s="149"/>
      <c r="F952" s="149"/>
      <c r="G952" s="57"/>
      <c r="H952" s="151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ht="15.75" customHeight="1">
      <c r="A953" s="149"/>
      <c r="B953" s="57"/>
      <c r="C953" s="149"/>
      <c r="D953" s="149"/>
      <c r="E953" s="149"/>
      <c r="F953" s="149"/>
      <c r="G953" s="57"/>
      <c r="H953" s="151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ht="15.75" customHeight="1">
      <c r="A954" s="149"/>
      <c r="B954" s="57"/>
      <c r="C954" s="149"/>
      <c r="D954" s="149"/>
      <c r="E954" s="149"/>
      <c r="F954" s="149"/>
      <c r="G954" s="57"/>
      <c r="H954" s="151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ht="15.75" customHeight="1">
      <c r="A955" s="149"/>
      <c r="B955" s="57"/>
      <c r="C955" s="149"/>
      <c r="D955" s="149"/>
      <c r="E955" s="149"/>
      <c r="F955" s="149"/>
      <c r="G955" s="57"/>
      <c r="H955" s="151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ht="15.75" customHeight="1">
      <c r="A956" s="149"/>
      <c r="B956" s="57"/>
      <c r="C956" s="149"/>
      <c r="D956" s="149"/>
      <c r="E956" s="149"/>
      <c r="F956" s="149"/>
      <c r="G956" s="57"/>
      <c r="H956" s="151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ht="15.75" customHeight="1">
      <c r="A957" s="149"/>
      <c r="B957" s="57"/>
      <c r="C957" s="149"/>
      <c r="D957" s="149"/>
      <c r="E957" s="149"/>
      <c r="F957" s="149"/>
      <c r="G957" s="57"/>
      <c r="H957" s="151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ht="15.75" customHeight="1">
      <c r="A958" s="149"/>
      <c r="B958" s="57"/>
      <c r="C958" s="149"/>
      <c r="D958" s="149"/>
      <c r="E958" s="149"/>
      <c r="F958" s="149"/>
      <c r="G958" s="57"/>
      <c r="H958" s="151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ht="15.75" customHeight="1">
      <c r="A959" s="149"/>
      <c r="B959" s="57"/>
      <c r="C959" s="149"/>
      <c r="D959" s="149"/>
      <c r="E959" s="149"/>
      <c r="F959" s="149"/>
      <c r="G959" s="57"/>
      <c r="H959" s="151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ht="15.75" customHeight="1">
      <c r="A960" s="149"/>
      <c r="B960" s="57"/>
      <c r="C960" s="149"/>
      <c r="D960" s="149"/>
      <c r="E960" s="149"/>
      <c r="F960" s="149"/>
      <c r="G960" s="57"/>
      <c r="H960" s="151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ht="15.75" customHeight="1">
      <c r="A961" s="149"/>
      <c r="B961" s="57"/>
      <c r="C961" s="149"/>
      <c r="D961" s="149"/>
      <c r="E961" s="149"/>
      <c r="F961" s="149"/>
      <c r="G961" s="57"/>
      <c r="H961" s="151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ht="15.75" customHeight="1">
      <c r="A962" s="149"/>
      <c r="B962" s="57"/>
      <c r="C962" s="149"/>
      <c r="D962" s="149"/>
      <c r="E962" s="149"/>
      <c r="F962" s="149"/>
      <c r="G962" s="57"/>
      <c r="H962" s="151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ht="15.75" customHeight="1">
      <c r="A963" s="149"/>
      <c r="B963" s="57"/>
      <c r="C963" s="149"/>
      <c r="D963" s="149"/>
      <c r="E963" s="149"/>
      <c r="F963" s="149"/>
      <c r="G963" s="57"/>
      <c r="H963" s="151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ht="15.75" customHeight="1">
      <c r="A964" s="149"/>
      <c r="B964" s="57"/>
      <c r="C964" s="149"/>
      <c r="D964" s="149"/>
      <c r="E964" s="149"/>
      <c r="F964" s="149"/>
      <c r="G964" s="57"/>
      <c r="H964" s="151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ht="15.75" customHeight="1">
      <c r="A965" s="149"/>
      <c r="B965" s="57"/>
      <c r="C965" s="149"/>
      <c r="D965" s="149"/>
      <c r="E965" s="149"/>
      <c r="F965" s="149"/>
      <c r="G965" s="57"/>
      <c r="H965" s="151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ht="15.75" customHeight="1">
      <c r="A966" s="149"/>
      <c r="B966" s="57"/>
      <c r="C966" s="149"/>
      <c r="D966" s="149"/>
      <c r="E966" s="149"/>
      <c r="F966" s="149"/>
      <c r="G966" s="57"/>
      <c r="H966" s="151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ht="15.75" customHeight="1">
      <c r="A967" s="149"/>
      <c r="B967" s="57"/>
      <c r="C967" s="149"/>
      <c r="D967" s="149"/>
      <c r="E967" s="149"/>
      <c r="F967" s="149"/>
      <c r="G967" s="57"/>
      <c r="H967" s="151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ht="15.75" customHeight="1">
      <c r="A968" s="149"/>
      <c r="B968" s="57"/>
      <c r="C968" s="149"/>
      <c r="D968" s="149"/>
      <c r="E968" s="149"/>
      <c r="F968" s="149"/>
      <c r="G968" s="57"/>
      <c r="H968" s="151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ht="15.75" customHeight="1">
      <c r="A969" s="149"/>
      <c r="B969" s="57"/>
      <c r="C969" s="149"/>
      <c r="D969" s="149"/>
      <c r="E969" s="149"/>
      <c r="F969" s="149"/>
      <c r="G969" s="57"/>
      <c r="H969" s="151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ht="15.75" customHeight="1">
      <c r="A970" s="149"/>
      <c r="B970" s="57"/>
      <c r="C970" s="149"/>
      <c r="D970" s="149"/>
      <c r="E970" s="149"/>
      <c r="F970" s="149"/>
      <c r="G970" s="57"/>
      <c r="H970" s="151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ht="15.75" customHeight="1">
      <c r="A971" s="149"/>
      <c r="B971" s="57"/>
      <c r="C971" s="149"/>
      <c r="D971" s="149"/>
      <c r="E971" s="149"/>
      <c r="F971" s="149"/>
      <c r="G971" s="57"/>
      <c r="H971" s="151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ht="15.75" customHeight="1">
      <c r="A972" s="149"/>
      <c r="B972" s="57"/>
      <c r="C972" s="149"/>
      <c r="D972" s="149"/>
      <c r="E972" s="149"/>
      <c r="F972" s="149"/>
      <c r="G972" s="57"/>
      <c r="H972" s="151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ht="15.75" customHeight="1">
      <c r="A973" s="149"/>
      <c r="B973" s="57"/>
      <c r="C973" s="149"/>
      <c r="D973" s="149"/>
      <c r="E973" s="149"/>
      <c r="F973" s="149"/>
      <c r="G973" s="57"/>
      <c r="H973" s="151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ht="15.75" customHeight="1">
      <c r="A974" s="149"/>
      <c r="B974" s="57"/>
      <c r="C974" s="149"/>
      <c r="D974" s="149"/>
      <c r="E974" s="149"/>
      <c r="F974" s="149"/>
      <c r="G974" s="57"/>
      <c r="H974" s="151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ht="15.75" customHeight="1">
      <c r="A975" s="149"/>
      <c r="B975" s="57"/>
      <c r="C975" s="149"/>
      <c r="D975" s="149"/>
      <c r="E975" s="149"/>
      <c r="F975" s="149"/>
      <c r="G975" s="57"/>
      <c r="H975" s="151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ht="15.75" customHeight="1">
      <c r="A976" s="149"/>
      <c r="B976" s="57"/>
      <c r="C976" s="149"/>
      <c r="D976" s="149"/>
      <c r="E976" s="149"/>
      <c r="F976" s="149"/>
      <c r="G976" s="57"/>
      <c r="H976" s="151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ht="15.75" customHeight="1">
      <c r="A977" s="149"/>
      <c r="B977" s="57"/>
      <c r="C977" s="149"/>
      <c r="D977" s="149"/>
      <c r="E977" s="149"/>
      <c r="F977" s="149"/>
      <c r="G977" s="57"/>
      <c r="H977" s="151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15.75" customHeight="1">
      <c r="A978" s="149"/>
      <c r="B978" s="57"/>
      <c r="C978" s="149"/>
      <c r="D978" s="149"/>
      <c r="E978" s="149"/>
      <c r="F978" s="149"/>
      <c r="G978" s="57"/>
      <c r="H978" s="151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ht="15.75" customHeight="1">
      <c r="A979" s="149"/>
      <c r="B979" s="57"/>
      <c r="C979" s="149"/>
      <c r="D979" s="149"/>
      <c r="E979" s="149"/>
      <c r="F979" s="149"/>
      <c r="G979" s="57"/>
      <c r="H979" s="151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ht="15.75" customHeight="1">
      <c r="A980" s="149"/>
      <c r="B980" s="57"/>
      <c r="C980" s="149"/>
      <c r="D980" s="149"/>
      <c r="E980" s="149"/>
      <c r="F980" s="149"/>
      <c r="G980" s="57"/>
      <c r="H980" s="151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ht="15.75" customHeight="1">
      <c r="A981" s="149"/>
      <c r="B981" s="57"/>
      <c r="C981" s="149"/>
      <c r="D981" s="149"/>
      <c r="E981" s="149"/>
      <c r="F981" s="149"/>
      <c r="G981" s="57"/>
      <c r="H981" s="151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ht="15.75" customHeight="1">
      <c r="A982" s="149"/>
      <c r="B982" s="57"/>
      <c r="C982" s="149"/>
      <c r="D982" s="149"/>
      <c r="E982" s="149"/>
      <c r="F982" s="149"/>
      <c r="G982" s="57"/>
      <c r="H982" s="151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ht="15.75" customHeight="1">
      <c r="A983" s="149"/>
      <c r="B983" s="57"/>
      <c r="C983" s="149"/>
      <c r="D983" s="149"/>
      <c r="E983" s="149"/>
      <c r="F983" s="149"/>
      <c r="G983" s="57"/>
      <c r="H983" s="151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ht="15.75" customHeight="1">
      <c r="A984" s="149"/>
      <c r="B984" s="57"/>
      <c r="C984" s="149"/>
      <c r="D984" s="149"/>
      <c r="E984" s="149"/>
      <c r="F984" s="149"/>
      <c r="G984" s="57"/>
      <c r="H984" s="151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ht="15.75" customHeight="1">
      <c r="A985" s="149"/>
      <c r="B985" s="57"/>
      <c r="C985" s="149"/>
      <c r="D985" s="149"/>
      <c r="E985" s="149"/>
      <c r="F985" s="149"/>
      <c r="G985" s="57"/>
      <c r="H985" s="151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ht="15.75" customHeight="1">
      <c r="A986" s="149"/>
      <c r="B986" s="57"/>
      <c r="C986" s="149"/>
      <c r="D986" s="149"/>
      <c r="E986" s="149"/>
      <c r="F986" s="149"/>
      <c r="G986" s="57"/>
      <c r="H986" s="151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ht="15.75" customHeight="1">
      <c r="A987" s="149"/>
      <c r="B987" s="57"/>
      <c r="C987" s="149"/>
      <c r="D987" s="149"/>
      <c r="E987" s="149"/>
      <c r="F987" s="149"/>
      <c r="G987" s="57"/>
      <c r="H987" s="151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ht="15.75" customHeight="1">
      <c r="A988" s="149"/>
      <c r="B988" s="57"/>
      <c r="C988" s="149"/>
      <c r="D988" s="149"/>
      <c r="E988" s="149"/>
      <c r="F988" s="149"/>
      <c r="G988" s="57"/>
      <c r="H988" s="151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ht="15.75" customHeight="1">
      <c r="A989" s="149"/>
      <c r="B989" s="57"/>
      <c r="C989" s="149"/>
      <c r="D989" s="149"/>
      <c r="E989" s="149"/>
      <c r="F989" s="149"/>
      <c r="G989" s="57"/>
      <c r="H989" s="151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ht="15.75" customHeight="1">
      <c r="A990" s="149"/>
      <c r="B990" s="57"/>
      <c r="C990" s="149"/>
      <c r="D990" s="149"/>
      <c r="E990" s="149"/>
      <c r="F990" s="149"/>
      <c r="G990" s="57"/>
      <c r="H990" s="151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ht="15.75" customHeight="1">
      <c r="A991" s="149"/>
      <c r="B991" s="57"/>
      <c r="C991" s="149"/>
      <c r="D991" s="149"/>
      <c r="E991" s="149"/>
      <c r="F991" s="149"/>
      <c r="G991" s="57"/>
      <c r="H991" s="151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ht="15.75" customHeight="1">
      <c r="A992" s="149"/>
      <c r="B992" s="57"/>
      <c r="C992" s="149"/>
      <c r="D992" s="149"/>
      <c r="E992" s="149"/>
      <c r="F992" s="149"/>
      <c r="G992" s="57"/>
      <c r="H992" s="151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ht="15.75" customHeight="1">
      <c r="A993" s="149"/>
      <c r="B993" s="57"/>
      <c r="C993" s="149"/>
      <c r="D993" s="149"/>
      <c r="E993" s="149"/>
      <c r="F993" s="149"/>
      <c r="G993" s="57"/>
      <c r="H993" s="151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ht="15.75" customHeight="1">
      <c r="A994" s="149"/>
      <c r="B994" s="57"/>
      <c r="C994" s="149"/>
      <c r="D994" s="149"/>
      <c r="E994" s="149"/>
      <c r="F994" s="149"/>
      <c r="G994" s="57"/>
      <c r="H994" s="151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ht="15.75" customHeight="1">
      <c r="A995" s="149"/>
      <c r="B995" s="57"/>
      <c r="C995" s="149"/>
      <c r="D995" s="149"/>
      <c r="E995" s="149"/>
      <c r="F995" s="149"/>
      <c r="G995" s="57"/>
      <c r="H995" s="151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ht="15.75" customHeight="1">
      <c r="A996" s="149"/>
      <c r="B996" s="57"/>
      <c r="C996" s="149"/>
      <c r="D996" s="149"/>
      <c r="E996" s="149"/>
      <c r="F996" s="149"/>
      <c r="G996" s="57"/>
      <c r="H996" s="151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ht="15.75" customHeight="1">
      <c r="A997" s="149"/>
      <c r="B997" s="57"/>
      <c r="C997" s="149"/>
      <c r="D997" s="149"/>
      <c r="E997" s="149"/>
      <c r="F997" s="149"/>
      <c r="G997" s="57"/>
      <c r="H997" s="151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ht="15.75" customHeight="1">
      <c r="A998" s="149"/>
      <c r="B998" s="57"/>
      <c r="C998" s="149"/>
      <c r="D998" s="149"/>
      <c r="E998" s="149"/>
      <c r="F998" s="149"/>
      <c r="G998" s="57"/>
      <c r="H998" s="151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ht="15.75" customHeight="1">
      <c r="A999" s="149"/>
      <c r="B999" s="57"/>
      <c r="C999" s="149"/>
      <c r="D999" s="149"/>
      <c r="E999" s="149"/>
      <c r="F999" s="149"/>
      <c r="G999" s="57"/>
      <c r="H999" s="151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ht="15.75" customHeight="1">
      <c r="A1000" s="149"/>
      <c r="B1000" s="57"/>
      <c r="C1000" s="149"/>
      <c r="D1000" s="149"/>
      <c r="E1000" s="149"/>
      <c r="F1000" s="149"/>
      <c r="G1000" s="57"/>
      <c r="H1000" s="151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</sheetData>
  <mergeCells count="11">
    <mergeCell ref="D11:D12"/>
    <mergeCell ref="E11:E12"/>
    <mergeCell ref="B117:C117"/>
    <mergeCell ref="B5:F5"/>
    <mergeCell ref="B7:B12"/>
    <mergeCell ref="C7:C12"/>
    <mergeCell ref="D7:G10"/>
    <mergeCell ref="H7:H12"/>
    <mergeCell ref="I7:K11"/>
    <mergeCell ref="L7:L12"/>
    <mergeCell ref="F11:G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8.86"/>
    <col customWidth="1" min="2" max="2" width="8.71"/>
    <col customWidth="1" min="3" max="12" width="18.71"/>
    <col customWidth="1" min="13" max="13" width="21.57"/>
    <col customWidth="1" min="14" max="14" width="16.71"/>
    <col customWidth="1" min="15" max="15" width="14.29"/>
    <col customWidth="1" min="16" max="26" width="8.0"/>
  </cols>
  <sheetData>
    <row r="1" ht="13.5" customHeight="1">
      <c r="A1" s="286"/>
      <c r="B1" s="286" t="s">
        <v>221</v>
      </c>
      <c r="C1" s="286"/>
      <c r="D1" s="286"/>
      <c r="E1" s="286"/>
      <c r="F1" s="287"/>
      <c r="G1" s="286"/>
      <c r="H1" s="287"/>
      <c r="I1" s="288"/>
      <c r="J1" s="289"/>
      <c r="K1" s="288"/>
      <c r="L1" s="289"/>
      <c r="M1" s="290"/>
      <c r="N1" s="290"/>
      <c r="O1" s="291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ht="13.5" customHeight="1">
      <c r="A2" s="286"/>
      <c r="B2" s="286"/>
      <c r="C2" s="286"/>
      <c r="D2" s="286"/>
      <c r="E2" s="286"/>
      <c r="F2" s="287"/>
      <c r="G2" s="286"/>
      <c r="H2" s="287"/>
      <c r="I2" s="288"/>
      <c r="J2" s="289"/>
      <c r="K2" s="288"/>
      <c r="L2" s="289"/>
      <c r="M2" s="290"/>
      <c r="N2" s="290"/>
      <c r="O2" s="291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</row>
    <row r="3" ht="41.25" customHeight="1">
      <c r="A3" s="292"/>
      <c r="B3" s="292"/>
      <c r="C3" s="292"/>
      <c r="D3" s="292">
        <v>2022.0</v>
      </c>
      <c r="E3" s="292">
        <v>2023.0</v>
      </c>
      <c r="F3" s="293" t="s">
        <v>473</v>
      </c>
      <c r="G3" s="294">
        <v>2024.0</v>
      </c>
      <c r="H3" s="293" t="s">
        <v>474</v>
      </c>
      <c r="I3" s="294" t="s">
        <v>475</v>
      </c>
      <c r="J3" s="293" t="s">
        <v>476</v>
      </c>
      <c r="K3" s="292" t="s">
        <v>477</v>
      </c>
      <c r="L3" s="293" t="s">
        <v>478</v>
      </c>
      <c r="M3" s="295">
        <v>2026.0</v>
      </c>
      <c r="N3" s="296" t="s">
        <v>479</v>
      </c>
      <c r="O3" s="297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</row>
    <row r="4" ht="13.5" customHeight="1">
      <c r="A4" s="286"/>
      <c r="B4" s="298" t="s">
        <v>50</v>
      </c>
      <c r="C4" s="298" t="s">
        <v>51</v>
      </c>
      <c r="D4" s="298"/>
      <c r="E4" s="298"/>
      <c r="F4" s="299"/>
      <c r="G4" s="298"/>
      <c r="H4" s="299"/>
      <c r="I4" s="288"/>
      <c r="J4" s="289"/>
      <c r="K4" s="288"/>
      <c r="L4" s="289"/>
      <c r="M4" s="290"/>
      <c r="N4" s="290"/>
      <c r="O4" s="291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</row>
    <row r="5" ht="13.5" customHeight="1">
      <c r="A5" s="286"/>
      <c r="B5" s="298" t="s">
        <v>6</v>
      </c>
      <c r="C5" s="298" t="s">
        <v>52</v>
      </c>
      <c r="D5" s="288">
        <v>1.4950069503E9</v>
      </c>
      <c r="E5" s="288">
        <v>1.777257376E9</v>
      </c>
      <c r="F5" s="289">
        <f t="shared" ref="F5:F9" si="1">E5-D5</f>
        <v>282250425.7</v>
      </c>
      <c r="G5" s="288">
        <v>1.786205335E9</v>
      </c>
      <c r="H5" s="289">
        <f t="shared" ref="H5:H9" si="2">G5-E5</f>
        <v>8947959</v>
      </c>
      <c r="I5" s="288">
        <v>1.7867025595E9</v>
      </c>
      <c r="J5" s="289">
        <f t="shared" ref="J5:J9" si="3">I5-G5</f>
        <v>497224.5</v>
      </c>
      <c r="K5" s="288">
        <v>1.896390227E9</v>
      </c>
      <c r="L5" s="289">
        <f t="shared" ref="L5:L9" si="4">K5-G5</f>
        <v>110184892</v>
      </c>
      <c r="M5" s="290">
        <f>'lamp. sk'!H13</f>
        <v>2063806264</v>
      </c>
      <c r="N5" s="290">
        <f t="shared" ref="N5:N9" si="5">M5-I5</f>
        <v>277103704.5</v>
      </c>
      <c r="O5" s="291">
        <f t="shared" ref="O5:O9" si="6">N5/I5</f>
        <v>0.1550922413</v>
      </c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</row>
    <row r="6" ht="13.5" customHeight="1">
      <c r="A6" s="286"/>
      <c r="B6" s="298" t="s">
        <v>14</v>
      </c>
      <c r="C6" s="298" t="s">
        <v>53</v>
      </c>
      <c r="D6" s="288">
        <v>1.33144569181E9</v>
      </c>
      <c r="E6" s="288">
        <v>1.522442091E9</v>
      </c>
      <c r="F6" s="289">
        <f t="shared" si="1"/>
        <v>190996399.2</v>
      </c>
      <c r="G6" s="288">
        <v>1.535741924E9</v>
      </c>
      <c r="H6" s="289">
        <f t="shared" si="2"/>
        <v>13299833</v>
      </c>
      <c r="I6" s="288">
        <v>1.5329372257E9</v>
      </c>
      <c r="J6" s="289">
        <f t="shared" si="3"/>
        <v>-2804698.3</v>
      </c>
      <c r="K6" s="288">
        <v>1.625366159E9</v>
      </c>
      <c r="L6" s="289">
        <f t="shared" si="4"/>
        <v>89624235</v>
      </c>
      <c r="M6" s="290">
        <f>'lamp. sk'!H14</f>
        <v>1782256046</v>
      </c>
      <c r="N6" s="290">
        <f t="shared" si="5"/>
        <v>249318820.3</v>
      </c>
      <c r="O6" s="291">
        <f t="shared" si="6"/>
        <v>0.1626412459</v>
      </c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</row>
    <row r="7" ht="13.5" customHeight="1">
      <c r="A7" s="286"/>
      <c r="B7" s="298" t="s">
        <v>232</v>
      </c>
      <c r="C7" s="298" t="s">
        <v>54</v>
      </c>
      <c r="D7" s="288">
        <v>1.02170399649E9</v>
      </c>
      <c r="E7" s="288">
        <v>1.164858211E9</v>
      </c>
      <c r="F7" s="289">
        <f t="shared" si="1"/>
        <v>143154214.5</v>
      </c>
      <c r="G7" s="288">
        <v>1.165210517E9</v>
      </c>
      <c r="H7" s="289">
        <f t="shared" si="2"/>
        <v>352306</v>
      </c>
      <c r="I7" s="288">
        <v>1.1665735304E9</v>
      </c>
      <c r="J7" s="289">
        <f t="shared" si="3"/>
        <v>1363013.4</v>
      </c>
      <c r="K7" s="288">
        <v>1.242617644E9</v>
      </c>
      <c r="L7" s="289">
        <f t="shared" si="4"/>
        <v>77407127</v>
      </c>
      <c r="M7" s="290">
        <f>'lamp. sk'!H15</f>
        <v>1397500762</v>
      </c>
      <c r="N7" s="290">
        <f t="shared" si="5"/>
        <v>230927231.6</v>
      </c>
      <c r="O7" s="291">
        <f t="shared" si="6"/>
        <v>0.1979534299</v>
      </c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ht="13.5" customHeight="1">
      <c r="A8" s="286"/>
      <c r="B8" s="298" t="s">
        <v>233</v>
      </c>
      <c r="C8" s="298" t="s">
        <v>55</v>
      </c>
      <c r="D8" s="288">
        <v>1.00904026104E9</v>
      </c>
      <c r="E8" s="288">
        <v>1.13064541E9</v>
      </c>
      <c r="F8" s="289">
        <f t="shared" si="1"/>
        <v>121605149</v>
      </c>
      <c r="G8" s="288">
        <v>1.134564912E9</v>
      </c>
      <c r="H8" s="289">
        <f t="shared" si="2"/>
        <v>3919502</v>
      </c>
      <c r="I8" s="288">
        <v>1.1355329399E9</v>
      </c>
      <c r="J8" s="289">
        <f t="shared" si="3"/>
        <v>968027.9</v>
      </c>
      <c r="K8" s="288">
        <v>1.211679327E9</v>
      </c>
      <c r="L8" s="289">
        <f t="shared" si="4"/>
        <v>77114415</v>
      </c>
      <c r="M8" s="290">
        <f>'lamp. sk'!H16</f>
        <v>1386812721</v>
      </c>
      <c r="N8" s="290">
        <f t="shared" si="5"/>
        <v>251279781.1</v>
      </c>
      <c r="O8" s="291">
        <f t="shared" si="6"/>
        <v>0.2212879717</v>
      </c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</row>
    <row r="9" ht="13.5" customHeight="1">
      <c r="A9" s="286"/>
      <c r="B9" s="298" t="s">
        <v>234</v>
      </c>
      <c r="C9" s="298" t="s">
        <v>56</v>
      </c>
      <c r="D9" s="288">
        <v>1.23248996062E9</v>
      </c>
      <c r="E9" s="288">
        <v>1.413371888E9</v>
      </c>
      <c r="F9" s="289">
        <f t="shared" si="1"/>
        <v>180881927.4</v>
      </c>
      <c r="G9" s="288">
        <v>1.425476157E9</v>
      </c>
      <c r="H9" s="289">
        <f t="shared" si="2"/>
        <v>12104269</v>
      </c>
      <c r="I9" s="288">
        <v>1.4184544318E9</v>
      </c>
      <c r="J9" s="289">
        <f t="shared" si="3"/>
        <v>-7021725.2</v>
      </c>
      <c r="K9" s="288">
        <v>1.498929892E9</v>
      </c>
      <c r="L9" s="289">
        <f t="shared" si="4"/>
        <v>73453735</v>
      </c>
      <c r="M9" s="290">
        <f>'lamp. sk'!H17</f>
        <v>1666370328</v>
      </c>
      <c r="N9" s="290">
        <f t="shared" si="5"/>
        <v>247915896.2</v>
      </c>
      <c r="O9" s="291">
        <f t="shared" si="6"/>
        <v>0.1747788936</v>
      </c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</row>
    <row r="10" ht="13.5" customHeight="1">
      <c r="A10" s="286"/>
      <c r="B10" s="298" t="s">
        <v>57</v>
      </c>
      <c r="C10" s="298" t="s">
        <v>58</v>
      </c>
      <c r="D10" s="288"/>
      <c r="E10" s="288"/>
      <c r="F10" s="289"/>
      <c r="G10" s="288"/>
      <c r="H10" s="289"/>
      <c r="I10" s="288"/>
      <c r="J10" s="289"/>
      <c r="K10" s="288"/>
      <c r="L10" s="289"/>
      <c r="M10" s="290"/>
      <c r="N10" s="290"/>
      <c r="O10" s="291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</row>
    <row r="11" ht="13.5" customHeight="1">
      <c r="A11" s="286"/>
      <c r="B11" s="298" t="s">
        <v>235</v>
      </c>
      <c r="C11" s="298" t="s">
        <v>59</v>
      </c>
      <c r="D11" s="288">
        <v>1.02880045095E9</v>
      </c>
      <c r="E11" s="288">
        <v>1.309731872E9</v>
      </c>
      <c r="F11" s="289">
        <f t="shared" ref="F11:F17" si="7">E11-D11</f>
        <v>280931421.1</v>
      </c>
      <c r="G11" s="288">
        <v>1.300453454E9</v>
      </c>
      <c r="H11" s="289">
        <f t="shared" ref="H11:H17" si="8">G11-E11</f>
        <v>-9278418</v>
      </c>
      <c r="I11" s="288">
        <v>1.3021251943E9</v>
      </c>
      <c r="J11" s="289">
        <f t="shared" ref="J11:J17" si="9">I11-G11</f>
        <v>1671740.3</v>
      </c>
      <c r="K11" s="288">
        <v>1.388126258E9</v>
      </c>
      <c r="L11" s="289">
        <f t="shared" ref="L11:L17" si="10">K11-G11</f>
        <v>87672804</v>
      </c>
      <c r="M11" s="290">
        <f>'lamp. sk'!H19</f>
        <v>1546741032</v>
      </c>
      <c r="N11" s="290">
        <f t="shared" ref="N11:N17" si="11">M11-I11</f>
        <v>244615837.7</v>
      </c>
      <c r="O11" s="291">
        <f t="shared" ref="O11:O17" si="12">N11/I11</f>
        <v>0.1878589238</v>
      </c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</row>
    <row r="12" ht="13.5" customHeight="1">
      <c r="A12" s="286"/>
      <c r="B12" s="298" t="s">
        <v>236</v>
      </c>
      <c r="C12" s="298" t="s">
        <v>60</v>
      </c>
      <c r="D12" s="288">
        <v>1.12359852079E9</v>
      </c>
      <c r="E12" s="288">
        <v>1.423338224E9</v>
      </c>
      <c r="F12" s="289">
        <f t="shared" si="7"/>
        <v>299739703.2</v>
      </c>
      <c r="G12" s="288">
        <v>1.42005855E9</v>
      </c>
      <c r="H12" s="289">
        <f t="shared" si="8"/>
        <v>-3279674</v>
      </c>
      <c r="I12" s="288">
        <v>1.4220941977E9</v>
      </c>
      <c r="J12" s="289">
        <f t="shared" si="9"/>
        <v>2035647.7</v>
      </c>
      <c r="K12" s="288">
        <v>1.512620903E9</v>
      </c>
      <c r="L12" s="289">
        <f t="shared" si="10"/>
        <v>92562353</v>
      </c>
      <c r="M12" s="290">
        <f>'lamp. sk'!H20</f>
        <v>1722504251</v>
      </c>
      <c r="N12" s="290">
        <f t="shared" si="11"/>
        <v>300410053.3</v>
      </c>
      <c r="O12" s="291">
        <f t="shared" si="12"/>
        <v>0.2112448344</v>
      </c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</row>
    <row r="13" ht="13.5" customHeight="1">
      <c r="A13" s="286"/>
      <c r="B13" s="298" t="s">
        <v>237</v>
      </c>
      <c r="C13" s="298" t="s">
        <v>61</v>
      </c>
      <c r="D13" s="288">
        <v>8.1548002648E8</v>
      </c>
      <c r="E13" s="288">
        <v>9.83565574E8</v>
      </c>
      <c r="F13" s="289">
        <f t="shared" si="7"/>
        <v>168085547.5</v>
      </c>
      <c r="G13" s="288">
        <v>9.76345763E8</v>
      </c>
      <c r="H13" s="289">
        <f t="shared" si="8"/>
        <v>-7219811</v>
      </c>
      <c r="I13" s="288">
        <v>9.745140598E8</v>
      </c>
      <c r="J13" s="289">
        <f t="shared" si="9"/>
        <v>-1831703.2</v>
      </c>
      <c r="K13" s="288">
        <v>1.044338028E9</v>
      </c>
      <c r="L13" s="289">
        <f t="shared" si="10"/>
        <v>67992265</v>
      </c>
      <c r="M13" s="290">
        <f>'lamp. sk'!H21</f>
        <v>1199808625</v>
      </c>
      <c r="N13" s="290">
        <f t="shared" si="11"/>
        <v>225294565.2</v>
      </c>
      <c r="O13" s="291">
        <f t="shared" si="12"/>
        <v>0.2311865724</v>
      </c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</row>
    <row r="14" ht="13.5" customHeight="1">
      <c r="A14" s="286"/>
      <c r="B14" s="298" t="s">
        <v>238</v>
      </c>
      <c r="C14" s="298" t="s">
        <v>62</v>
      </c>
      <c r="D14" s="288">
        <v>8.492761137E8</v>
      </c>
      <c r="E14" s="288">
        <v>1.067613321E9</v>
      </c>
      <c r="F14" s="289">
        <f t="shared" si="7"/>
        <v>218337207.3</v>
      </c>
      <c r="G14" s="288">
        <v>1.031269903E9</v>
      </c>
      <c r="H14" s="289">
        <f t="shared" si="8"/>
        <v>-36343418</v>
      </c>
      <c r="I14" s="288">
        <v>1.032159322E9</v>
      </c>
      <c r="J14" s="289">
        <f t="shared" si="9"/>
        <v>889419</v>
      </c>
      <c r="K14" s="288">
        <v>1.105500436E9</v>
      </c>
      <c r="L14" s="289">
        <f t="shared" si="10"/>
        <v>74230533</v>
      </c>
      <c r="M14" s="290">
        <f>'lamp. sk'!H22</f>
        <v>1298451866</v>
      </c>
      <c r="N14" s="290">
        <f t="shared" si="11"/>
        <v>266292544</v>
      </c>
      <c r="O14" s="291">
        <f t="shared" si="12"/>
        <v>0.257995581</v>
      </c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</row>
    <row r="15" ht="13.5" customHeight="1">
      <c r="A15" s="286"/>
      <c r="B15" s="298" t="s">
        <v>239</v>
      </c>
      <c r="C15" s="298" t="s">
        <v>63</v>
      </c>
      <c r="D15" s="288">
        <v>1.12949915034E9</v>
      </c>
      <c r="E15" s="288">
        <v>1.37857654E9</v>
      </c>
      <c r="F15" s="289">
        <f t="shared" si="7"/>
        <v>249077389.7</v>
      </c>
      <c r="G15" s="288">
        <v>1.393652704E9</v>
      </c>
      <c r="H15" s="289">
        <f t="shared" si="8"/>
        <v>15076164</v>
      </c>
      <c r="I15" s="288">
        <v>1.3918384458E9</v>
      </c>
      <c r="J15" s="289">
        <f t="shared" si="9"/>
        <v>-1814258.2</v>
      </c>
      <c r="K15" s="288">
        <v>1.487297322E9</v>
      </c>
      <c r="L15" s="289">
        <f t="shared" si="10"/>
        <v>93644618</v>
      </c>
      <c r="M15" s="290">
        <f>'lamp. sk'!H23</f>
        <v>1675141901</v>
      </c>
      <c r="N15" s="290">
        <f t="shared" si="11"/>
        <v>283303455.2</v>
      </c>
      <c r="O15" s="291">
        <f t="shared" si="12"/>
        <v>0.2035462205</v>
      </c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</row>
    <row r="16" ht="13.5" customHeight="1">
      <c r="A16" s="286"/>
      <c r="B16" s="298" t="s">
        <v>240</v>
      </c>
      <c r="C16" s="298" t="s">
        <v>64</v>
      </c>
      <c r="D16" s="288">
        <v>1.0277723903499999E9</v>
      </c>
      <c r="E16" s="288">
        <v>1.166661297E9</v>
      </c>
      <c r="F16" s="289">
        <f t="shared" si="7"/>
        <v>138888906.7</v>
      </c>
      <c r="G16" s="288">
        <v>1.182267083E9</v>
      </c>
      <c r="H16" s="289">
        <f t="shared" si="8"/>
        <v>15605786</v>
      </c>
      <c r="I16" s="288">
        <v>1.1815157975E9</v>
      </c>
      <c r="J16" s="289">
        <f t="shared" si="9"/>
        <v>-751285.5</v>
      </c>
      <c r="K16" s="288">
        <v>1.26356054E9</v>
      </c>
      <c r="L16" s="289">
        <f t="shared" si="10"/>
        <v>81293457</v>
      </c>
      <c r="M16" s="290">
        <f>'lamp. sk'!H24</f>
        <v>1418489233</v>
      </c>
      <c r="N16" s="290">
        <f t="shared" si="11"/>
        <v>236973435.5</v>
      </c>
      <c r="O16" s="291">
        <f t="shared" si="12"/>
        <v>0.2005673018</v>
      </c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</row>
    <row r="17" ht="13.5" customHeight="1">
      <c r="A17" s="286"/>
      <c r="B17" s="298" t="s">
        <v>241</v>
      </c>
      <c r="C17" s="298" t="s">
        <v>65</v>
      </c>
      <c r="D17" s="288">
        <v>9.5294763015E8</v>
      </c>
      <c r="E17" s="288">
        <v>1.17333304E9</v>
      </c>
      <c r="F17" s="289">
        <f t="shared" si="7"/>
        <v>220385409.9</v>
      </c>
      <c r="G17" s="288">
        <v>1.168563412E9</v>
      </c>
      <c r="H17" s="289">
        <f t="shared" si="8"/>
        <v>-4769628</v>
      </c>
      <c r="I17" s="288">
        <v>1.1685480965E9</v>
      </c>
      <c r="J17" s="289">
        <f t="shared" si="9"/>
        <v>-15315.5</v>
      </c>
      <c r="K17" s="288">
        <v>1.244826511E9</v>
      </c>
      <c r="L17" s="289">
        <f t="shared" si="10"/>
        <v>76263099</v>
      </c>
      <c r="M17" s="290">
        <f>'lamp. sk'!H25</f>
        <v>1408511824</v>
      </c>
      <c r="N17" s="290">
        <f t="shared" si="11"/>
        <v>239963727.5</v>
      </c>
      <c r="O17" s="291">
        <f t="shared" si="12"/>
        <v>0.2053520332</v>
      </c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</row>
    <row r="18" ht="13.5" customHeight="1">
      <c r="A18" s="286"/>
      <c r="B18" s="298" t="s">
        <v>66</v>
      </c>
      <c r="C18" s="298" t="s">
        <v>67</v>
      </c>
      <c r="D18" s="288"/>
      <c r="E18" s="288"/>
      <c r="F18" s="289"/>
      <c r="G18" s="288"/>
      <c r="H18" s="289"/>
      <c r="I18" s="288"/>
      <c r="J18" s="289"/>
      <c r="K18" s="288"/>
      <c r="L18" s="289"/>
      <c r="M18" s="290"/>
      <c r="N18" s="290"/>
      <c r="O18" s="291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</row>
    <row r="19" ht="13.5" customHeight="1">
      <c r="A19" s="286"/>
      <c r="B19" s="298" t="s">
        <v>242</v>
      </c>
      <c r="C19" s="298" t="s">
        <v>243</v>
      </c>
      <c r="D19" s="288">
        <v>1.10043292415E9</v>
      </c>
      <c r="E19" s="288">
        <v>1.393181065E9</v>
      </c>
      <c r="F19" s="289">
        <f t="shared" ref="F19:F22" si="13">E19-D19</f>
        <v>292748140.9</v>
      </c>
      <c r="G19" s="288">
        <v>1.389984649E9</v>
      </c>
      <c r="H19" s="289">
        <f t="shared" ref="H19:H22" si="14">G19-E19</f>
        <v>-3196416</v>
      </c>
      <c r="I19" s="288">
        <v>1.3897069012E9</v>
      </c>
      <c r="J19" s="289">
        <f t="shared" ref="J19:J22" si="15">I19-G19</f>
        <v>-277747.8</v>
      </c>
      <c r="K19" s="288">
        <v>1.477281745E9</v>
      </c>
      <c r="L19" s="289">
        <f t="shared" ref="L19:L22" si="16">K19-G19</f>
        <v>87297096</v>
      </c>
      <c r="M19" s="290">
        <f>'lamp. sk'!H28</f>
        <v>1645575109</v>
      </c>
      <c r="N19" s="290">
        <f t="shared" ref="N19:N22" si="17">M19-I19</f>
        <v>255868207.8</v>
      </c>
      <c r="O19" s="291">
        <f t="shared" ref="O19:O22" si="18">N19/I19</f>
        <v>0.1841166706</v>
      </c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</row>
    <row r="20" ht="13.5" customHeight="1">
      <c r="A20" s="286"/>
      <c r="B20" s="298" t="s">
        <v>244</v>
      </c>
      <c r="C20" s="298" t="s">
        <v>69</v>
      </c>
      <c r="D20" s="288">
        <v>1.06559159164E9</v>
      </c>
      <c r="E20" s="288">
        <v>1.317651323E9</v>
      </c>
      <c r="F20" s="289">
        <f t="shared" si="13"/>
        <v>252059731.4</v>
      </c>
      <c r="G20" s="288">
        <v>1.314338525E9</v>
      </c>
      <c r="H20" s="289">
        <f t="shared" si="14"/>
        <v>-3312798</v>
      </c>
      <c r="I20" s="288">
        <v>1.3095458951E9</v>
      </c>
      <c r="J20" s="289">
        <f t="shared" si="15"/>
        <v>-4792629.9</v>
      </c>
      <c r="K20" s="288">
        <v>1.399745247E9</v>
      </c>
      <c r="L20" s="289">
        <f t="shared" si="16"/>
        <v>85406722</v>
      </c>
      <c r="M20" s="290">
        <f>'lamp. sk'!H29</f>
        <v>1595150035</v>
      </c>
      <c r="N20" s="290">
        <f t="shared" si="17"/>
        <v>285604139.9</v>
      </c>
      <c r="O20" s="291">
        <f t="shared" si="18"/>
        <v>0.2180940286</v>
      </c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</row>
    <row r="21" ht="13.5" customHeight="1">
      <c r="A21" s="286"/>
      <c r="B21" s="298" t="s">
        <v>245</v>
      </c>
      <c r="C21" s="298" t="s">
        <v>70</v>
      </c>
      <c r="D21" s="288">
        <v>1.40426434667E9</v>
      </c>
      <c r="E21" s="288">
        <v>1.789413525E9</v>
      </c>
      <c r="F21" s="289">
        <f t="shared" si="13"/>
        <v>385149178.3</v>
      </c>
      <c r="G21" s="288">
        <v>1.798379243E9</v>
      </c>
      <c r="H21" s="289">
        <f t="shared" si="14"/>
        <v>8965718</v>
      </c>
      <c r="I21" s="288">
        <v>1.7960173061E9</v>
      </c>
      <c r="J21" s="289">
        <f t="shared" si="15"/>
        <v>-2361936.9</v>
      </c>
      <c r="K21" s="288">
        <v>1.907884333E9</v>
      </c>
      <c r="L21" s="289">
        <f t="shared" si="16"/>
        <v>109505090</v>
      </c>
      <c r="M21" s="290">
        <f>'lamp. sk'!H30</f>
        <v>2114841890</v>
      </c>
      <c r="N21" s="290">
        <f t="shared" si="17"/>
        <v>318824583.9</v>
      </c>
      <c r="O21" s="291">
        <f t="shared" si="18"/>
        <v>0.1775175455</v>
      </c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</row>
    <row r="22" ht="13.5" customHeight="1">
      <c r="A22" s="286"/>
      <c r="B22" s="298" t="s">
        <v>246</v>
      </c>
      <c r="C22" s="298" t="s">
        <v>71</v>
      </c>
      <c r="D22" s="288">
        <v>1.1808056491599998E9</v>
      </c>
      <c r="E22" s="288">
        <v>1.727633729E9</v>
      </c>
      <c r="F22" s="289">
        <f t="shared" si="13"/>
        <v>546828079.8</v>
      </c>
      <c r="G22" s="288">
        <v>1.476584865E9</v>
      </c>
      <c r="H22" s="289">
        <f t="shared" si="14"/>
        <v>-251048864</v>
      </c>
      <c r="I22" s="288">
        <v>1.4753095304E9</v>
      </c>
      <c r="J22" s="289">
        <f t="shared" si="15"/>
        <v>-1275334.6</v>
      </c>
      <c r="K22" s="288">
        <v>1.567976954E9</v>
      </c>
      <c r="L22" s="289">
        <f t="shared" si="16"/>
        <v>91392089</v>
      </c>
      <c r="M22" s="290">
        <f>'lamp. sk'!H31</f>
        <v>1733056795</v>
      </c>
      <c r="N22" s="290">
        <f t="shared" si="17"/>
        <v>257747264.6</v>
      </c>
      <c r="O22" s="291">
        <f t="shared" si="18"/>
        <v>0.1747072457</v>
      </c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</row>
    <row r="23" ht="13.5" customHeight="1">
      <c r="A23" s="286"/>
      <c r="B23" s="298" t="s">
        <v>72</v>
      </c>
      <c r="C23" s="298" t="s">
        <v>73</v>
      </c>
      <c r="D23" s="288"/>
      <c r="E23" s="288"/>
      <c r="F23" s="289"/>
      <c r="G23" s="288"/>
      <c r="H23" s="289"/>
      <c r="I23" s="288"/>
      <c r="J23" s="289"/>
      <c r="K23" s="288"/>
      <c r="L23" s="289"/>
      <c r="M23" s="290"/>
      <c r="N23" s="290"/>
      <c r="O23" s="291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</row>
    <row r="24" ht="13.5" customHeight="1">
      <c r="A24" s="286"/>
      <c r="B24" s="298" t="s">
        <v>247</v>
      </c>
      <c r="C24" s="298" t="s">
        <v>74</v>
      </c>
      <c r="D24" s="288">
        <v>7.7548861764E8</v>
      </c>
      <c r="E24" s="288">
        <v>9.47911053E8</v>
      </c>
      <c r="F24" s="289">
        <f t="shared" ref="F24:F28" si="19">E24-D24</f>
        <v>172422435.4</v>
      </c>
      <c r="G24" s="288">
        <v>9.35167456E8</v>
      </c>
      <c r="H24" s="289">
        <f t="shared" ref="H24:H28" si="20">G24-E24</f>
        <v>-12743597</v>
      </c>
      <c r="I24" s="288">
        <v>9.375310897E8</v>
      </c>
      <c r="J24" s="289">
        <f t="shared" ref="J24:J28" si="21">I24-G24</f>
        <v>2363633.7</v>
      </c>
      <c r="K24" s="288">
        <v>9.96870107E8</v>
      </c>
      <c r="L24" s="289">
        <f t="shared" ref="L24:L28" si="22">K24-G24</f>
        <v>61702651</v>
      </c>
      <c r="M24" s="290">
        <f>'lamp. sk'!H33</f>
        <v>1150468448</v>
      </c>
      <c r="N24" s="290">
        <f t="shared" ref="N24:N28" si="23">M24-I24</f>
        <v>212937358.3</v>
      </c>
      <c r="O24" s="291">
        <f t="shared" ref="O24:O28" si="24">N24/I24</f>
        <v>0.2271256502</v>
      </c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</row>
    <row r="25" ht="13.5" customHeight="1">
      <c r="A25" s="286"/>
      <c r="B25" s="298" t="s">
        <v>248</v>
      </c>
      <c r="C25" s="298" t="s">
        <v>75</v>
      </c>
      <c r="D25" s="288">
        <v>1.16722551872E9</v>
      </c>
      <c r="E25" s="288">
        <v>1.47248803E9</v>
      </c>
      <c r="F25" s="289">
        <f t="shared" si="19"/>
        <v>305262511.3</v>
      </c>
      <c r="G25" s="288">
        <v>1.465380851E9</v>
      </c>
      <c r="H25" s="289">
        <f t="shared" si="20"/>
        <v>-7107179</v>
      </c>
      <c r="I25" s="288">
        <v>1.4657299236E9</v>
      </c>
      <c r="J25" s="289">
        <f t="shared" si="21"/>
        <v>349072.6</v>
      </c>
      <c r="K25" s="288">
        <v>1.551712279E9</v>
      </c>
      <c r="L25" s="289">
        <f t="shared" si="22"/>
        <v>86331428</v>
      </c>
      <c r="M25" s="290">
        <f>'lamp. sk'!H34</f>
        <v>1722290945</v>
      </c>
      <c r="N25" s="290">
        <f t="shared" si="23"/>
        <v>256561021.4</v>
      </c>
      <c r="O25" s="291">
        <f t="shared" si="24"/>
        <v>0.175039765</v>
      </c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</row>
    <row r="26" ht="13.5" customHeight="1">
      <c r="A26" s="286"/>
      <c r="B26" s="298" t="s">
        <v>249</v>
      </c>
      <c r="C26" s="298" t="s">
        <v>76</v>
      </c>
      <c r="D26" s="288">
        <v>1.15824051132E9</v>
      </c>
      <c r="E26" s="288">
        <v>1.453739429E9</v>
      </c>
      <c r="F26" s="289">
        <f t="shared" si="19"/>
        <v>295498917.7</v>
      </c>
      <c r="G26" s="288">
        <v>1.450892195E9</v>
      </c>
      <c r="H26" s="289">
        <f t="shared" si="20"/>
        <v>-2847234</v>
      </c>
      <c r="I26" s="288">
        <v>1.4511936455E9</v>
      </c>
      <c r="J26" s="289">
        <f t="shared" si="21"/>
        <v>301450.5</v>
      </c>
      <c r="K26" s="288">
        <v>1.53914005E9</v>
      </c>
      <c r="L26" s="289">
        <f t="shared" si="22"/>
        <v>88247855</v>
      </c>
      <c r="M26" s="290">
        <f>'lamp. sk'!H35</f>
        <v>1704513987</v>
      </c>
      <c r="N26" s="290">
        <f t="shared" si="23"/>
        <v>253320341.5</v>
      </c>
      <c r="O26" s="291">
        <f t="shared" si="24"/>
        <v>0.1745599854</v>
      </c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</row>
    <row r="27" ht="13.5" customHeight="1">
      <c r="A27" s="286"/>
      <c r="B27" s="298" t="s">
        <v>250</v>
      </c>
      <c r="C27" s="298" t="s">
        <v>77</v>
      </c>
      <c r="D27" s="288">
        <v>9.5355927964E8</v>
      </c>
      <c r="E27" s="288">
        <v>1.200350697E9</v>
      </c>
      <c r="F27" s="289">
        <f t="shared" si="19"/>
        <v>246791417.4</v>
      </c>
      <c r="G27" s="288">
        <v>1.190578348E9</v>
      </c>
      <c r="H27" s="289">
        <f t="shared" si="20"/>
        <v>-9772349</v>
      </c>
      <c r="I27" s="288">
        <v>1.1901921729E9</v>
      </c>
      <c r="J27" s="289">
        <f t="shared" si="21"/>
        <v>-386175.1</v>
      </c>
      <c r="K27" s="288">
        <v>1.264792256E9</v>
      </c>
      <c r="L27" s="289">
        <f t="shared" si="22"/>
        <v>74213908</v>
      </c>
      <c r="M27" s="290">
        <f>'lamp. sk'!H36</f>
        <v>1444051244</v>
      </c>
      <c r="N27" s="290">
        <f t="shared" si="23"/>
        <v>253859071.1</v>
      </c>
      <c r="O27" s="291">
        <f t="shared" si="24"/>
        <v>0.2132925059</v>
      </c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</row>
    <row r="28" ht="13.5" customHeight="1">
      <c r="A28" s="286"/>
      <c r="B28" s="298" t="s">
        <v>251</v>
      </c>
      <c r="C28" s="298" t="s">
        <v>78</v>
      </c>
      <c r="D28" s="288">
        <v>1.18675699987E9</v>
      </c>
      <c r="E28" s="288">
        <v>1.503479884E9</v>
      </c>
      <c r="F28" s="289">
        <f t="shared" si="19"/>
        <v>316722884.1</v>
      </c>
      <c r="G28" s="288">
        <v>1.492091005E9</v>
      </c>
      <c r="H28" s="289">
        <f t="shared" si="20"/>
        <v>-11388879</v>
      </c>
      <c r="I28" s="288">
        <v>1.4899937259E9</v>
      </c>
      <c r="J28" s="289">
        <f t="shared" si="21"/>
        <v>-2097279.1</v>
      </c>
      <c r="K28" s="288">
        <v>1.586551404E9</v>
      </c>
      <c r="L28" s="289">
        <f t="shared" si="22"/>
        <v>94460399</v>
      </c>
      <c r="M28" s="290">
        <f>'lamp. sk'!H37</f>
        <v>1786745208</v>
      </c>
      <c r="N28" s="290">
        <f t="shared" si="23"/>
        <v>296751482.1</v>
      </c>
      <c r="O28" s="291">
        <f t="shared" si="24"/>
        <v>0.1991629072</v>
      </c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</row>
    <row r="29" ht="13.5" customHeight="1">
      <c r="A29" s="286"/>
      <c r="B29" s="298" t="s">
        <v>79</v>
      </c>
      <c r="C29" s="298" t="s">
        <v>80</v>
      </c>
      <c r="D29" s="288"/>
      <c r="E29" s="288"/>
      <c r="F29" s="289"/>
      <c r="G29" s="288"/>
      <c r="H29" s="289"/>
      <c r="I29" s="288"/>
      <c r="J29" s="289"/>
      <c r="K29" s="288"/>
      <c r="L29" s="289"/>
      <c r="M29" s="290"/>
      <c r="N29" s="290"/>
      <c r="O29" s="291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</row>
    <row r="30" ht="13.5" customHeight="1">
      <c r="A30" s="286"/>
      <c r="B30" s="298" t="s">
        <v>252</v>
      </c>
      <c r="C30" s="298" t="s">
        <v>81</v>
      </c>
      <c r="D30" s="288">
        <v>1.1739958018899999E9</v>
      </c>
      <c r="E30" s="288">
        <v>1.467239248E9</v>
      </c>
      <c r="F30" s="289">
        <f t="shared" ref="F30:F34" si="25">E30-D30</f>
        <v>293243446.1</v>
      </c>
      <c r="G30" s="288">
        <v>1.467416437E9</v>
      </c>
      <c r="H30" s="289">
        <f t="shared" ref="H30:H34" si="26">G30-E30</f>
        <v>177189</v>
      </c>
      <c r="I30" s="288">
        <v>1.4679094708E9</v>
      </c>
      <c r="J30" s="289">
        <f t="shared" ref="J30:J34" si="27">I30-G30</f>
        <v>493033.8</v>
      </c>
      <c r="K30" s="288">
        <v>1.561026147E9</v>
      </c>
      <c r="L30" s="289">
        <f t="shared" ref="L30:L34" si="28">K30-G30</f>
        <v>93609710</v>
      </c>
      <c r="M30" s="290">
        <f>'lamp. sk'!H39</f>
        <v>1737791297</v>
      </c>
      <c r="N30" s="290">
        <f t="shared" ref="N30:N34" si="29">M30-I30</f>
        <v>269881826.2</v>
      </c>
      <c r="O30" s="291">
        <f t="shared" ref="O30:O34" si="30">N30/I30</f>
        <v>0.1838545439</v>
      </c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</row>
    <row r="31" ht="13.5" customHeight="1">
      <c r="A31" s="286"/>
      <c r="B31" s="298" t="s">
        <v>253</v>
      </c>
      <c r="C31" s="298" t="s">
        <v>82</v>
      </c>
      <c r="D31" s="288">
        <v>1.2010276571599998E9</v>
      </c>
      <c r="E31" s="288">
        <v>1.506512917E9</v>
      </c>
      <c r="F31" s="289">
        <f t="shared" si="25"/>
        <v>305485259.8</v>
      </c>
      <c r="G31" s="288">
        <v>1.507287033E9</v>
      </c>
      <c r="H31" s="289">
        <f t="shared" si="26"/>
        <v>774116</v>
      </c>
      <c r="I31" s="288">
        <v>1.5063789536E9</v>
      </c>
      <c r="J31" s="289">
        <f t="shared" si="27"/>
        <v>-908079.4</v>
      </c>
      <c r="K31" s="288">
        <v>1.603595263E9</v>
      </c>
      <c r="L31" s="289">
        <f t="shared" si="28"/>
        <v>96308230</v>
      </c>
      <c r="M31" s="290">
        <f>'lamp. sk'!H40</f>
        <v>1800486354</v>
      </c>
      <c r="N31" s="290">
        <f t="shared" si="29"/>
        <v>294107400.4</v>
      </c>
      <c r="O31" s="291">
        <f t="shared" si="30"/>
        <v>0.1952413101</v>
      </c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</row>
    <row r="32" ht="13.5" customHeight="1">
      <c r="A32" s="286"/>
      <c r="B32" s="298" t="s">
        <v>254</v>
      </c>
      <c r="C32" s="298" t="s">
        <v>83</v>
      </c>
      <c r="D32" s="288">
        <v>1.02717851878E9</v>
      </c>
      <c r="E32" s="288">
        <v>1.26415509E9</v>
      </c>
      <c r="F32" s="289">
        <f t="shared" si="25"/>
        <v>236976571.2</v>
      </c>
      <c r="G32" s="288">
        <v>1.263622632E9</v>
      </c>
      <c r="H32" s="289">
        <f t="shared" si="26"/>
        <v>-532458</v>
      </c>
      <c r="I32" s="288">
        <v>1.2625998242E9</v>
      </c>
      <c r="J32" s="289">
        <f t="shared" si="27"/>
        <v>-1022807.8</v>
      </c>
      <c r="K32" s="288">
        <v>1.342210453E9</v>
      </c>
      <c r="L32" s="289">
        <f t="shared" si="28"/>
        <v>78587821</v>
      </c>
      <c r="M32" s="290">
        <f>'lamp. sk'!H41</f>
        <v>1502167936</v>
      </c>
      <c r="N32" s="290">
        <f t="shared" si="29"/>
        <v>239568111.8</v>
      </c>
      <c r="O32" s="291">
        <f t="shared" si="30"/>
        <v>0.1897419176</v>
      </c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</row>
    <row r="33" ht="13.5" customHeight="1">
      <c r="A33" s="286"/>
      <c r="B33" s="298" t="s">
        <v>255</v>
      </c>
      <c r="C33" s="298" t="s">
        <v>84</v>
      </c>
      <c r="D33" s="288">
        <v>1.20307970615E9</v>
      </c>
      <c r="E33" s="288">
        <v>1.443493506E9</v>
      </c>
      <c r="F33" s="289">
        <f t="shared" si="25"/>
        <v>240413799.9</v>
      </c>
      <c r="G33" s="288">
        <v>1.455418892E9</v>
      </c>
      <c r="H33" s="289">
        <f t="shared" si="26"/>
        <v>11925386</v>
      </c>
      <c r="I33" s="288">
        <v>1.4541449103E9</v>
      </c>
      <c r="J33" s="289">
        <f t="shared" si="27"/>
        <v>-1273981.7</v>
      </c>
      <c r="K33" s="288">
        <v>1.547456657E9</v>
      </c>
      <c r="L33" s="289">
        <f t="shared" si="28"/>
        <v>92037765</v>
      </c>
      <c r="M33" s="290">
        <f>'lamp. sk'!H42</f>
        <v>1712430046</v>
      </c>
      <c r="N33" s="290">
        <f t="shared" si="29"/>
        <v>258285135.7</v>
      </c>
      <c r="O33" s="291">
        <f t="shared" si="30"/>
        <v>0.1776199427</v>
      </c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</row>
    <row r="34" ht="13.5" customHeight="1">
      <c r="A34" s="286"/>
      <c r="B34" s="298" t="s">
        <v>256</v>
      </c>
      <c r="C34" s="298" t="s">
        <v>85</v>
      </c>
      <c r="D34" s="288">
        <v>1.1112104203899999E9</v>
      </c>
      <c r="E34" s="288">
        <v>1.35736283E9</v>
      </c>
      <c r="F34" s="289">
        <f t="shared" si="25"/>
        <v>246152409.6</v>
      </c>
      <c r="G34" s="288">
        <v>1.369348017E9</v>
      </c>
      <c r="H34" s="289">
        <f t="shared" si="26"/>
        <v>11985187</v>
      </c>
      <c r="I34" s="288">
        <v>1.3672837745E9</v>
      </c>
      <c r="J34" s="289">
        <f t="shared" si="27"/>
        <v>-2064242.5</v>
      </c>
      <c r="K34" s="288">
        <v>1.455152346E9</v>
      </c>
      <c r="L34" s="289">
        <f t="shared" si="28"/>
        <v>85804329</v>
      </c>
      <c r="M34" s="290">
        <f>'lamp. sk'!H43</f>
        <v>1625955953</v>
      </c>
      <c r="N34" s="290">
        <f t="shared" si="29"/>
        <v>258672178.5</v>
      </c>
      <c r="O34" s="291">
        <f t="shared" si="30"/>
        <v>0.1891868998</v>
      </c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</row>
    <row r="35" ht="13.5" customHeight="1">
      <c r="A35" s="286"/>
      <c r="B35" s="298" t="s">
        <v>86</v>
      </c>
      <c r="C35" s="298" t="s">
        <v>87</v>
      </c>
      <c r="D35" s="288"/>
      <c r="E35" s="288"/>
      <c r="F35" s="289"/>
      <c r="G35" s="288"/>
      <c r="H35" s="289"/>
      <c r="I35" s="288"/>
      <c r="J35" s="289"/>
      <c r="K35" s="288"/>
      <c r="L35" s="289"/>
      <c r="M35" s="290"/>
      <c r="N35" s="290"/>
      <c r="O35" s="291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</row>
    <row r="36" ht="13.5" customHeight="1">
      <c r="A36" s="286"/>
      <c r="B36" s="298" t="s">
        <v>257</v>
      </c>
      <c r="C36" s="298" t="s">
        <v>88</v>
      </c>
      <c r="D36" s="288">
        <v>1.69028938933E9</v>
      </c>
      <c r="E36" s="288">
        <v>1.9728995E9</v>
      </c>
      <c r="F36" s="289">
        <f t="shared" ref="F36:F40" si="31">E36-D36</f>
        <v>282610110.7</v>
      </c>
      <c r="G36" s="288">
        <v>1.985646275E9</v>
      </c>
      <c r="H36" s="289">
        <f t="shared" ref="H36:H40" si="32">G36-E36</f>
        <v>12746775</v>
      </c>
      <c r="I36" s="288">
        <v>1.986523848E9</v>
      </c>
      <c r="J36" s="289">
        <f t="shared" ref="J36:J40" si="33">I36-G36</f>
        <v>877573</v>
      </c>
      <c r="K36" s="288">
        <v>2.093443661E9</v>
      </c>
      <c r="L36" s="289">
        <f t="shared" ref="L36:L40" si="34">K36-G36</f>
        <v>107797386</v>
      </c>
      <c r="M36" s="290">
        <f>'lamp. sk'!H45</f>
        <v>2219464807</v>
      </c>
      <c r="N36" s="290">
        <f t="shared" ref="N36:N40" si="35">M36-I36</f>
        <v>232940959</v>
      </c>
      <c r="O36" s="291">
        <f t="shared" ref="O36:O40" si="36">N36/I36</f>
        <v>0.1172605903</v>
      </c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</row>
    <row r="37" ht="13.5" customHeight="1">
      <c r="A37" s="286"/>
      <c r="B37" s="298" t="s">
        <v>258</v>
      </c>
      <c r="C37" s="298" t="s">
        <v>89</v>
      </c>
      <c r="D37" s="288">
        <v>1.24229574261E9</v>
      </c>
      <c r="E37" s="288">
        <v>1.488264197E9</v>
      </c>
      <c r="F37" s="289">
        <f t="shared" si="31"/>
        <v>245968454.4</v>
      </c>
      <c r="G37" s="288">
        <v>1.495849642E9</v>
      </c>
      <c r="H37" s="289">
        <f t="shared" si="32"/>
        <v>7585445</v>
      </c>
      <c r="I37" s="288">
        <v>1.4952090298E9</v>
      </c>
      <c r="J37" s="289">
        <f t="shared" si="33"/>
        <v>-640612.2</v>
      </c>
      <c r="K37" s="288">
        <v>1.585373057E9</v>
      </c>
      <c r="L37" s="289">
        <f t="shared" si="34"/>
        <v>89523415</v>
      </c>
      <c r="M37" s="290">
        <f>'lamp. sk'!H46</f>
        <v>1767053831</v>
      </c>
      <c r="N37" s="290">
        <f t="shared" si="35"/>
        <v>271844801.2</v>
      </c>
      <c r="O37" s="291">
        <f t="shared" si="36"/>
        <v>0.1818105668</v>
      </c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</row>
    <row r="38" ht="13.5" customHeight="1">
      <c r="A38" s="286"/>
      <c r="B38" s="298" t="s">
        <v>259</v>
      </c>
      <c r="C38" s="298" t="s">
        <v>90</v>
      </c>
      <c r="D38" s="288">
        <v>1.1264006011399999E9</v>
      </c>
      <c r="E38" s="288">
        <v>1.348866229E9</v>
      </c>
      <c r="F38" s="289">
        <f t="shared" si="31"/>
        <v>222465627.9</v>
      </c>
      <c r="G38" s="288">
        <v>1.354788727E9</v>
      </c>
      <c r="H38" s="289">
        <f t="shared" si="32"/>
        <v>5922498</v>
      </c>
      <c r="I38" s="288">
        <v>1.3542432773E9</v>
      </c>
      <c r="J38" s="289">
        <f t="shared" si="33"/>
        <v>-545449.7</v>
      </c>
      <c r="K38" s="288">
        <v>1.442937665E9</v>
      </c>
      <c r="L38" s="289">
        <f t="shared" si="34"/>
        <v>88148938</v>
      </c>
      <c r="M38" s="290">
        <f>'lamp. sk'!H47</f>
        <v>1613439933</v>
      </c>
      <c r="N38" s="290">
        <f t="shared" si="35"/>
        <v>259196655.7</v>
      </c>
      <c r="O38" s="291">
        <f t="shared" si="36"/>
        <v>0.1913959331</v>
      </c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</row>
    <row r="39" ht="13.5" customHeight="1">
      <c r="A39" s="286"/>
      <c r="B39" s="298" t="s">
        <v>260</v>
      </c>
      <c r="C39" s="298" t="s">
        <v>91</v>
      </c>
      <c r="D39" s="288">
        <v>1.21082049002E9</v>
      </c>
      <c r="E39" s="288">
        <v>1.45531849E9</v>
      </c>
      <c r="F39" s="289">
        <f t="shared" si="31"/>
        <v>244498000</v>
      </c>
      <c r="G39" s="288">
        <v>1.464217149E9</v>
      </c>
      <c r="H39" s="289">
        <f t="shared" si="32"/>
        <v>8898659</v>
      </c>
      <c r="I39" s="288">
        <v>1.4672775939E9</v>
      </c>
      <c r="J39" s="289">
        <f t="shared" si="33"/>
        <v>3060444.9</v>
      </c>
      <c r="K39" s="288">
        <v>1.56502052E9</v>
      </c>
      <c r="L39" s="289">
        <f t="shared" si="34"/>
        <v>100803371</v>
      </c>
      <c r="M39" s="290">
        <f>'lamp. sk'!H48</f>
        <v>1753916436</v>
      </c>
      <c r="N39" s="290">
        <f t="shared" si="35"/>
        <v>286638842.1</v>
      </c>
      <c r="O39" s="291">
        <f t="shared" si="36"/>
        <v>0.1953542011</v>
      </c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</row>
    <row r="40" ht="13.5" customHeight="1">
      <c r="A40" s="286"/>
      <c r="B40" s="298" t="s">
        <v>261</v>
      </c>
      <c r="C40" s="298" t="s">
        <v>92</v>
      </c>
      <c r="D40" s="288">
        <v>1.3300878046E9</v>
      </c>
      <c r="E40" s="288">
        <v>1.542620284E9</v>
      </c>
      <c r="F40" s="289">
        <f t="shared" si="31"/>
        <v>212532479.4</v>
      </c>
      <c r="G40" s="288">
        <v>1.564422474E9</v>
      </c>
      <c r="H40" s="289">
        <f t="shared" si="32"/>
        <v>21802190</v>
      </c>
      <c r="I40" s="288">
        <v>1.5682097388E9</v>
      </c>
      <c r="J40" s="289">
        <f t="shared" si="33"/>
        <v>3787264.8</v>
      </c>
      <c r="K40" s="288">
        <v>1.664609799E9</v>
      </c>
      <c r="L40" s="289">
        <f t="shared" si="34"/>
        <v>100187325</v>
      </c>
      <c r="M40" s="290">
        <f>'lamp. sk'!H50</f>
        <v>1843926764</v>
      </c>
      <c r="N40" s="290">
        <f t="shared" si="35"/>
        <v>275717025.2</v>
      </c>
      <c r="O40" s="291">
        <f t="shared" si="36"/>
        <v>0.175816422</v>
      </c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</row>
    <row r="41" ht="13.5" customHeight="1">
      <c r="A41" s="286"/>
      <c r="B41" s="298" t="s">
        <v>93</v>
      </c>
      <c r="C41" s="298" t="s">
        <v>94</v>
      </c>
      <c r="D41" s="288"/>
      <c r="E41" s="288"/>
      <c r="F41" s="289"/>
      <c r="G41" s="288"/>
      <c r="H41" s="289"/>
      <c r="I41" s="288"/>
      <c r="J41" s="289"/>
      <c r="K41" s="288"/>
      <c r="L41" s="289"/>
      <c r="M41" s="290"/>
      <c r="N41" s="290"/>
      <c r="O41" s="291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</row>
    <row r="42" ht="13.5" customHeight="1">
      <c r="A42" s="286"/>
      <c r="B42" s="298" t="s">
        <v>262</v>
      </c>
      <c r="C42" s="298" t="s">
        <v>95</v>
      </c>
      <c r="D42" s="288">
        <v>1.93697033023E9</v>
      </c>
      <c r="E42" s="288">
        <v>2.08370998E9</v>
      </c>
      <c r="F42" s="289">
        <f t="shared" ref="F42:F44" si="37">E42-D42</f>
        <v>146739649.8</v>
      </c>
      <c r="G42" s="288">
        <v>2.095863074E9</v>
      </c>
      <c r="H42" s="289">
        <f t="shared" ref="H42:H44" si="38">G42-E42</f>
        <v>12153094</v>
      </c>
      <c r="I42" s="288">
        <v>2.0908021741E9</v>
      </c>
      <c r="J42" s="289">
        <f t="shared" ref="J42:J44" si="39">I42-G42</f>
        <v>-5060899.9</v>
      </c>
      <c r="K42" s="288">
        <v>2.203116871E9</v>
      </c>
      <c r="L42" s="289">
        <f t="shared" ref="L42:L44" si="40">K42-G42</f>
        <v>107253797</v>
      </c>
      <c r="M42" s="290">
        <f>'lamp. sk'!H52</f>
        <v>2339465160</v>
      </c>
      <c r="N42" s="290">
        <f t="shared" ref="N42:N44" si="41">M42-I42</f>
        <v>248662985.9</v>
      </c>
      <c r="O42" s="291">
        <f t="shared" ref="O42:O44" si="42">N42/I42</f>
        <v>0.1189318573</v>
      </c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</row>
    <row r="43" ht="13.5" customHeight="1">
      <c r="A43" s="286"/>
      <c r="B43" s="298" t="s">
        <v>263</v>
      </c>
      <c r="C43" s="298" t="s">
        <v>96</v>
      </c>
      <c r="D43" s="288">
        <v>1.92269792252E9</v>
      </c>
      <c r="E43" s="288">
        <v>2.141533953E9</v>
      </c>
      <c r="F43" s="289">
        <f t="shared" si="37"/>
        <v>218836030.5</v>
      </c>
      <c r="G43" s="288">
        <v>2.168516389E9</v>
      </c>
      <c r="H43" s="289">
        <f t="shared" si="38"/>
        <v>26982436</v>
      </c>
      <c r="I43" s="288">
        <v>2.1691504147E9</v>
      </c>
      <c r="J43" s="289">
        <f t="shared" si="39"/>
        <v>634025.7</v>
      </c>
      <c r="K43" s="288">
        <v>2.284614492E9</v>
      </c>
      <c r="L43" s="289">
        <f t="shared" si="40"/>
        <v>116098103</v>
      </c>
      <c r="M43" s="290">
        <f>'lamp. sk'!H53</f>
        <v>2401389060</v>
      </c>
      <c r="N43" s="290">
        <f t="shared" si="41"/>
        <v>232238645.3</v>
      </c>
      <c r="O43" s="291">
        <f t="shared" si="42"/>
        <v>0.1070643344</v>
      </c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</row>
    <row r="44" ht="13.5" customHeight="1">
      <c r="A44" s="286"/>
      <c r="B44" s="298" t="s">
        <v>264</v>
      </c>
      <c r="C44" s="298" t="s">
        <v>97</v>
      </c>
      <c r="D44" s="288">
        <v>1.83917135667E9</v>
      </c>
      <c r="E44" s="288">
        <v>1.978564922E9</v>
      </c>
      <c r="F44" s="289">
        <f t="shared" si="37"/>
        <v>139393565.3</v>
      </c>
      <c r="G44" s="288">
        <v>1.993987873E9</v>
      </c>
      <c r="H44" s="289">
        <f t="shared" si="38"/>
        <v>15422951</v>
      </c>
      <c r="I44" s="288">
        <v>2.0055899496E9</v>
      </c>
      <c r="J44" s="289">
        <f t="shared" si="39"/>
        <v>11602076.6</v>
      </c>
      <c r="K44" s="288">
        <v>2.113276156E9</v>
      </c>
      <c r="L44" s="289">
        <f t="shared" si="40"/>
        <v>119288283</v>
      </c>
      <c r="M44" s="290">
        <f>'lamp. sk'!H54</f>
        <v>2225036653</v>
      </c>
      <c r="N44" s="290">
        <f t="shared" si="41"/>
        <v>219446703.4</v>
      </c>
      <c r="O44" s="291">
        <f t="shared" si="42"/>
        <v>0.1094175325</v>
      </c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</row>
    <row r="45" ht="13.5" customHeight="1">
      <c r="A45" s="286"/>
      <c r="B45" s="298" t="s">
        <v>98</v>
      </c>
      <c r="C45" s="298" t="s">
        <v>99</v>
      </c>
      <c r="D45" s="288"/>
      <c r="E45" s="288"/>
      <c r="F45" s="289"/>
      <c r="G45" s="288"/>
      <c r="H45" s="289"/>
      <c r="I45" s="288"/>
      <c r="J45" s="289"/>
      <c r="K45" s="288"/>
      <c r="L45" s="289"/>
      <c r="M45" s="290"/>
      <c r="N45" s="290"/>
      <c r="O45" s="291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</row>
    <row r="46" ht="13.5" customHeight="1">
      <c r="A46" s="286"/>
      <c r="B46" s="298" t="s">
        <v>265</v>
      </c>
      <c r="C46" s="298" t="s">
        <v>100</v>
      </c>
      <c r="D46" s="288">
        <v>1.3619245246E9</v>
      </c>
      <c r="E46" s="288">
        <v>1.6833928E9</v>
      </c>
      <c r="F46" s="289">
        <f t="shared" ref="F46:F49" si="43">E46-D46</f>
        <v>321468275.4</v>
      </c>
      <c r="G46" s="288">
        <v>1.690034309E9</v>
      </c>
      <c r="H46" s="289">
        <f t="shared" ref="H46:H49" si="44">G46-E46</f>
        <v>6641509</v>
      </c>
      <c r="I46" s="288">
        <v>1.6901935201E9</v>
      </c>
      <c r="J46" s="289">
        <f t="shared" ref="J46:J49" si="45">I46-G46</f>
        <v>159211.1</v>
      </c>
      <c r="K46" s="288">
        <v>1.790601848E9</v>
      </c>
      <c r="L46" s="289">
        <f t="shared" ref="L46:L49" si="46">K46-G46</f>
        <v>100567539</v>
      </c>
      <c r="M46" s="290">
        <f>'lamp. sk'!H56</f>
        <v>1984618459</v>
      </c>
      <c r="N46" s="290">
        <f t="shared" ref="N46:N49" si="47">M46-I46</f>
        <v>294424938.9</v>
      </c>
      <c r="O46" s="291">
        <f t="shared" ref="O46:O49" si="48">N46/I46</f>
        <v>0.1741959932</v>
      </c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</row>
    <row r="47" ht="13.5" customHeight="1">
      <c r="A47" s="286"/>
      <c r="B47" s="298" t="s">
        <v>266</v>
      </c>
      <c r="C47" s="298" t="s">
        <v>101</v>
      </c>
      <c r="D47" s="288">
        <v>1.1606302971799998E9</v>
      </c>
      <c r="E47" s="288">
        <v>1.416514938E9</v>
      </c>
      <c r="F47" s="289">
        <f t="shared" si="43"/>
        <v>255884640.8</v>
      </c>
      <c r="G47" s="288">
        <v>1.416517799E9</v>
      </c>
      <c r="H47" s="289">
        <f t="shared" si="44"/>
        <v>2861</v>
      </c>
      <c r="I47" s="288">
        <v>1.4142731605E9</v>
      </c>
      <c r="J47" s="289">
        <f t="shared" si="45"/>
        <v>-2244638.5</v>
      </c>
      <c r="K47" s="288">
        <v>1.501183837E9</v>
      </c>
      <c r="L47" s="289">
        <f t="shared" si="46"/>
        <v>84666038</v>
      </c>
      <c r="M47" s="290">
        <f>'lamp. sk'!H57</f>
        <v>1705706489</v>
      </c>
      <c r="N47" s="290">
        <f t="shared" si="47"/>
        <v>291433328.5</v>
      </c>
      <c r="O47" s="291">
        <f t="shared" si="48"/>
        <v>0.2060657988</v>
      </c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</row>
    <row r="48" ht="13.5" customHeight="1">
      <c r="A48" s="286"/>
      <c r="B48" s="298" t="s">
        <v>267</v>
      </c>
      <c r="C48" s="298" t="s">
        <v>102</v>
      </c>
      <c r="D48" s="288">
        <v>1.2837858647E9</v>
      </c>
      <c r="E48" s="288">
        <v>1.55740991E9</v>
      </c>
      <c r="F48" s="289">
        <f t="shared" si="43"/>
        <v>273624045.3</v>
      </c>
      <c r="G48" s="288">
        <v>1.563592108E9</v>
      </c>
      <c r="H48" s="289">
        <f t="shared" si="44"/>
        <v>6182198</v>
      </c>
      <c r="I48" s="288">
        <v>1.5581675281E9</v>
      </c>
      <c r="J48" s="289">
        <f t="shared" si="45"/>
        <v>-5424579.9</v>
      </c>
      <c r="K48" s="288">
        <v>1.660165565E9</v>
      </c>
      <c r="L48" s="289">
        <f t="shared" si="46"/>
        <v>96573457</v>
      </c>
      <c r="M48" s="290">
        <f>'lamp. sk'!H58</f>
        <v>1843967741</v>
      </c>
      <c r="N48" s="290">
        <f t="shared" si="47"/>
        <v>285800212.9</v>
      </c>
      <c r="O48" s="291">
        <f t="shared" si="48"/>
        <v>0.1834207219</v>
      </c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</row>
    <row r="49" ht="13.5" customHeight="1">
      <c r="A49" s="286"/>
      <c r="B49" s="298" t="s">
        <v>268</v>
      </c>
      <c r="C49" s="298" t="s">
        <v>103</v>
      </c>
      <c r="D49" s="288">
        <v>1.05073817653E9</v>
      </c>
      <c r="E49" s="288">
        <v>1.218330981E9</v>
      </c>
      <c r="F49" s="289">
        <f t="shared" si="43"/>
        <v>167592804.5</v>
      </c>
      <c r="G49" s="288">
        <v>1.21645781E9</v>
      </c>
      <c r="H49" s="289">
        <f t="shared" si="44"/>
        <v>-1873171</v>
      </c>
      <c r="I49" s="288">
        <v>1.2138297752E9</v>
      </c>
      <c r="J49" s="289">
        <f t="shared" si="45"/>
        <v>-2628034.8</v>
      </c>
      <c r="K49" s="288">
        <v>1.294326721E9</v>
      </c>
      <c r="L49" s="289">
        <f t="shared" si="46"/>
        <v>77868911</v>
      </c>
      <c r="M49" s="290">
        <f>'lamp. sk'!H59</f>
        <v>1470956726</v>
      </c>
      <c r="N49" s="290">
        <f t="shared" si="47"/>
        <v>257126950.8</v>
      </c>
      <c r="O49" s="291">
        <f t="shared" si="48"/>
        <v>0.2118311447</v>
      </c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</row>
    <row r="50" ht="13.5" customHeight="1">
      <c r="A50" s="286"/>
      <c r="B50" s="298" t="s">
        <v>104</v>
      </c>
      <c r="C50" s="298" t="s">
        <v>105</v>
      </c>
      <c r="D50" s="288"/>
      <c r="E50" s="288"/>
      <c r="F50" s="289"/>
      <c r="G50" s="288"/>
      <c r="H50" s="289"/>
      <c r="I50" s="288"/>
      <c r="J50" s="289"/>
      <c r="K50" s="288"/>
      <c r="L50" s="289"/>
      <c r="M50" s="290"/>
      <c r="N50" s="290"/>
      <c r="O50" s="291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</row>
    <row r="51" ht="13.5" customHeight="1">
      <c r="A51" s="286"/>
      <c r="B51" s="298" t="s">
        <v>269</v>
      </c>
      <c r="C51" s="298" t="s">
        <v>106</v>
      </c>
      <c r="D51" s="288">
        <v>1.4636383329299998E9</v>
      </c>
      <c r="E51" s="288">
        <v>1.764309063E9</v>
      </c>
      <c r="F51" s="289">
        <f t="shared" ref="F51:F56" si="49">E51-D51</f>
        <v>300670730.1</v>
      </c>
      <c r="G51" s="288">
        <v>1.784969783E9</v>
      </c>
      <c r="H51" s="289">
        <f t="shared" ref="H51:H56" si="50">G51-E51</f>
        <v>20660720</v>
      </c>
      <c r="I51" s="288">
        <v>1.785046472E9</v>
      </c>
      <c r="J51" s="289">
        <f t="shared" ref="J51:J56" si="51">I51-G51</f>
        <v>76689</v>
      </c>
      <c r="K51" s="288">
        <v>1.89466757E9</v>
      </c>
      <c r="L51" s="289">
        <f t="shared" ref="L51:L56" si="52">K51-G51</f>
        <v>109697787</v>
      </c>
      <c r="M51" s="290">
        <f>'lamp. sk'!H61</f>
        <v>2045963847</v>
      </c>
      <c r="N51" s="290">
        <f t="shared" ref="N51:N56" si="53">M51-I51</f>
        <v>260917375</v>
      </c>
      <c r="O51" s="291">
        <f t="shared" ref="O51:O56" si="54">N51/I51</f>
        <v>0.1461683934</v>
      </c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</row>
    <row r="52" ht="13.5" customHeight="1">
      <c r="A52" s="286"/>
      <c r="B52" s="298" t="s">
        <v>270</v>
      </c>
      <c r="C52" s="298" t="s">
        <v>107</v>
      </c>
      <c r="D52" s="288">
        <v>7.5175690392E8</v>
      </c>
      <c r="E52" s="288">
        <v>9.10647198E8</v>
      </c>
      <c r="F52" s="289">
        <f t="shared" si="49"/>
        <v>158890294.1</v>
      </c>
      <c r="G52" s="288">
        <v>9.08756448E8</v>
      </c>
      <c r="H52" s="289">
        <f t="shared" si="50"/>
        <v>-1890750</v>
      </c>
      <c r="I52" s="288">
        <v>9.13378216E8</v>
      </c>
      <c r="J52" s="289">
        <f t="shared" si="51"/>
        <v>4621768</v>
      </c>
      <c r="K52" s="288">
        <v>9.72941439E8</v>
      </c>
      <c r="L52" s="289">
        <f t="shared" si="52"/>
        <v>64184991</v>
      </c>
      <c r="M52" s="290">
        <f>'lamp. sk'!H62</f>
        <v>1080030770</v>
      </c>
      <c r="N52" s="290">
        <f t="shared" si="53"/>
        <v>166652554</v>
      </c>
      <c r="O52" s="291">
        <f t="shared" si="54"/>
        <v>0.1824573338</v>
      </c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</row>
    <row r="53" ht="13.5" customHeight="1">
      <c r="A53" s="286"/>
      <c r="B53" s="298" t="s">
        <v>271</v>
      </c>
      <c r="C53" s="298" t="s">
        <v>108</v>
      </c>
      <c r="D53" s="288">
        <v>8.5093714563E8</v>
      </c>
      <c r="E53" s="288">
        <v>1.008996432E9</v>
      </c>
      <c r="F53" s="289">
        <f t="shared" si="49"/>
        <v>158059286.4</v>
      </c>
      <c r="G53" s="288">
        <v>1.011686064E9</v>
      </c>
      <c r="H53" s="289">
        <f t="shared" si="50"/>
        <v>2689632</v>
      </c>
      <c r="I53" s="288">
        <v>1.010221188E9</v>
      </c>
      <c r="J53" s="289">
        <f t="shared" si="51"/>
        <v>-1464876</v>
      </c>
      <c r="K53" s="288">
        <v>1.080878814E9</v>
      </c>
      <c r="L53" s="289">
        <f t="shared" si="52"/>
        <v>69192750</v>
      </c>
      <c r="M53" s="290">
        <f>'lamp. sk'!H63</f>
        <v>1202621677</v>
      </c>
      <c r="N53" s="290">
        <f t="shared" si="53"/>
        <v>192400489</v>
      </c>
      <c r="O53" s="291">
        <f t="shared" si="54"/>
        <v>0.1904538247</v>
      </c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</row>
    <row r="54" ht="13.5" customHeight="1">
      <c r="A54" s="286"/>
      <c r="B54" s="298" t="s">
        <v>272</v>
      </c>
      <c r="C54" s="298" t="s">
        <v>109</v>
      </c>
      <c r="D54" s="288">
        <v>9.5277678265E8</v>
      </c>
      <c r="E54" s="288">
        <v>1.13084614E9</v>
      </c>
      <c r="F54" s="289">
        <f t="shared" si="49"/>
        <v>178069357.4</v>
      </c>
      <c r="G54" s="288">
        <v>1.128717888E9</v>
      </c>
      <c r="H54" s="289">
        <f t="shared" si="50"/>
        <v>-2128252</v>
      </c>
      <c r="I54" s="288">
        <v>1.130748209E9</v>
      </c>
      <c r="J54" s="289">
        <f t="shared" si="51"/>
        <v>2030321</v>
      </c>
      <c r="K54" s="288">
        <v>1.200552266E9</v>
      </c>
      <c r="L54" s="289">
        <f t="shared" si="52"/>
        <v>71834378</v>
      </c>
      <c r="M54" s="290">
        <f>'lamp. sk'!H64</f>
        <v>1311370081</v>
      </c>
      <c r="N54" s="290">
        <f t="shared" si="53"/>
        <v>180621872</v>
      </c>
      <c r="O54" s="291">
        <f t="shared" si="54"/>
        <v>0.1597365979</v>
      </c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</row>
    <row r="55" ht="13.5" customHeight="1">
      <c r="A55" s="286"/>
      <c r="B55" s="298" t="s">
        <v>273</v>
      </c>
      <c r="C55" s="298" t="s">
        <v>110</v>
      </c>
      <c r="D55" s="288">
        <v>1.3118724393899999E9</v>
      </c>
      <c r="E55" s="288">
        <v>1.594581199E9</v>
      </c>
      <c r="F55" s="289">
        <f t="shared" si="49"/>
        <v>282708759.6</v>
      </c>
      <c r="G55" s="288">
        <v>1.604295687E9</v>
      </c>
      <c r="H55" s="289">
        <f t="shared" si="50"/>
        <v>9714488</v>
      </c>
      <c r="I55" s="288">
        <v>1.603756962E9</v>
      </c>
      <c r="J55" s="289">
        <f t="shared" si="51"/>
        <v>-538725</v>
      </c>
      <c r="K55" s="288">
        <v>1.704887541E9</v>
      </c>
      <c r="L55" s="289">
        <f t="shared" si="52"/>
        <v>100591854</v>
      </c>
      <c r="M55" s="290">
        <f>'lamp. sk'!H65</f>
        <v>1886040760</v>
      </c>
      <c r="N55" s="290">
        <f t="shared" si="53"/>
        <v>282283798</v>
      </c>
      <c r="O55" s="291">
        <f t="shared" si="54"/>
        <v>0.1760140749</v>
      </c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</row>
    <row r="56" ht="13.5" customHeight="1">
      <c r="A56" s="286"/>
      <c r="B56" s="298" t="s">
        <v>274</v>
      </c>
      <c r="C56" s="298" t="s">
        <v>111</v>
      </c>
      <c r="D56" s="288">
        <v>1.1056690688E9</v>
      </c>
      <c r="E56" s="288">
        <v>1.329178774E9</v>
      </c>
      <c r="F56" s="289">
        <f t="shared" si="49"/>
        <v>223509705.2</v>
      </c>
      <c r="G56" s="288">
        <v>1.325967414E9</v>
      </c>
      <c r="H56" s="289">
        <f t="shared" si="50"/>
        <v>-3211360</v>
      </c>
      <c r="I56" s="288">
        <v>1.324482586E9</v>
      </c>
      <c r="J56" s="289">
        <f t="shared" si="51"/>
        <v>-1484828</v>
      </c>
      <c r="K56" s="288">
        <v>1.412582343E9</v>
      </c>
      <c r="L56" s="289">
        <f t="shared" si="52"/>
        <v>86614929</v>
      </c>
      <c r="M56" s="290">
        <f>'lamp. sk'!H66</f>
        <v>1610895018</v>
      </c>
      <c r="N56" s="290">
        <f t="shared" si="53"/>
        <v>286412432</v>
      </c>
      <c r="O56" s="291">
        <f t="shared" si="54"/>
        <v>0.2162447699</v>
      </c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</row>
    <row r="57" ht="13.5" customHeight="1">
      <c r="A57" s="286"/>
      <c r="B57" s="298" t="s">
        <v>112</v>
      </c>
      <c r="C57" s="298" t="s">
        <v>113</v>
      </c>
      <c r="D57" s="288"/>
      <c r="E57" s="288"/>
      <c r="F57" s="289"/>
      <c r="G57" s="288"/>
      <c r="H57" s="289"/>
      <c r="I57" s="288"/>
      <c r="J57" s="289"/>
      <c r="K57" s="288"/>
      <c r="L57" s="289"/>
      <c r="M57" s="290"/>
      <c r="N57" s="290"/>
      <c r="O57" s="291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</row>
    <row r="58" ht="13.5" customHeight="1">
      <c r="A58" s="286"/>
      <c r="B58" s="298" t="s">
        <v>275</v>
      </c>
      <c r="C58" s="298" t="s">
        <v>114</v>
      </c>
      <c r="D58" s="288">
        <v>1.92596530865E9</v>
      </c>
      <c r="E58" s="288">
        <v>2.178084324E9</v>
      </c>
      <c r="F58" s="289">
        <f t="shared" ref="F58:F61" si="55">E58-D58</f>
        <v>252119015.4</v>
      </c>
      <c r="G58" s="288">
        <v>2.203805894E9</v>
      </c>
      <c r="H58" s="289">
        <f t="shared" ref="H58:H61" si="56">G58-E58</f>
        <v>25721570</v>
      </c>
      <c r="I58" s="288">
        <v>2.204443196E9</v>
      </c>
      <c r="J58" s="289">
        <f t="shared" ref="J58:J61" si="57">I58-G58</f>
        <v>637302</v>
      </c>
      <c r="K58" s="288">
        <v>2.325977573E9</v>
      </c>
      <c r="L58" s="289">
        <f t="shared" ref="L58:L61" si="58">K58-G58</f>
        <v>122171679</v>
      </c>
      <c r="M58" s="290">
        <f>'lamp. sk'!H68</f>
        <v>2447633767</v>
      </c>
      <c r="N58" s="290">
        <f t="shared" ref="N58:N61" si="59">M58-I58</f>
        <v>243190571</v>
      </c>
      <c r="O58" s="291">
        <f t="shared" ref="O58:O61" si="60">N58/I58</f>
        <v>0.1103183659</v>
      </c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</row>
    <row r="59" ht="13.5" customHeight="1">
      <c r="A59" s="286"/>
      <c r="B59" s="298" t="s">
        <v>276</v>
      </c>
      <c r="C59" s="298" t="s">
        <v>115</v>
      </c>
      <c r="D59" s="288">
        <v>1.3933620193600001E9</v>
      </c>
      <c r="E59" s="288">
        <v>1.661824866E9</v>
      </c>
      <c r="F59" s="289">
        <f t="shared" si="55"/>
        <v>268462846.6</v>
      </c>
      <c r="G59" s="288">
        <v>1.671498562E9</v>
      </c>
      <c r="H59" s="289">
        <f t="shared" si="56"/>
        <v>9673696</v>
      </c>
      <c r="I59" s="288">
        <v>1.672215707E9</v>
      </c>
      <c r="J59" s="289">
        <f t="shared" si="57"/>
        <v>717145</v>
      </c>
      <c r="K59" s="288">
        <v>1.773999747E9</v>
      </c>
      <c r="L59" s="289">
        <f t="shared" si="58"/>
        <v>102501185</v>
      </c>
      <c r="M59" s="290">
        <f>'lamp. sk'!H69</f>
        <v>1956980876</v>
      </c>
      <c r="N59" s="290">
        <f t="shared" si="59"/>
        <v>284765169</v>
      </c>
      <c r="O59" s="291">
        <f t="shared" si="60"/>
        <v>0.1702921267</v>
      </c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</row>
    <row r="60" ht="13.5" customHeight="1">
      <c r="A60" s="286"/>
      <c r="B60" s="298" t="s">
        <v>277</v>
      </c>
      <c r="C60" s="298" t="s">
        <v>116</v>
      </c>
      <c r="D60" s="288">
        <v>1.53956373302E9</v>
      </c>
      <c r="E60" s="288">
        <v>1.934182367E9</v>
      </c>
      <c r="F60" s="289">
        <f t="shared" si="55"/>
        <v>394618634</v>
      </c>
      <c r="G60" s="288">
        <v>1.941047561E9</v>
      </c>
      <c r="H60" s="289">
        <f t="shared" si="56"/>
        <v>6865194</v>
      </c>
      <c r="I60" s="288">
        <v>1.942520439E9</v>
      </c>
      <c r="J60" s="289">
        <f t="shared" si="57"/>
        <v>1472878</v>
      </c>
      <c r="K60" s="288">
        <v>2.060878042E9</v>
      </c>
      <c r="L60" s="289">
        <f t="shared" si="58"/>
        <v>119830481</v>
      </c>
      <c r="M60" s="290">
        <f>'lamp. sk'!H70</f>
        <v>2255787222</v>
      </c>
      <c r="N60" s="290">
        <f t="shared" si="59"/>
        <v>313266783</v>
      </c>
      <c r="O60" s="291">
        <f t="shared" si="60"/>
        <v>0.1612682043</v>
      </c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</row>
    <row r="61" ht="13.5" customHeight="1">
      <c r="A61" s="286"/>
      <c r="B61" s="298" t="s">
        <v>278</v>
      </c>
      <c r="C61" s="298" t="s">
        <v>117</v>
      </c>
      <c r="D61" s="288">
        <v>1.4713922115900002E9</v>
      </c>
      <c r="E61" s="288">
        <v>1.810337161E9</v>
      </c>
      <c r="F61" s="289">
        <f t="shared" si="55"/>
        <v>338944949.4</v>
      </c>
      <c r="G61" s="288">
        <v>1.818688713E9</v>
      </c>
      <c r="H61" s="289">
        <f t="shared" si="56"/>
        <v>8351552</v>
      </c>
      <c r="I61" s="288">
        <v>1.822869231E9</v>
      </c>
      <c r="J61" s="289">
        <f t="shared" si="57"/>
        <v>4180518</v>
      </c>
      <c r="K61" s="288">
        <v>1.927113967E9</v>
      </c>
      <c r="L61" s="289">
        <f t="shared" si="58"/>
        <v>108425254</v>
      </c>
      <c r="M61" s="290">
        <f>'lamp. sk'!H72</f>
        <v>2118007103</v>
      </c>
      <c r="N61" s="290">
        <f t="shared" si="59"/>
        <v>295137872</v>
      </c>
      <c r="O61" s="291">
        <f t="shared" si="60"/>
        <v>0.1619084172</v>
      </c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</row>
    <row r="62" ht="13.5" customHeight="1">
      <c r="A62" s="286"/>
      <c r="B62" s="298" t="s">
        <v>118</v>
      </c>
      <c r="C62" s="298" t="s">
        <v>119</v>
      </c>
      <c r="D62" s="288"/>
      <c r="E62" s="288"/>
      <c r="F62" s="289"/>
      <c r="G62" s="288"/>
      <c r="H62" s="289"/>
      <c r="I62" s="288"/>
      <c r="J62" s="289"/>
      <c r="K62" s="288"/>
      <c r="L62" s="289"/>
      <c r="M62" s="290"/>
      <c r="N62" s="290"/>
      <c r="O62" s="291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</row>
    <row r="63" ht="13.5" customHeight="1">
      <c r="A63" s="286"/>
      <c r="B63" s="298" t="s">
        <v>279</v>
      </c>
      <c r="C63" s="298" t="s">
        <v>120</v>
      </c>
      <c r="D63" s="288">
        <v>9.723796981099999E8</v>
      </c>
      <c r="E63" s="288">
        <v>1.197251069E9</v>
      </c>
      <c r="F63" s="289">
        <f t="shared" ref="F63:F67" si="61">E63-D63</f>
        <v>224871370.9</v>
      </c>
      <c r="G63" s="288">
        <v>1.197112109E9</v>
      </c>
      <c r="H63" s="289">
        <f t="shared" ref="H63:H67" si="62">G63-E63</f>
        <v>-138960</v>
      </c>
      <c r="I63" s="288">
        <v>1.196793833E9</v>
      </c>
      <c r="J63" s="289">
        <f t="shared" ref="J63:J67" si="63">I63-G63</f>
        <v>-318276</v>
      </c>
      <c r="K63" s="288">
        <v>1.271057632E9</v>
      </c>
      <c r="L63" s="289">
        <f t="shared" ref="L63:L67" si="64">K63-G63</f>
        <v>73945523</v>
      </c>
      <c r="M63" s="290">
        <f>'lamp. sk'!H74</f>
        <v>1434623256</v>
      </c>
      <c r="N63" s="290">
        <f t="shared" ref="N63:N67" si="65">M63-I63</f>
        <v>237829423</v>
      </c>
      <c r="O63" s="291">
        <f t="shared" ref="O63:O67" si="66">N63/I63</f>
        <v>0.1987221328</v>
      </c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</row>
    <row r="64" ht="13.5" customHeight="1">
      <c r="A64" s="286"/>
      <c r="B64" s="298" t="s">
        <v>280</v>
      </c>
      <c r="C64" s="298" t="s">
        <v>121</v>
      </c>
      <c r="D64" s="288">
        <v>1.00396231996E9</v>
      </c>
      <c r="E64" s="288">
        <v>1.227047513E9</v>
      </c>
      <c r="F64" s="289">
        <f t="shared" si="61"/>
        <v>223085193</v>
      </c>
      <c r="G64" s="288">
        <v>1.224539719E9</v>
      </c>
      <c r="H64" s="289">
        <f t="shared" si="62"/>
        <v>-2507794</v>
      </c>
      <c r="I64" s="288">
        <v>1.224522934E9</v>
      </c>
      <c r="J64" s="289">
        <f t="shared" si="63"/>
        <v>-16785</v>
      </c>
      <c r="K64" s="288">
        <v>1.302602998E9</v>
      </c>
      <c r="L64" s="289">
        <f t="shared" si="64"/>
        <v>78063279</v>
      </c>
      <c r="M64" s="290">
        <f>'lamp. sk'!H75</f>
        <v>1468037556</v>
      </c>
      <c r="N64" s="290">
        <f t="shared" si="65"/>
        <v>243514622</v>
      </c>
      <c r="O64" s="291">
        <f t="shared" si="66"/>
        <v>0.1988648928</v>
      </c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</row>
    <row r="65" ht="13.5" customHeight="1">
      <c r="A65" s="286"/>
      <c r="B65" s="298" t="s">
        <v>281</v>
      </c>
      <c r="C65" s="298" t="s">
        <v>122</v>
      </c>
      <c r="D65" s="288">
        <v>1.2272838535E9</v>
      </c>
      <c r="E65" s="288">
        <v>1.56858861E9</v>
      </c>
      <c r="F65" s="289">
        <f t="shared" si="61"/>
        <v>341304756.5</v>
      </c>
      <c r="G65" s="288">
        <v>1.562963397E9</v>
      </c>
      <c r="H65" s="289">
        <f t="shared" si="62"/>
        <v>-5625213</v>
      </c>
      <c r="I65" s="288">
        <v>1.563597402E9</v>
      </c>
      <c r="J65" s="289">
        <f t="shared" si="63"/>
        <v>634005</v>
      </c>
      <c r="K65" s="288">
        <v>1.65951864E9</v>
      </c>
      <c r="L65" s="289">
        <f t="shared" si="64"/>
        <v>96555243</v>
      </c>
      <c r="M65" s="290">
        <f>'lamp. sk'!H76</f>
        <v>1854527074</v>
      </c>
      <c r="N65" s="290">
        <f t="shared" si="65"/>
        <v>290929672</v>
      </c>
      <c r="O65" s="291">
        <f t="shared" si="66"/>
        <v>0.1860643102</v>
      </c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</row>
    <row r="66" ht="13.5" customHeight="1">
      <c r="A66" s="286"/>
      <c r="B66" s="298" t="s">
        <v>282</v>
      </c>
      <c r="C66" s="298" t="s">
        <v>123</v>
      </c>
      <c r="D66" s="288">
        <v>1.93835098146E9</v>
      </c>
      <c r="E66" s="288">
        <v>2.257167666E9</v>
      </c>
      <c r="F66" s="289">
        <f t="shared" si="61"/>
        <v>318816684.5</v>
      </c>
      <c r="G66" s="288">
        <v>2.279012459E9</v>
      </c>
      <c r="H66" s="289">
        <f t="shared" si="62"/>
        <v>21844793</v>
      </c>
      <c r="I66" s="288">
        <v>2.27582598E9</v>
      </c>
      <c r="J66" s="289">
        <f t="shared" si="63"/>
        <v>-3186479</v>
      </c>
      <c r="K66" s="288">
        <v>2.399936285E9</v>
      </c>
      <c r="L66" s="289">
        <f t="shared" si="64"/>
        <v>120923826</v>
      </c>
      <c r="M66" s="290">
        <f>'lamp. sk'!H77</f>
        <v>2553403227</v>
      </c>
      <c r="N66" s="290">
        <f t="shared" si="65"/>
        <v>277577247</v>
      </c>
      <c r="O66" s="291">
        <f t="shared" si="66"/>
        <v>0.1219676941</v>
      </c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</row>
    <row r="67" ht="13.5" customHeight="1">
      <c r="A67" s="286"/>
      <c r="B67" s="298" t="s">
        <v>283</v>
      </c>
      <c r="C67" s="298" t="s">
        <v>124</v>
      </c>
      <c r="D67" s="288">
        <v>1.10808696586E9</v>
      </c>
      <c r="E67" s="288">
        <v>1.368035171E9</v>
      </c>
      <c r="F67" s="289">
        <f t="shared" si="61"/>
        <v>259948205.1</v>
      </c>
      <c r="G67" s="288">
        <v>1.364076102E9</v>
      </c>
      <c r="H67" s="289">
        <f t="shared" si="62"/>
        <v>-3959069</v>
      </c>
      <c r="I67" s="288">
        <v>1.364406742E9</v>
      </c>
      <c r="J67" s="289">
        <f t="shared" si="63"/>
        <v>330640</v>
      </c>
      <c r="K67" s="288">
        <v>1.455314605E9</v>
      </c>
      <c r="L67" s="289">
        <f t="shared" si="64"/>
        <v>91238503</v>
      </c>
      <c r="M67" s="290">
        <f>'lamp. sk'!H78</f>
        <v>1672935965</v>
      </c>
      <c r="N67" s="290">
        <f t="shared" si="65"/>
        <v>308529223</v>
      </c>
      <c r="O67" s="291">
        <f t="shared" si="66"/>
        <v>0.2261270144</v>
      </c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</row>
    <row r="68" ht="13.5" customHeight="1">
      <c r="A68" s="286"/>
      <c r="B68" s="298" t="s">
        <v>125</v>
      </c>
      <c r="C68" s="298" t="s">
        <v>126</v>
      </c>
      <c r="D68" s="288"/>
      <c r="E68" s="288"/>
      <c r="F68" s="289"/>
      <c r="G68" s="288"/>
      <c r="H68" s="289"/>
      <c r="I68" s="288"/>
      <c r="J68" s="289"/>
      <c r="K68" s="288"/>
      <c r="L68" s="289"/>
      <c r="M68" s="290"/>
      <c r="N68" s="290"/>
      <c r="O68" s="291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</row>
    <row r="69" ht="13.5" customHeight="1">
      <c r="A69" s="286"/>
      <c r="B69" s="298" t="s">
        <v>284</v>
      </c>
      <c r="C69" s="298" t="s">
        <v>127</v>
      </c>
      <c r="D69" s="288">
        <v>1.33945382288E9</v>
      </c>
      <c r="E69" s="288">
        <v>1.569249956E9</v>
      </c>
      <c r="F69" s="289">
        <f t="shared" ref="F69:F74" si="67">E69-D69</f>
        <v>229796133.1</v>
      </c>
      <c r="G69" s="288">
        <v>1.571145978E9</v>
      </c>
      <c r="H69" s="289">
        <f t="shared" ref="H69:H74" si="68">G69-E69</f>
        <v>1896022</v>
      </c>
      <c r="I69" s="288">
        <v>1.572571696E9</v>
      </c>
      <c r="J69" s="289">
        <f t="shared" ref="J69:J74" si="69">I69-G69</f>
        <v>1425718</v>
      </c>
      <c r="K69" s="288">
        <v>1.664348732E9</v>
      </c>
      <c r="L69" s="289">
        <f t="shared" ref="L69:L74" si="70">K69-G69</f>
        <v>93202754</v>
      </c>
      <c r="M69" s="290">
        <f>'lamp. sk'!H80</f>
        <v>1854906597</v>
      </c>
      <c r="N69" s="290">
        <f t="shared" ref="N69:N74" si="71">M69-I69</f>
        <v>282334901</v>
      </c>
      <c r="O69" s="291">
        <f t="shared" ref="O69:O74" si="72">N69/I69</f>
        <v>0.1795370613</v>
      </c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</row>
    <row r="70" ht="13.5" customHeight="1">
      <c r="A70" s="286"/>
      <c r="B70" s="298" t="s">
        <v>285</v>
      </c>
      <c r="C70" s="298" t="s">
        <v>128</v>
      </c>
      <c r="D70" s="288">
        <v>7.826200948299999E8</v>
      </c>
      <c r="E70" s="288">
        <v>8.78609933E8</v>
      </c>
      <c r="F70" s="289">
        <f t="shared" si="67"/>
        <v>95989838.17</v>
      </c>
      <c r="G70" s="288">
        <v>8.69527234E8</v>
      </c>
      <c r="H70" s="289">
        <f t="shared" si="68"/>
        <v>-9082699</v>
      </c>
      <c r="I70" s="288">
        <v>8.6932835E8</v>
      </c>
      <c r="J70" s="289">
        <f t="shared" si="69"/>
        <v>-198884</v>
      </c>
      <c r="K70" s="288">
        <v>9.40320916E8</v>
      </c>
      <c r="L70" s="289">
        <f t="shared" si="70"/>
        <v>70793682</v>
      </c>
      <c r="M70" s="290">
        <f>'lamp. sk'!H81</f>
        <v>1135061764</v>
      </c>
      <c r="N70" s="290">
        <f t="shared" si="71"/>
        <v>265733414</v>
      </c>
      <c r="O70" s="291">
        <f t="shared" si="72"/>
        <v>0.3056766917</v>
      </c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</row>
    <row r="71" ht="13.5" customHeight="1">
      <c r="A71" s="286"/>
      <c r="B71" s="298" t="s">
        <v>286</v>
      </c>
      <c r="C71" s="298" t="s">
        <v>129</v>
      </c>
      <c r="D71" s="288">
        <v>1.33295485938E9</v>
      </c>
      <c r="E71" s="288">
        <v>1.608876996E9</v>
      </c>
      <c r="F71" s="289">
        <f t="shared" si="67"/>
        <v>275922136.6</v>
      </c>
      <c r="G71" s="288">
        <v>1.613367287E9</v>
      </c>
      <c r="H71" s="289">
        <f t="shared" si="68"/>
        <v>4490291</v>
      </c>
      <c r="I71" s="288">
        <v>1.611788499E9</v>
      </c>
      <c r="J71" s="289">
        <f t="shared" si="69"/>
        <v>-1578788</v>
      </c>
      <c r="K71" s="288">
        <v>1.708443568E9</v>
      </c>
      <c r="L71" s="289">
        <f t="shared" si="70"/>
        <v>95076281</v>
      </c>
      <c r="M71" s="290">
        <f>'lamp. sk'!H82</f>
        <v>1904741749</v>
      </c>
      <c r="N71" s="290">
        <f t="shared" si="71"/>
        <v>292953250</v>
      </c>
      <c r="O71" s="291">
        <f t="shared" si="72"/>
        <v>0.1817566326</v>
      </c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</row>
    <row r="72" ht="13.5" customHeight="1">
      <c r="A72" s="286"/>
      <c r="B72" s="298" t="s">
        <v>287</v>
      </c>
      <c r="C72" s="298" t="s">
        <v>130</v>
      </c>
      <c r="D72" s="288">
        <v>1.25885377546E9</v>
      </c>
      <c r="E72" s="288">
        <v>1.498623502E9</v>
      </c>
      <c r="F72" s="289">
        <f t="shared" si="67"/>
        <v>239769726.5</v>
      </c>
      <c r="G72" s="288">
        <v>1.507021133E9</v>
      </c>
      <c r="H72" s="289">
        <f t="shared" si="68"/>
        <v>8397631</v>
      </c>
      <c r="I72" s="288">
        <v>1.50899816E9</v>
      </c>
      <c r="J72" s="289">
        <f t="shared" si="69"/>
        <v>1977027</v>
      </c>
      <c r="K72" s="288">
        <v>1.599716463E9</v>
      </c>
      <c r="L72" s="289">
        <f t="shared" si="70"/>
        <v>92695330</v>
      </c>
      <c r="M72" s="290">
        <f>'lamp. sk'!H83</f>
        <v>1773594004</v>
      </c>
      <c r="N72" s="290">
        <f t="shared" si="71"/>
        <v>264595844</v>
      </c>
      <c r="O72" s="291">
        <f t="shared" si="72"/>
        <v>0.1753453722</v>
      </c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</row>
    <row r="73" ht="13.5" customHeight="1">
      <c r="A73" s="286"/>
      <c r="B73" s="298" t="s">
        <v>288</v>
      </c>
      <c r="C73" s="298" t="s">
        <v>131</v>
      </c>
      <c r="D73" s="288">
        <v>1.49556819954E9</v>
      </c>
      <c r="E73" s="288">
        <v>1.771157692E9</v>
      </c>
      <c r="F73" s="289">
        <f t="shared" si="67"/>
        <v>275589492.5</v>
      </c>
      <c r="G73" s="288">
        <v>1.784956299E9</v>
      </c>
      <c r="H73" s="289">
        <f t="shared" si="68"/>
        <v>13798607</v>
      </c>
      <c r="I73" s="288">
        <v>1.786327342E9</v>
      </c>
      <c r="J73" s="289">
        <f t="shared" si="69"/>
        <v>1371043</v>
      </c>
      <c r="K73" s="288">
        <v>1.894649927E9</v>
      </c>
      <c r="L73" s="289">
        <f t="shared" si="70"/>
        <v>109693628</v>
      </c>
      <c r="M73" s="290">
        <f>'lamp. sk'!H84</f>
        <v>2065608993</v>
      </c>
      <c r="N73" s="290">
        <f t="shared" si="71"/>
        <v>279281651</v>
      </c>
      <c r="O73" s="291">
        <f t="shared" si="72"/>
        <v>0.1563440498</v>
      </c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</row>
    <row r="74" ht="13.5" customHeight="1">
      <c r="A74" s="286"/>
      <c r="B74" s="298" t="s">
        <v>289</v>
      </c>
      <c r="C74" s="298" t="s">
        <v>132</v>
      </c>
      <c r="D74" s="288">
        <v>1.17839016936E9</v>
      </c>
      <c r="E74" s="288">
        <v>1.496247692E9</v>
      </c>
      <c r="F74" s="289">
        <f t="shared" si="67"/>
        <v>317857522.6</v>
      </c>
      <c r="G74" s="288">
        <v>1.49045587E9</v>
      </c>
      <c r="H74" s="289">
        <f t="shared" si="68"/>
        <v>-5791822</v>
      </c>
      <c r="I74" s="288">
        <v>1.49351881E9</v>
      </c>
      <c r="J74" s="289">
        <f t="shared" si="69"/>
        <v>3062940</v>
      </c>
      <c r="K74" s="288">
        <v>1.595618185E9</v>
      </c>
      <c r="L74" s="289">
        <f t="shared" si="70"/>
        <v>105162315</v>
      </c>
      <c r="M74" s="290">
        <f>'lamp. sk'!H85</f>
        <v>1796888341</v>
      </c>
      <c r="N74" s="290">
        <f t="shared" si="71"/>
        <v>303369531</v>
      </c>
      <c r="O74" s="291">
        <f t="shared" si="72"/>
        <v>0.2031240109</v>
      </c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</row>
    <row r="75" ht="13.5" customHeight="1">
      <c r="A75" s="286"/>
      <c r="B75" s="298" t="s">
        <v>133</v>
      </c>
      <c r="C75" s="298" t="s">
        <v>134</v>
      </c>
      <c r="D75" s="288"/>
      <c r="E75" s="288"/>
      <c r="F75" s="289"/>
      <c r="G75" s="288"/>
      <c r="H75" s="289"/>
      <c r="I75" s="288"/>
      <c r="J75" s="289"/>
      <c r="K75" s="288"/>
      <c r="L75" s="289"/>
      <c r="M75" s="290"/>
      <c r="N75" s="290"/>
      <c r="O75" s="291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</row>
    <row r="76" ht="13.5" customHeight="1">
      <c r="A76" s="286"/>
      <c r="B76" s="298" t="s">
        <v>290</v>
      </c>
      <c r="C76" s="298" t="s">
        <v>135</v>
      </c>
      <c r="D76" s="288">
        <v>1.44969864863E9</v>
      </c>
      <c r="E76" s="288">
        <v>1.785684146E9</v>
      </c>
      <c r="F76" s="289">
        <f t="shared" ref="F76:F80" si="73">E76-D76</f>
        <v>335985497.4</v>
      </c>
      <c r="G76" s="288">
        <v>1.811238605E9</v>
      </c>
      <c r="H76" s="289">
        <f t="shared" ref="H76:H80" si="74">G76-E76</f>
        <v>25554459</v>
      </c>
      <c r="I76" s="288">
        <v>1.807358141E9</v>
      </c>
      <c r="J76" s="289">
        <f t="shared" ref="J76:J80" si="75">I76-G76</f>
        <v>-3880464</v>
      </c>
      <c r="K76" s="288">
        <v>1.916379382E9</v>
      </c>
      <c r="L76" s="289">
        <f t="shared" ref="L76:L80" si="76">K76-G76</f>
        <v>105140777</v>
      </c>
      <c r="M76" s="290">
        <f>'lamp. sk'!H87</f>
        <v>2105324860</v>
      </c>
      <c r="N76" s="290">
        <f t="shared" ref="N76:N80" si="77">M76-I76</f>
        <v>297966719</v>
      </c>
      <c r="O76" s="291">
        <f t="shared" ref="O76:O80" si="78">N76/I76</f>
        <v>0.1648631294</v>
      </c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</row>
    <row r="77" ht="13.5" customHeight="1">
      <c r="A77" s="286"/>
      <c r="B77" s="298" t="s">
        <v>291</v>
      </c>
      <c r="C77" s="298" t="s">
        <v>136</v>
      </c>
      <c r="D77" s="288">
        <v>1.22869992025E9</v>
      </c>
      <c r="E77" s="288">
        <v>1.421467138E9</v>
      </c>
      <c r="F77" s="289">
        <f t="shared" si="73"/>
        <v>192767217.8</v>
      </c>
      <c r="G77" s="288">
        <v>1.429118264E9</v>
      </c>
      <c r="H77" s="289">
        <f t="shared" si="74"/>
        <v>7651126</v>
      </c>
      <c r="I77" s="288">
        <v>1.42777156E9</v>
      </c>
      <c r="J77" s="289">
        <f t="shared" si="75"/>
        <v>-1346704</v>
      </c>
      <c r="K77" s="288">
        <v>1.516721537E9</v>
      </c>
      <c r="L77" s="289">
        <f t="shared" si="76"/>
        <v>87603273</v>
      </c>
      <c r="M77" s="290">
        <f>'lamp. sk'!H88</f>
        <v>1678224164</v>
      </c>
      <c r="N77" s="290">
        <f t="shared" si="77"/>
        <v>250452604</v>
      </c>
      <c r="O77" s="291">
        <f t="shared" si="78"/>
        <v>0.1754150391</v>
      </c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</row>
    <row r="78" ht="13.5" customHeight="1">
      <c r="A78" s="286"/>
      <c r="B78" s="298" t="s">
        <v>292</v>
      </c>
      <c r="C78" s="298" t="s">
        <v>137</v>
      </c>
      <c r="D78" s="288">
        <v>1.2153495661599998E9</v>
      </c>
      <c r="E78" s="288">
        <v>1.459641328E9</v>
      </c>
      <c r="F78" s="289">
        <f t="shared" si="73"/>
        <v>244291761.8</v>
      </c>
      <c r="G78" s="288">
        <v>1.464392065E9</v>
      </c>
      <c r="H78" s="289">
        <f t="shared" si="74"/>
        <v>4750737</v>
      </c>
      <c r="I78" s="288">
        <v>1.463031164E9</v>
      </c>
      <c r="J78" s="289">
        <f t="shared" si="75"/>
        <v>-1360901</v>
      </c>
      <c r="K78" s="288">
        <v>1.547103398E9</v>
      </c>
      <c r="L78" s="289">
        <f t="shared" si="76"/>
        <v>82711333</v>
      </c>
      <c r="M78" s="290">
        <f>'lamp. sk'!H89</f>
        <v>1749823137</v>
      </c>
      <c r="N78" s="290">
        <f t="shared" si="77"/>
        <v>286791973</v>
      </c>
      <c r="O78" s="291">
        <f t="shared" si="78"/>
        <v>0.1960258811</v>
      </c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</row>
    <row r="79" ht="13.5" customHeight="1">
      <c r="A79" s="286"/>
      <c r="B79" s="298" t="s">
        <v>293</v>
      </c>
      <c r="C79" s="298" t="s">
        <v>138</v>
      </c>
      <c r="D79" s="288">
        <v>1.43521287362E9</v>
      </c>
      <c r="E79" s="288">
        <v>1.842967263E9</v>
      </c>
      <c r="F79" s="289">
        <f t="shared" si="73"/>
        <v>407754389.4</v>
      </c>
      <c r="G79" s="288">
        <v>1.837705064E9</v>
      </c>
      <c r="H79" s="289">
        <f t="shared" si="74"/>
        <v>-5262199</v>
      </c>
      <c r="I79" s="288">
        <v>1.83821015E9</v>
      </c>
      <c r="J79" s="289">
        <f t="shared" si="75"/>
        <v>505086</v>
      </c>
      <c r="K79" s="288">
        <v>1.969674829E9</v>
      </c>
      <c r="L79" s="289">
        <f t="shared" si="76"/>
        <v>131969765</v>
      </c>
      <c r="M79" s="290">
        <f>'lamp. sk'!H90</f>
        <v>2163323966</v>
      </c>
      <c r="N79" s="290">
        <f t="shared" si="77"/>
        <v>325113816</v>
      </c>
      <c r="O79" s="291">
        <f t="shared" si="78"/>
        <v>0.1768643351</v>
      </c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</row>
    <row r="80" ht="13.5" customHeight="1">
      <c r="A80" s="286"/>
      <c r="B80" s="298" t="s">
        <v>294</v>
      </c>
      <c r="C80" s="298" t="s">
        <v>139</v>
      </c>
      <c r="D80" s="288">
        <v>1.13715903399E9</v>
      </c>
      <c r="E80" s="288">
        <v>1.393935323E9</v>
      </c>
      <c r="F80" s="289">
        <f t="shared" si="73"/>
        <v>256776289</v>
      </c>
      <c r="G80" s="288">
        <v>1.397043919E9</v>
      </c>
      <c r="H80" s="289">
        <f t="shared" si="74"/>
        <v>3108596</v>
      </c>
      <c r="I80" s="288">
        <v>1.398369949E9</v>
      </c>
      <c r="J80" s="289">
        <f t="shared" si="75"/>
        <v>1326030</v>
      </c>
      <c r="K80" s="288">
        <v>1.48869137E9</v>
      </c>
      <c r="L80" s="289">
        <f t="shared" si="76"/>
        <v>91647451</v>
      </c>
      <c r="M80" s="290">
        <f>'lamp. sk'!H91</f>
        <v>1684216540</v>
      </c>
      <c r="N80" s="290">
        <f t="shared" si="77"/>
        <v>285846591</v>
      </c>
      <c r="O80" s="291">
        <f t="shared" si="78"/>
        <v>0.2044141403</v>
      </c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</row>
    <row r="81" ht="13.5" customHeight="1">
      <c r="A81" s="286"/>
      <c r="B81" s="298" t="s">
        <v>140</v>
      </c>
      <c r="C81" s="298" t="s">
        <v>141</v>
      </c>
      <c r="D81" s="288"/>
      <c r="E81" s="288"/>
      <c r="F81" s="289"/>
      <c r="G81" s="288"/>
      <c r="H81" s="289"/>
      <c r="I81" s="288"/>
      <c r="J81" s="289"/>
      <c r="K81" s="288"/>
      <c r="L81" s="289"/>
      <c r="M81" s="290"/>
      <c r="N81" s="290"/>
      <c r="O81" s="291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</row>
    <row r="82" ht="13.5" customHeight="1">
      <c r="A82" s="286"/>
      <c r="B82" s="298" t="s">
        <v>295</v>
      </c>
      <c r="C82" s="298" t="s">
        <v>142</v>
      </c>
      <c r="D82" s="288">
        <v>1.07979517174E9</v>
      </c>
      <c r="E82" s="288">
        <v>1.354551597E9</v>
      </c>
      <c r="F82" s="289">
        <f t="shared" ref="F82:F89" si="79">E82-D82</f>
        <v>274756425.3</v>
      </c>
      <c r="G82" s="288">
        <v>1.347504058E9</v>
      </c>
      <c r="H82" s="289">
        <f t="shared" ref="H82:H89" si="80">G82-E82</f>
        <v>-7047539</v>
      </c>
      <c r="I82" s="288">
        <v>1.3474219E9</v>
      </c>
      <c r="J82" s="289">
        <f t="shared" ref="J82:J89" si="81">I82-G82</f>
        <v>-82158</v>
      </c>
      <c r="K82" s="288">
        <v>1.42639538E9</v>
      </c>
      <c r="L82" s="289">
        <f t="shared" ref="L82:L89" si="82">K82-G82</f>
        <v>78891322</v>
      </c>
      <c r="M82" s="290">
        <f>'lamp. sk'!H94</f>
        <v>1598121261</v>
      </c>
      <c r="N82" s="290">
        <f t="shared" ref="N82:N89" si="83">M82-I82</f>
        <v>250699361</v>
      </c>
      <c r="O82" s="291">
        <f t="shared" ref="O82:O89" si="84">N82/I82</f>
        <v>0.1860585471</v>
      </c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</row>
    <row r="83" ht="13.5" customHeight="1">
      <c r="A83" s="286"/>
      <c r="B83" s="298" t="s">
        <v>296</v>
      </c>
      <c r="C83" s="298" t="s">
        <v>143</v>
      </c>
      <c r="D83" s="288">
        <v>8.8861562356E8</v>
      </c>
      <c r="E83" s="288">
        <v>1.123984295E9</v>
      </c>
      <c r="F83" s="289">
        <f t="shared" si="79"/>
        <v>235368671.4</v>
      </c>
      <c r="G83" s="288">
        <v>1.117966262E9</v>
      </c>
      <c r="H83" s="289">
        <f t="shared" si="80"/>
        <v>-6018033</v>
      </c>
      <c r="I83" s="288">
        <v>1.11651866E9</v>
      </c>
      <c r="J83" s="289">
        <f t="shared" si="81"/>
        <v>-1447602</v>
      </c>
      <c r="K83" s="288">
        <v>1.197005666E9</v>
      </c>
      <c r="L83" s="289">
        <f t="shared" si="82"/>
        <v>79039404</v>
      </c>
      <c r="M83" s="290">
        <f>'lamp. sk'!H95</f>
        <v>1364939848</v>
      </c>
      <c r="N83" s="290">
        <f t="shared" si="83"/>
        <v>248421188</v>
      </c>
      <c r="O83" s="291">
        <f t="shared" si="84"/>
        <v>0.2224962259</v>
      </c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</row>
    <row r="84" ht="13.5" customHeight="1">
      <c r="A84" s="286"/>
      <c r="B84" s="298" t="s">
        <v>297</v>
      </c>
      <c r="C84" s="298" t="s">
        <v>144</v>
      </c>
      <c r="D84" s="288">
        <v>8.2805697091E8</v>
      </c>
      <c r="E84" s="288">
        <v>1.054101455E9</v>
      </c>
      <c r="F84" s="289">
        <f t="shared" si="79"/>
        <v>226044484.1</v>
      </c>
      <c r="G84" s="288">
        <v>1.050015568E9</v>
      </c>
      <c r="H84" s="289">
        <f t="shared" si="80"/>
        <v>-4085887</v>
      </c>
      <c r="I84" s="288">
        <v>1.048580229E9</v>
      </c>
      <c r="J84" s="289">
        <f t="shared" si="81"/>
        <v>-1435339</v>
      </c>
      <c r="K84" s="288">
        <v>1.123634698E9</v>
      </c>
      <c r="L84" s="289">
        <f t="shared" si="82"/>
        <v>73619130</v>
      </c>
      <c r="M84" s="290">
        <f>'lamp. sk'!H96</f>
        <v>1294550304</v>
      </c>
      <c r="N84" s="290">
        <f t="shared" si="83"/>
        <v>245970075</v>
      </c>
      <c r="O84" s="291">
        <f t="shared" si="84"/>
        <v>0.2345743971</v>
      </c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</row>
    <row r="85" ht="13.5" customHeight="1">
      <c r="A85" s="286"/>
      <c r="B85" s="298" t="s">
        <v>298</v>
      </c>
      <c r="C85" s="298" t="s">
        <v>145</v>
      </c>
      <c r="D85" s="288">
        <v>8.6155679855E8</v>
      </c>
      <c r="E85" s="288">
        <v>1.067073284E9</v>
      </c>
      <c r="F85" s="289">
        <f t="shared" si="79"/>
        <v>205516485.5</v>
      </c>
      <c r="G85" s="288">
        <v>1.058744832E9</v>
      </c>
      <c r="H85" s="289">
        <f t="shared" si="80"/>
        <v>-8328452</v>
      </c>
      <c r="I85" s="288">
        <v>1.058455118E9</v>
      </c>
      <c r="J85" s="289">
        <f t="shared" si="81"/>
        <v>-289714</v>
      </c>
      <c r="K85" s="288">
        <v>1.125954874E9</v>
      </c>
      <c r="L85" s="289">
        <f t="shared" si="82"/>
        <v>67210042</v>
      </c>
      <c r="M85" s="290">
        <f>'lamp. sk'!H97</f>
        <v>1288355172</v>
      </c>
      <c r="N85" s="290">
        <f t="shared" si="83"/>
        <v>229900054</v>
      </c>
      <c r="O85" s="291">
        <f t="shared" si="84"/>
        <v>0.2172034034</v>
      </c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</row>
    <row r="86" ht="13.5" customHeight="1">
      <c r="A86" s="286"/>
      <c r="B86" s="298" t="s">
        <v>299</v>
      </c>
      <c r="C86" s="298" t="s">
        <v>146</v>
      </c>
      <c r="D86" s="288">
        <v>9.4953275322E8</v>
      </c>
      <c r="E86" s="288">
        <v>1.221617375E9</v>
      </c>
      <c r="F86" s="289">
        <f t="shared" si="79"/>
        <v>272084621.8</v>
      </c>
      <c r="G86" s="288">
        <v>1.218548279E9</v>
      </c>
      <c r="H86" s="289">
        <f t="shared" si="80"/>
        <v>-3069096</v>
      </c>
      <c r="I86" s="288">
        <v>1.218388939E9</v>
      </c>
      <c r="J86" s="289">
        <f t="shared" si="81"/>
        <v>-159340</v>
      </c>
      <c r="K86" s="288">
        <v>1.299974087E9</v>
      </c>
      <c r="L86" s="289">
        <f t="shared" si="82"/>
        <v>81425808</v>
      </c>
      <c r="M86" s="290">
        <f>'lamp. sk'!H98</f>
        <v>1477057735</v>
      </c>
      <c r="N86" s="290">
        <f t="shared" si="83"/>
        <v>258668796</v>
      </c>
      <c r="O86" s="291">
        <f t="shared" si="84"/>
        <v>0.2123039595</v>
      </c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</row>
    <row r="87" ht="13.5" customHeight="1">
      <c r="A87" s="286"/>
      <c r="B87" s="298" t="s">
        <v>300</v>
      </c>
      <c r="C87" s="298" t="s">
        <v>147</v>
      </c>
      <c r="D87" s="288">
        <v>1.1303408549E9</v>
      </c>
      <c r="E87" s="288">
        <v>1.388764495E9</v>
      </c>
      <c r="F87" s="289">
        <f t="shared" si="79"/>
        <v>258423640.1</v>
      </c>
      <c r="G87" s="288">
        <v>1.387804125E9</v>
      </c>
      <c r="H87" s="289">
        <f t="shared" si="80"/>
        <v>-960370</v>
      </c>
      <c r="I87" s="288">
        <v>1.386392088E9</v>
      </c>
      <c r="J87" s="289">
        <f t="shared" si="81"/>
        <v>-1412037</v>
      </c>
      <c r="K87" s="288">
        <v>1.476232039E9</v>
      </c>
      <c r="L87" s="289">
        <f t="shared" si="82"/>
        <v>88427914</v>
      </c>
      <c r="M87" s="290">
        <f>'lamp. sk'!H99</f>
        <v>1679224572</v>
      </c>
      <c r="N87" s="290">
        <f t="shared" si="83"/>
        <v>292832484</v>
      </c>
      <c r="O87" s="291">
        <f t="shared" si="84"/>
        <v>0.2112190963</v>
      </c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</row>
    <row r="88" ht="13.5" customHeight="1">
      <c r="A88" s="286"/>
      <c r="B88" s="298" t="s">
        <v>301</v>
      </c>
      <c r="C88" s="298" t="s">
        <v>148</v>
      </c>
      <c r="D88" s="288">
        <v>8.9426259754E8</v>
      </c>
      <c r="E88" s="288">
        <v>1.098866452E9</v>
      </c>
      <c r="F88" s="289">
        <f t="shared" si="79"/>
        <v>204603854.5</v>
      </c>
      <c r="G88" s="288">
        <v>1.104550466E9</v>
      </c>
      <c r="H88" s="289">
        <f t="shared" si="80"/>
        <v>5684014</v>
      </c>
      <c r="I88" s="288">
        <v>1.10477794E9</v>
      </c>
      <c r="J88" s="289">
        <f t="shared" si="81"/>
        <v>227474</v>
      </c>
      <c r="K88" s="288">
        <v>1.176841368E9</v>
      </c>
      <c r="L88" s="289">
        <f t="shared" si="82"/>
        <v>72290902</v>
      </c>
      <c r="M88" s="290">
        <f>'lamp. sk'!H100</f>
        <v>1340391770</v>
      </c>
      <c r="N88" s="290">
        <f t="shared" si="83"/>
        <v>235613830</v>
      </c>
      <c r="O88" s="291">
        <f t="shared" si="84"/>
        <v>0.2132680437</v>
      </c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</row>
    <row r="89" ht="13.5" customHeight="1">
      <c r="A89" s="286"/>
      <c r="B89" s="298" t="s">
        <v>302</v>
      </c>
      <c r="C89" s="298" t="s">
        <v>149</v>
      </c>
      <c r="D89" s="288">
        <v>1.16784941712E9</v>
      </c>
      <c r="E89" s="288">
        <v>1.497236565E9</v>
      </c>
      <c r="F89" s="289">
        <f t="shared" si="79"/>
        <v>329387147.9</v>
      </c>
      <c r="G89" s="288">
        <v>1.497054327E9</v>
      </c>
      <c r="H89" s="289">
        <f t="shared" si="80"/>
        <v>-182238</v>
      </c>
      <c r="I89" s="288">
        <v>1.498554048E9</v>
      </c>
      <c r="J89" s="289">
        <f t="shared" si="81"/>
        <v>1499721</v>
      </c>
      <c r="K89" s="288">
        <v>1.593807472E9</v>
      </c>
      <c r="L89" s="289">
        <f t="shared" si="82"/>
        <v>96753145</v>
      </c>
      <c r="M89" s="290">
        <f>'lamp. sk'!H101</f>
        <v>1762592593</v>
      </c>
      <c r="N89" s="290">
        <f t="shared" si="83"/>
        <v>264038545</v>
      </c>
      <c r="O89" s="291">
        <f t="shared" si="84"/>
        <v>0.1761955435</v>
      </c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</row>
    <row r="90" ht="13.5" customHeight="1">
      <c r="A90" s="286"/>
      <c r="B90" s="298" t="s">
        <v>150</v>
      </c>
      <c r="C90" s="298" t="s">
        <v>151</v>
      </c>
      <c r="D90" s="288"/>
      <c r="E90" s="288"/>
      <c r="F90" s="289"/>
      <c r="G90" s="288"/>
      <c r="H90" s="289"/>
      <c r="I90" s="288"/>
      <c r="J90" s="289"/>
      <c r="K90" s="288"/>
      <c r="L90" s="289"/>
      <c r="M90" s="290"/>
      <c r="N90" s="290"/>
      <c r="O90" s="291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</row>
    <row r="91" ht="13.5" customHeight="1">
      <c r="A91" s="286"/>
      <c r="B91" s="298" t="s">
        <v>303</v>
      </c>
      <c r="C91" s="298" t="s">
        <v>152</v>
      </c>
      <c r="D91" s="288">
        <v>1.11643462462E9</v>
      </c>
      <c r="E91" s="288">
        <v>1.34346387E9</v>
      </c>
      <c r="F91" s="289">
        <f t="shared" ref="F91:F94" si="85">E91-D91</f>
        <v>227029245.4</v>
      </c>
      <c r="G91" s="288">
        <v>1.354677916E9</v>
      </c>
      <c r="H91" s="289">
        <f t="shared" ref="H91:H94" si="86">G91-E91</f>
        <v>11214046</v>
      </c>
      <c r="I91" s="288">
        <v>1.354367883E9</v>
      </c>
      <c r="J91" s="289">
        <f t="shared" ref="J91:J94" si="87">I91-G91</f>
        <v>-310033</v>
      </c>
      <c r="K91" s="288">
        <v>1.448467279E9</v>
      </c>
      <c r="L91" s="289">
        <f t="shared" ref="L91:L94" si="88">K91-G91</f>
        <v>93789363</v>
      </c>
      <c r="M91" s="290">
        <f>'lamp. sk'!H103</f>
        <v>1620365027</v>
      </c>
      <c r="N91" s="290">
        <f t="shared" ref="N91:N94" si="89">M91-I91</f>
        <v>265997144</v>
      </c>
      <c r="O91" s="291">
        <f t="shared" ref="O91:O94" si="90">N91/I91</f>
        <v>0.1963994771</v>
      </c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</row>
    <row r="92" ht="13.5" customHeight="1">
      <c r="A92" s="286"/>
      <c r="B92" s="298" t="s">
        <v>304</v>
      </c>
      <c r="C92" s="298" t="s">
        <v>153</v>
      </c>
      <c r="D92" s="288">
        <v>1.20517909551E9</v>
      </c>
      <c r="E92" s="288">
        <v>1.480482209E9</v>
      </c>
      <c r="F92" s="289">
        <f t="shared" si="85"/>
        <v>275303113.5</v>
      </c>
      <c r="G92" s="288">
        <v>1.473914079E9</v>
      </c>
      <c r="H92" s="289">
        <f t="shared" si="86"/>
        <v>-6568130</v>
      </c>
      <c r="I92" s="288">
        <v>1.472562181E9</v>
      </c>
      <c r="J92" s="289">
        <f t="shared" si="87"/>
        <v>-1351898</v>
      </c>
      <c r="K92" s="288">
        <v>1.56841917E9</v>
      </c>
      <c r="L92" s="289">
        <f t="shared" si="88"/>
        <v>94505091</v>
      </c>
      <c r="M92" s="290">
        <f>'lamp. sk'!H104</f>
        <v>1779480510</v>
      </c>
      <c r="N92" s="290">
        <f t="shared" si="89"/>
        <v>306918329</v>
      </c>
      <c r="O92" s="291">
        <f t="shared" si="90"/>
        <v>0.2084246988</v>
      </c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</row>
    <row r="93" ht="13.5" customHeight="1">
      <c r="A93" s="286"/>
      <c r="B93" s="298" t="s">
        <v>305</v>
      </c>
      <c r="C93" s="298" t="s">
        <v>154</v>
      </c>
      <c r="D93" s="288">
        <v>1.21816240762E9</v>
      </c>
      <c r="E93" s="288">
        <v>1.421436462E9</v>
      </c>
      <c r="F93" s="289">
        <f t="shared" si="85"/>
        <v>203274054.4</v>
      </c>
      <c r="G93" s="288">
        <v>1.43055674E9</v>
      </c>
      <c r="H93" s="289">
        <f t="shared" si="86"/>
        <v>9120278</v>
      </c>
      <c r="I93" s="288">
        <v>1.432025064E9</v>
      </c>
      <c r="J93" s="289">
        <f t="shared" si="87"/>
        <v>1468324</v>
      </c>
      <c r="K93" s="288">
        <v>1.516947668E9</v>
      </c>
      <c r="L93" s="289">
        <f t="shared" si="88"/>
        <v>86390928</v>
      </c>
      <c r="M93" s="290">
        <f>'lamp. sk'!H105</f>
        <v>1652544772</v>
      </c>
      <c r="N93" s="290">
        <f t="shared" si="89"/>
        <v>220519708</v>
      </c>
      <c r="O93" s="291">
        <f t="shared" si="90"/>
        <v>0.1539915142</v>
      </c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</row>
    <row r="94" ht="13.5" customHeight="1">
      <c r="A94" s="286"/>
      <c r="B94" s="298" t="s">
        <v>306</v>
      </c>
      <c r="C94" s="298" t="s">
        <v>155</v>
      </c>
      <c r="D94" s="288">
        <v>1.36697673798E9</v>
      </c>
      <c r="E94" s="288">
        <v>1.608829678E9</v>
      </c>
      <c r="F94" s="289">
        <f t="shared" si="85"/>
        <v>241852940</v>
      </c>
      <c r="G94" s="288">
        <v>1.624063538E9</v>
      </c>
      <c r="H94" s="289">
        <f t="shared" si="86"/>
        <v>15233860</v>
      </c>
      <c r="I94" s="288">
        <v>1.623045987E9</v>
      </c>
      <c r="J94" s="289">
        <f t="shared" si="87"/>
        <v>-1017551</v>
      </c>
      <c r="K94" s="288">
        <v>1.717746991E9</v>
      </c>
      <c r="L94" s="289">
        <f t="shared" si="88"/>
        <v>93683453</v>
      </c>
      <c r="M94" s="290">
        <f>'lamp. sk'!H106</f>
        <v>1841489055</v>
      </c>
      <c r="N94" s="290">
        <f t="shared" si="89"/>
        <v>218443068</v>
      </c>
      <c r="O94" s="291">
        <f t="shared" si="90"/>
        <v>0.1345883418</v>
      </c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</row>
    <row r="95" ht="13.5" customHeight="1">
      <c r="A95" s="286"/>
      <c r="B95" s="298" t="s">
        <v>156</v>
      </c>
      <c r="C95" s="298" t="s">
        <v>157</v>
      </c>
      <c r="D95" s="288"/>
      <c r="E95" s="288"/>
      <c r="F95" s="289"/>
      <c r="G95" s="288"/>
      <c r="H95" s="289"/>
      <c r="I95" s="288"/>
      <c r="J95" s="289"/>
      <c r="K95" s="288"/>
      <c r="L95" s="289"/>
      <c r="M95" s="290"/>
      <c r="N95" s="290"/>
      <c r="O95" s="291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</row>
    <row r="96" ht="13.5" customHeight="1">
      <c r="A96" s="286"/>
      <c r="B96" s="298" t="s">
        <v>307</v>
      </c>
      <c r="C96" s="298" t="s">
        <v>158</v>
      </c>
      <c r="D96" s="288">
        <v>1.30678073692E9</v>
      </c>
      <c r="E96" s="288">
        <v>1.589390708E9</v>
      </c>
      <c r="F96" s="289">
        <f t="shared" ref="F96:F100" si="91">E96-D96</f>
        <v>282609971.1</v>
      </c>
      <c r="G96" s="288">
        <v>1.592234907E9</v>
      </c>
      <c r="H96" s="289">
        <f t="shared" ref="H96:H100" si="92">G96-E96</f>
        <v>2844199</v>
      </c>
      <c r="I96" s="288">
        <v>1.597243138E9</v>
      </c>
      <c r="J96" s="289">
        <f t="shared" ref="J96:J100" si="93">I96-G96</f>
        <v>5008231</v>
      </c>
      <c r="K96" s="288">
        <v>1.702161883E9</v>
      </c>
      <c r="L96" s="289">
        <f t="shared" ref="L96:L100" si="94">K96-G96</f>
        <v>109926976</v>
      </c>
      <c r="M96" s="290">
        <f>'lamp. sk'!H108</f>
        <v>1875988211</v>
      </c>
      <c r="N96" s="290">
        <f t="shared" ref="N96:N100" si="95">M96-I96</f>
        <v>278745073</v>
      </c>
      <c r="O96" s="291">
        <f t="shared" ref="O96:O100" si="96">N96/I96</f>
        <v>0.1745163691</v>
      </c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</row>
    <row r="97" ht="13.5" customHeight="1">
      <c r="A97" s="286"/>
      <c r="B97" s="298" t="s">
        <v>308</v>
      </c>
      <c r="C97" s="298" t="s">
        <v>159</v>
      </c>
      <c r="D97" s="288">
        <v>9.8717882749E8</v>
      </c>
      <c r="E97" s="288">
        <v>1.242267951E9</v>
      </c>
      <c r="F97" s="289">
        <f t="shared" si="91"/>
        <v>255089123.5</v>
      </c>
      <c r="G97" s="288">
        <v>1.239689369E9</v>
      </c>
      <c r="H97" s="289">
        <f t="shared" si="92"/>
        <v>-2578582</v>
      </c>
      <c r="I97" s="288">
        <v>1.238642241E9</v>
      </c>
      <c r="J97" s="289">
        <f t="shared" si="93"/>
        <v>-1047128</v>
      </c>
      <c r="K97" s="288">
        <v>1.320439855E9</v>
      </c>
      <c r="L97" s="289">
        <f t="shared" si="94"/>
        <v>80750486</v>
      </c>
      <c r="M97" s="290">
        <f>'lamp. sk'!H109</f>
        <v>1485394031</v>
      </c>
      <c r="N97" s="290">
        <f t="shared" si="95"/>
        <v>246751790</v>
      </c>
      <c r="O97" s="291">
        <f t="shared" si="96"/>
        <v>0.199211509</v>
      </c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</row>
    <row r="98" ht="13.5" customHeight="1">
      <c r="A98" s="286"/>
      <c r="B98" s="298" t="s">
        <v>309</v>
      </c>
      <c r="C98" s="298" t="s">
        <v>160</v>
      </c>
      <c r="D98" s="288">
        <v>9.2910776471E8</v>
      </c>
      <c r="E98" s="288">
        <v>1.132110847E9</v>
      </c>
      <c r="F98" s="289">
        <f t="shared" si="91"/>
        <v>203003082.3</v>
      </c>
      <c r="G98" s="288">
        <v>1.135457497E9</v>
      </c>
      <c r="H98" s="289">
        <f t="shared" si="92"/>
        <v>3346650</v>
      </c>
      <c r="I98" s="288">
        <v>1.135533254E9</v>
      </c>
      <c r="J98" s="289">
        <f t="shared" si="93"/>
        <v>75757</v>
      </c>
      <c r="K98" s="288">
        <v>1.211534583E9</v>
      </c>
      <c r="L98" s="289">
        <f t="shared" si="94"/>
        <v>76077086</v>
      </c>
      <c r="M98" s="290">
        <f>'lamp. sk'!H110</f>
        <v>1380494185</v>
      </c>
      <c r="N98" s="290">
        <f t="shared" si="95"/>
        <v>244960931</v>
      </c>
      <c r="O98" s="291">
        <f t="shared" si="96"/>
        <v>0.2157232561</v>
      </c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</row>
    <row r="99" ht="13.5" customHeight="1">
      <c r="A99" s="286"/>
      <c r="B99" s="298" t="s">
        <v>310</v>
      </c>
      <c r="C99" s="298" t="s">
        <v>161</v>
      </c>
      <c r="D99" s="288">
        <v>8.2213631593E8</v>
      </c>
      <c r="E99" s="288">
        <v>1.010480941E9</v>
      </c>
      <c r="F99" s="289">
        <f t="shared" si="91"/>
        <v>188344625.1</v>
      </c>
      <c r="G99" s="288">
        <v>9.96839223E8</v>
      </c>
      <c r="H99" s="289">
        <f t="shared" si="92"/>
        <v>-13641718</v>
      </c>
      <c r="I99" s="288">
        <v>9.97336972E8</v>
      </c>
      <c r="J99" s="289">
        <f t="shared" si="93"/>
        <v>497749</v>
      </c>
      <c r="K99" s="288">
        <v>1.060881634E9</v>
      </c>
      <c r="L99" s="289">
        <f t="shared" si="94"/>
        <v>64042411</v>
      </c>
      <c r="M99" s="290">
        <f>'lamp. sk'!H111</f>
        <v>1246996624</v>
      </c>
      <c r="N99" s="290">
        <f t="shared" si="95"/>
        <v>249659652</v>
      </c>
      <c r="O99" s="291">
        <f t="shared" si="96"/>
        <v>0.2503262779</v>
      </c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</row>
    <row r="100" ht="13.5" customHeight="1">
      <c r="A100" s="286"/>
      <c r="B100" s="298" t="s">
        <v>311</v>
      </c>
      <c r="C100" s="298" t="s">
        <v>162</v>
      </c>
      <c r="D100" s="288">
        <v>1.180106689E9</v>
      </c>
      <c r="E100" s="288">
        <v>1.369200882E9</v>
      </c>
      <c r="F100" s="289">
        <f t="shared" si="91"/>
        <v>189094193</v>
      </c>
      <c r="G100" s="288">
        <v>1.373305853E9</v>
      </c>
      <c r="H100" s="289">
        <f t="shared" si="92"/>
        <v>4104971</v>
      </c>
      <c r="I100" s="288">
        <v>1.372830598E9</v>
      </c>
      <c r="J100" s="289">
        <f t="shared" si="93"/>
        <v>-475255</v>
      </c>
      <c r="K100" s="288">
        <v>1.456872133E9</v>
      </c>
      <c r="L100" s="289">
        <f t="shared" si="94"/>
        <v>83566280</v>
      </c>
      <c r="M100" s="290">
        <f>'lamp. sk'!H112</f>
        <v>1632076243</v>
      </c>
      <c r="N100" s="290">
        <f t="shared" si="95"/>
        <v>259245645</v>
      </c>
      <c r="O100" s="291">
        <f t="shared" si="96"/>
        <v>0.1888402294</v>
      </c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</row>
    <row r="101" ht="13.5" customHeight="1">
      <c r="A101" s="286"/>
      <c r="B101" s="298" t="s">
        <v>163</v>
      </c>
      <c r="C101" s="298" t="s">
        <v>164</v>
      </c>
      <c r="D101" s="288"/>
      <c r="E101" s="288"/>
      <c r="F101" s="289"/>
      <c r="G101" s="288"/>
      <c r="H101" s="289"/>
      <c r="I101" s="288"/>
      <c r="J101" s="289"/>
      <c r="K101" s="288"/>
      <c r="L101" s="289"/>
      <c r="M101" s="290"/>
      <c r="N101" s="290"/>
      <c r="O101" s="291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</row>
    <row r="102" ht="13.5" customHeight="1">
      <c r="A102" s="286"/>
      <c r="B102" s="298" t="s">
        <v>312</v>
      </c>
      <c r="C102" s="298" t="s">
        <v>165</v>
      </c>
      <c r="D102" s="288">
        <v>1.3772000096399999E9</v>
      </c>
      <c r="E102" s="288">
        <v>1.774707347E9</v>
      </c>
      <c r="F102" s="289">
        <f t="shared" ref="F102:F106" si="97">E102-D102</f>
        <v>397507337.4</v>
      </c>
      <c r="G102" s="288">
        <v>1.769005613E9</v>
      </c>
      <c r="H102" s="289">
        <f t="shared" ref="H102:H106" si="98">G102-E102</f>
        <v>-5701734</v>
      </c>
      <c r="I102" s="288">
        <v>1.768829643E9</v>
      </c>
      <c r="J102" s="289">
        <f t="shared" ref="J102:J106" si="99">I102-G102</f>
        <v>-175970</v>
      </c>
      <c r="K102" s="288">
        <v>1.886405457E9</v>
      </c>
      <c r="L102" s="289">
        <f t="shared" ref="L102:L106" si="100">K102-G102</f>
        <v>117399844</v>
      </c>
      <c r="M102" s="290">
        <f>'lamp. sk'!H114</f>
        <v>2065875733</v>
      </c>
      <c r="N102" s="290">
        <f t="shared" ref="N102:N106" si="101">M102-I102</f>
        <v>297046090</v>
      </c>
      <c r="O102" s="291">
        <f t="shared" ref="O102:O106" si="102">N102/I102</f>
        <v>0.1679336906</v>
      </c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</row>
    <row r="103" ht="13.5" customHeight="1">
      <c r="A103" s="286"/>
      <c r="B103" s="298" t="s">
        <v>313</v>
      </c>
      <c r="C103" s="298" t="s">
        <v>166</v>
      </c>
      <c r="D103" s="288">
        <v>1.59955693158E9</v>
      </c>
      <c r="E103" s="288">
        <v>2.01875416E9</v>
      </c>
      <c r="F103" s="289">
        <f t="shared" si="97"/>
        <v>419197228.4</v>
      </c>
      <c r="G103" s="288">
        <v>2.019866014E9</v>
      </c>
      <c r="H103" s="289">
        <f t="shared" si="98"/>
        <v>1111854</v>
      </c>
      <c r="I103" s="288">
        <v>2.021400722E9</v>
      </c>
      <c r="J103" s="289">
        <f t="shared" si="99"/>
        <v>1534708</v>
      </c>
      <c r="K103" s="288">
        <v>2.160082337E9</v>
      </c>
      <c r="L103" s="289">
        <f t="shared" si="100"/>
        <v>140216323</v>
      </c>
      <c r="M103" s="290">
        <f>'lamp. sk'!H116</f>
        <v>2346404590</v>
      </c>
      <c r="N103" s="290">
        <f t="shared" si="101"/>
        <v>325003868</v>
      </c>
      <c r="O103" s="291">
        <f t="shared" si="102"/>
        <v>0.1607815138</v>
      </c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</row>
    <row r="104" ht="13.5" customHeight="1">
      <c r="A104" s="286"/>
      <c r="B104" s="298" t="s">
        <v>314</v>
      </c>
      <c r="C104" s="298" t="s">
        <v>167</v>
      </c>
      <c r="D104" s="288">
        <v>9.366550218E8</v>
      </c>
      <c r="E104" s="288">
        <v>1.13343455E9</v>
      </c>
      <c r="F104" s="289">
        <f t="shared" si="97"/>
        <v>196779528.2</v>
      </c>
      <c r="G104" s="288">
        <v>1.134320083E9</v>
      </c>
      <c r="H104" s="289">
        <f t="shared" si="98"/>
        <v>885533</v>
      </c>
      <c r="I104" s="288">
        <v>1.139057312E9</v>
      </c>
      <c r="J104" s="289">
        <f t="shared" si="99"/>
        <v>4737229</v>
      </c>
      <c r="K104" s="288">
        <v>1.208598656E9</v>
      </c>
      <c r="L104" s="289">
        <f t="shared" si="100"/>
        <v>74278573</v>
      </c>
      <c r="M104" s="290">
        <f>'lamp. sk'!H117</f>
        <v>1320444284</v>
      </c>
      <c r="N104" s="290">
        <f t="shared" si="101"/>
        <v>181386972</v>
      </c>
      <c r="O104" s="291">
        <f t="shared" si="102"/>
        <v>0.1592430601</v>
      </c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</row>
    <row r="105" ht="13.5" customHeight="1">
      <c r="A105" s="286"/>
      <c r="B105" s="298" t="s">
        <v>315</v>
      </c>
      <c r="C105" s="298" t="s">
        <v>168</v>
      </c>
      <c r="D105" s="288">
        <v>8.4886630097E8</v>
      </c>
      <c r="E105" s="288">
        <v>1.029070556E9</v>
      </c>
      <c r="F105" s="289">
        <f t="shared" si="97"/>
        <v>180204255</v>
      </c>
      <c r="G105" s="288">
        <v>1.031694303E9</v>
      </c>
      <c r="H105" s="289">
        <f t="shared" si="98"/>
        <v>2623747</v>
      </c>
      <c r="I105" s="288">
        <v>1.032452736E9</v>
      </c>
      <c r="J105" s="289">
        <f t="shared" si="99"/>
        <v>758433</v>
      </c>
      <c r="K105" s="288">
        <v>1.095005645E9</v>
      </c>
      <c r="L105" s="289">
        <f t="shared" si="100"/>
        <v>63311342</v>
      </c>
      <c r="M105" s="290">
        <f>'lamp. sk'!H118</f>
        <v>1206188775</v>
      </c>
      <c r="N105" s="290">
        <f t="shared" si="101"/>
        <v>173736039</v>
      </c>
      <c r="O105" s="291">
        <f t="shared" si="102"/>
        <v>0.1682750531</v>
      </c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</row>
    <row r="106" ht="13.5" customHeight="1">
      <c r="A106" s="286"/>
      <c r="B106" s="298" t="s">
        <v>316</v>
      </c>
      <c r="C106" s="298" t="s">
        <v>169</v>
      </c>
      <c r="D106" s="288">
        <v>9.2368873343E8</v>
      </c>
      <c r="E106" s="288">
        <v>1.099393395E9</v>
      </c>
      <c r="F106" s="289">
        <f t="shared" si="97"/>
        <v>175704661.6</v>
      </c>
      <c r="G106" s="288">
        <v>1.103074892E9</v>
      </c>
      <c r="H106" s="289">
        <f t="shared" si="98"/>
        <v>3681497</v>
      </c>
      <c r="I106" s="288">
        <v>1.103668445E9</v>
      </c>
      <c r="J106" s="289">
        <f t="shared" si="99"/>
        <v>593553</v>
      </c>
      <c r="K106" s="288">
        <v>1.170885626E9</v>
      </c>
      <c r="L106" s="289">
        <f t="shared" si="100"/>
        <v>67810734</v>
      </c>
      <c r="M106" s="290">
        <f>'lamp. sk'!H119</f>
        <v>1326381038</v>
      </c>
      <c r="N106" s="290">
        <f t="shared" si="101"/>
        <v>222712593</v>
      </c>
      <c r="O106" s="291">
        <f t="shared" si="102"/>
        <v>0.201793024</v>
      </c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</row>
    <row r="107" ht="13.5" customHeight="1">
      <c r="A107" s="287"/>
      <c r="B107" s="287"/>
      <c r="C107" s="287"/>
      <c r="D107" s="289">
        <f t="shared" ref="D107:M107" si="103">SUM(D5:D106)</f>
        <v>102370730300</v>
      </c>
      <c r="E107" s="289">
        <f t="shared" si="103"/>
        <v>123970190950</v>
      </c>
      <c r="F107" s="289">
        <f t="shared" si="103"/>
        <v>21599460650</v>
      </c>
      <c r="G107" s="289">
        <f t="shared" si="103"/>
        <v>123970190953</v>
      </c>
      <c r="H107" s="289">
        <f t="shared" si="103"/>
        <v>3</v>
      </c>
      <c r="I107" s="289">
        <f t="shared" si="103"/>
        <v>123970190951</v>
      </c>
      <c r="J107" s="289">
        <f t="shared" si="103"/>
        <v>-2.200000525</v>
      </c>
      <c r="K107" s="289">
        <f t="shared" si="103"/>
        <v>131750190950</v>
      </c>
      <c r="L107" s="289">
        <f t="shared" si="103"/>
        <v>7779999997</v>
      </c>
      <c r="M107" s="290">
        <f t="shared" si="103"/>
        <v>146406790806</v>
      </c>
      <c r="N107" s="287"/>
      <c r="O107" s="300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</row>
    <row r="108" ht="13.5" customHeight="1">
      <c r="A108" s="286"/>
      <c r="B108" s="286"/>
      <c r="C108" s="286"/>
      <c r="D108" s="286"/>
      <c r="E108" s="286"/>
      <c r="F108" s="287"/>
      <c r="G108" s="286"/>
      <c r="H108" s="287"/>
      <c r="I108" s="288"/>
      <c r="J108" s="289"/>
      <c r="K108" s="288"/>
      <c r="L108" s="289"/>
      <c r="M108" s="290"/>
      <c r="N108" s="290"/>
      <c r="O108" s="291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</row>
    <row r="109" ht="13.5" customHeight="1">
      <c r="A109" s="286"/>
      <c r="B109" s="286"/>
      <c r="C109" s="286"/>
      <c r="D109" s="286"/>
      <c r="E109" s="286"/>
      <c r="F109" s="287"/>
      <c r="G109" s="286"/>
      <c r="H109" s="287"/>
      <c r="I109" s="288"/>
      <c r="J109" s="289"/>
      <c r="K109" s="288"/>
      <c r="L109" s="289"/>
      <c r="M109" s="290">
        <f>M107-'lamp. sk'!H120</f>
        <v>0</v>
      </c>
      <c r="N109" s="290"/>
      <c r="O109" s="291">
        <f>AVERAGE(O5:O106)</f>
        <v>0.1865194534</v>
      </c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</row>
    <row r="110" ht="13.5" customHeight="1">
      <c r="A110" s="286"/>
      <c r="B110" s="286"/>
      <c r="C110" s="286"/>
      <c r="D110" s="286"/>
      <c r="E110" s="286"/>
      <c r="F110" s="287"/>
      <c r="G110" s="286"/>
      <c r="H110" s="287"/>
      <c r="I110" s="288"/>
      <c r="J110" s="289"/>
      <c r="K110" s="288"/>
      <c r="L110" s="289"/>
      <c r="M110" s="290"/>
      <c r="N110" s="290"/>
      <c r="O110" s="291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</row>
    <row r="111" ht="13.5" customHeight="1">
      <c r="A111" s="286"/>
      <c r="B111" s="286"/>
      <c r="C111" s="286"/>
      <c r="D111" s="286"/>
      <c r="E111" s="286"/>
      <c r="F111" s="287"/>
      <c r="G111" s="286"/>
      <c r="H111" s="287"/>
      <c r="I111" s="288"/>
      <c r="J111" s="289"/>
      <c r="K111" s="288"/>
      <c r="L111" s="289"/>
      <c r="M111" s="290"/>
      <c r="N111" s="290"/>
      <c r="O111" s="291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</row>
    <row r="112" ht="13.5" customHeight="1">
      <c r="A112" s="286"/>
      <c r="B112" s="286"/>
      <c r="C112" s="286"/>
      <c r="D112" s="286"/>
      <c r="E112" s="286"/>
      <c r="F112" s="287"/>
      <c r="G112" s="286"/>
      <c r="H112" s="287"/>
      <c r="I112" s="288"/>
      <c r="J112" s="289"/>
      <c r="K112" s="288"/>
      <c r="L112" s="289"/>
      <c r="M112" s="290"/>
      <c r="N112" s="290"/>
      <c r="O112" s="291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</row>
    <row r="113" ht="13.5" customHeight="1">
      <c r="A113" s="286"/>
      <c r="B113" s="286"/>
      <c r="C113" s="286"/>
      <c r="D113" s="286"/>
      <c r="E113" s="286"/>
      <c r="F113" s="287"/>
      <c r="G113" s="286"/>
      <c r="H113" s="287"/>
      <c r="I113" s="288"/>
      <c r="J113" s="289"/>
      <c r="K113" s="288"/>
      <c r="L113" s="289"/>
      <c r="M113" s="290"/>
      <c r="N113" s="290"/>
      <c r="O113" s="291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</row>
    <row r="114" ht="13.5" customHeight="1">
      <c r="A114" s="286"/>
      <c r="B114" s="286"/>
      <c r="C114" s="286"/>
      <c r="D114" s="286"/>
      <c r="E114" s="286"/>
      <c r="F114" s="287"/>
      <c r="G114" s="286"/>
      <c r="H114" s="287"/>
      <c r="I114" s="288"/>
      <c r="J114" s="289"/>
      <c r="K114" s="288"/>
      <c r="L114" s="289"/>
      <c r="M114" s="290"/>
      <c r="N114" s="290"/>
      <c r="O114" s="291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</row>
    <row r="115" ht="13.5" customHeight="1">
      <c r="A115" s="286"/>
      <c r="B115" s="286"/>
      <c r="C115" s="286"/>
      <c r="D115" s="286"/>
      <c r="E115" s="286"/>
      <c r="F115" s="287"/>
      <c r="G115" s="286"/>
      <c r="H115" s="287"/>
      <c r="I115" s="288"/>
      <c r="J115" s="289"/>
      <c r="K115" s="288"/>
      <c r="L115" s="289"/>
      <c r="M115" s="290"/>
      <c r="N115" s="290"/>
      <c r="O115" s="291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</row>
    <row r="116" ht="13.5" customHeight="1">
      <c r="A116" s="286"/>
      <c r="B116" s="286"/>
      <c r="C116" s="286"/>
      <c r="D116" s="286"/>
      <c r="E116" s="286"/>
      <c r="F116" s="287"/>
      <c r="G116" s="286"/>
      <c r="H116" s="287"/>
      <c r="I116" s="288"/>
      <c r="J116" s="289"/>
      <c r="K116" s="288"/>
      <c r="L116" s="289"/>
      <c r="M116" s="290"/>
      <c r="N116" s="290"/>
      <c r="O116" s="291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</row>
    <row r="117" ht="13.5" customHeight="1">
      <c r="A117" s="286"/>
      <c r="B117" s="286"/>
      <c r="C117" s="286"/>
      <c r="D117" s="286"/>
      <c r="E117" s="286"/>
      <c r="F117" s="287"/>
      <c r="G117" s="286"/>
      <c r="H117" s="287"/>
      <c r="I117" s="288"/>
      <c r="J117" s="289"/>
      <c r="K117" s="288"/>
      <c r="L117" s="289"/>
      <c r="M117" s="290"/>
      <c r="N117" s="290"/>
      <c r="O117" s="291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</row>
    <row r="118" ht="13.5" customHeight="1">
      <c r="A118" s="286"/>
      <c r="B118" s="286"/>
      <c r="C118" s="286"/>
      <c r="D118" s="286"/>
      <c r="E118" s="286"/>
      <c r="F118" s="287"/>
      <c r="G118" s="286"/>
      <c r="H118" s="287"/>
      <c r="I118" s="288"/>
      <c r="J118" s="289"/>
      <c r="K118" s="288"/>
      <c r="L118" s="289"/>
      <c r="M118" s="290"/>
      <c r="N118" s="290"/>
      <c r="O118" s="291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</row>
    <row r="119" ht="13.5" customHeight="1">
      <c r="A119" s="286"/>
      <c r="B119" s="286"/>
      <c r="C119" s="286"/>
      <c r="D119" s="286"/>
      <c r="E119" s="286"/>
      <c r="F119" s="287"/>
      <c r="G119" s="286"/>
      <c r="H119" s="287"/>
      <c r="I119" s="288"/>
      <c r="J119" s="289"/>
      <c r="K119" s="288"/>
      <c r="L119" s="289"/>
      <c r="M119" s="290"/>
      <c r="N119" s="290"/>
      <c r="O119" s="291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</row>
    <row r="120" ht="13.5" customHeight="1">
      <c r="A120" s="286"/>
      <c r="B120" s="286"/>
      <c r="C120" s="286"/>
      <c r="D120" s="286"/>
      <c r="E120" s="286"/>
      <c r="F120" s="287"/>
      <c r="G120" s="286"/>
      <c r="H120" s="287"/>
      <c r="I120" s="288"/>
      <c r="J120" s="289"/>
      <c r="K120" s="288"/>
      <c r="L120" s="289"/>
      <c r="M120" s="290"/>
      <c r="N120" s="290"/>
      <c r="O120" s="291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</row>
    <row r="121" ht="13.5" customHeight="1">
      <c r="A121" s="286"/>
      <c r="B121" s="286"/>
      <c r="C121" s="286"/>
      <c r="D121" s="286"/>
      <c r="E121" s="286"/>
      <c r="F121" s="287"/>
      <c r="G121" s="286"/>
      <c r="H121" s="287"/>
      <c r="I121" s="288"/>
      <c r="J121" s="289"/>
      <c r="K121" s="288"/>
      <c r="L121" s="289"/>
      <c r="M121" s="290"/>
      <c r="N121" s="290"/>
      <c r="O121" s="291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</row>
    <row r="122" ht="13.5" customHeight="1">
      <c r="A122" s="286"/>
      <c r="B122" s="286"/>
      <c r="C122" s="286"/>
      <c r="D122" s="286"/>
      <c r="E122" s="286"/>
      <c r="F122" s="287"/>
      <c r="G122" s="286"/>
      <c r="H122" s="287"/>
      <c r="I122" s="288"/>
      <c r="J122" s="289"/>
      <c r="K122" s="288"/>
      <c r="L122" s="289"/>
      <c r="M122" s="290"/>
      <c r="N122" s="290"/>
      <c r="O122" s="291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</row>
    <row r="123" ht="13.5" customHeight="1">
      <c r="A123" s="286"/>
      <c r="B123" s="286"/>
      <c r="C123" s="286"/>
      <c r="D123" s="286"/>
      <c r="E123" s="286"/>
      <c r="F123" s="287"/>
      <c r="G123" s="286"/>
      <c r="H123" s="287"/>
      <c r="I123" s="288"/>
      <c r="J123" s="289"/>
      <c r="K123" s="288"/>
      <c r="L123" s="289"/>
      <c r="M123" s="290"/>
      <c r="N123" s="290"/>
      <c r="O123" s="291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</row>
    <row r="124" ht="13.5" customHeight="1">
      <c r="A124" s="286"/>
      <c r="B124" s="286"/>
      <c r="C124" s="286"/>
      <c r="D124" s="286"/>
      <c r="E124" s="286"/>
      <c r="F124" s="287"/>
      <c r="G124" s="286"/>
      <c r="H124" s="287"/>
      <c r="I124" s="288"/>
      <c r="J124" s="289"/>
      <c r="K124" s="288"/>
      <c r="L124" s="289"/>
      <c r="M124" s="290"/>
      <c r="N124" s="290"/>
      <c r="O124" s="291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</row>
    <row r="125" ht="13.5" customHeight="1">
      <c r="A125" s="286"/>
      <c r="B125" s="286"/>
      <c r="C125" s="286"/>
      <c r="D125" s="286"/>
      <c r="E125" s="286"/>
      <c r="F125" s="287"/>
      <c r="G125" s="286"/>
      <c r="H125" s="287"/>
      <c r="I125" s="288"/>
      <c r="J125" s="289"/>
      <c r="K125" s="288"/>
      <c r="L125" s="289"/>
      <c r="M125" s="290"/>
      <c r="N125" s="290"/>
      <c r="O125" s="291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</row>
    <row r="126" ht="13.5" customHeight="1">
      <c r="A126" s="286"/>
      <c r="B126" s="286"/>
      <c r="C126" s="286"/>
      <c r="D126" s="286"/>
      <c r="E126" s="286"/>
      <c r="F126" s="287"/>
      <c r="G126" s="286"/>
      <c r="H126" s="287"/>
      <c r="I126" s="288"/>
      <c r="J126" s="289"/>
      <c r="K126" s="288"/>
      <c r="L126" s="289"/>
      <c r="M126" s="290"/>
      <c r="N126" s="290"/>
      <c r="O126" s="291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</row>
    <row r="127" ht="13.5" customHeight="1">
      <c r="A127" s="286"/>
      <c r="B127" s="286"/>
      <c r="C127" s="286"/>
      <c r="D127" s="286"/>
      <c r="E127" s="286"/>
      <c r="F127" s="287"/>
      <c r="G127" s="286"/>
      <c r="H127" s="287"/>
      <c r="I127" s="288"/>
      <c r="J127" s="289"/>
      <c r="K127" s="288"/>
      <c r="L127" s="289"/>
      <c r="M127" s="290"/>
      <c r="N127" s="290"/>
      <c r="O127" s="291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</row>
    <row r="128" ht="13.5" customHeight="1">
      <c r="A128" s="286"/>
      <c r="B128" s="286"/>
      <c r="C128" s="286"/>
      <c r="D128" s="286"/>
      <c r="E128" s="286"/>
      <c r="F128" s="287"/>
      <c r="G128" s="286"/>
      <c r="H128" s="287"/>
      <c r="I128" s="288"/>
      <c r="J128" s="289"/>
      <c r="K128" s="288"/>
      <c r="L128" s="289"/>
      <c r="M128" s="290"/>
      <c r="N128" s="290"/>
      <c r="O128" s="291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</row>
    <row r="129" ht="13.5" customHeight="1">
      <c r="A129" s="286"/>
      <c r="B129" s="286"/>
      <c r="C129" s="286"/>
      <c r="D129" s="286"/>
      <c r="E129" s="286"/>
      <c r="F129" s="287"/>
      <c r="G129" s="286"/>
      <c r="H129" s="287"/>
      <c r="I129" s="288"/>
      <c r="J129" s="289"/>
      <c r="K129" s="288"/>
      <c r="L129" s="289"/>
      <c r="M129" s="290"/>
      <c r="N129" s="290"/>
      <c r="O129" s="291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</row>
    <row r="130" ht="13.5" customHeight="1">
      <c r="A130" s="286"/>
      <c r="B130" s="286"/>
      <c r="C130" s="286"/>
      <c r="D130" s="286"/>
      <c r="E130" s="286"/>
      <c r="F130" s="287"/>
      <c r="G130" s="286"/>
      <c r="H130" s="287"/>
      <c r="I130" s="288"/>
      <c r="J130" s="289"/>
      <c r="K130" s="288"/>
      <c r="L130" s="289"/>
      <c r="M130" s="290"/>
      <c r="N130" s="290"/>
      <c r="O130" s="291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</row>
    <row r="131" ht="13.5" customHeight="1">
      <c r="A131" s="286"/>
      <c r="B131" s="286"/>
      <c r="C131" s="286"/>
      <c r="D131" s="286"/>
      <c r="E131" s="286"/>
      <c r="F131" s="287"/>
      <c r="G131" s="286"/>
      <c r="H131" s="287"/>
      <c r="I131" s="288"/>
      <c r="J131" s="289"/>
      <c r="K131" s="288"/>
      <c r="L131" s="289"/>
      <c r="M131" s="290"/>
      <c r="N131" s="290"/>
      <c r="O131" s="291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</row>
    <row r="132" ht="13.5" customHeight="1">
      <c r="A132" s="286"/>
      <c r="B132" s="286"/>
      <c r="C132" s="286"/>
      <c r="D132" s="286"/>
      <c r="E132" s="286"/>
      <c r="F132" s="287"/>
      <c r="G132" s="286"/>
      <c r="H132" s="287"/>
      <c r="I132" s="288"/>
      <c r="J132" s="289"/>
      <c r="K132" s="288"/>
      <c r="L132" s="289"/>
      <c r="M132" s="290"/>
      <c r="N132" s="290"/>
      <c r="O132" s="291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</row>
    <row r="133" ht="13.5" customHeight="1">
      <c r="A133" s="286"/>
      <c r="B133" s="286"/>
      <c r="C133" s="286"/>
      <c r="D133" s="286"/>
      <c r="E133" s="286"/>
      <c r="F133" s="287"/>
      <c r="G133" s="286"/>
      <c r="H133" s="287"/>
      <c r="I133" s="288"/>
      <c r="J133" s="289"/>
      <c r="K133" s="288"/>
      <c r="L133" s="289"/>
      <c r="M133" s="290"/>
      <c r="N133" s="290"/>
      <c r="O133" s="291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</row>
    <row r="134" ht="13.5" customHeight="1">
      <c r="A134" s="286"/>
      <c r="B134" s="286"/>
      <c r="C134" s="286"/>
      <c r="D134" s="286"/>
      <c r="E134" s="286"/>
      <c r="F134" s="287"/>
      <c r="G134" s="286"/>
      <c r="H134" s="287"/>
      <c r="I134" s="288"/>
      <c r="J134" s="289"/>
      <c r="K134" s="288"/>
      <c r="L134" s="289"/>
      <c r="M134" s="290"/>
      <c r="N134" s="290"/>
      <c r="O134" s="291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</row>
    <row r="135" ht="13.5" customHeight="1">
      <c r="A135" s="286"/>
      <c r="B135" s="286"/>
      <c r="C135" s="286"/>
      <c r="D135" s="286"/>
      <c r="E135" s="286"/>
      <c r="F135" s="287"/>
      <c r="G135" s="286"/>
      <c r="H135" s="287"/>
      <c r="I135" s="288"/>
      <c r="J135" s="289"/>
      <c r="K135" s="288"/>
      <c r="L135" s="289"/>
      <c r="M135" s="290"/>
      <c r="N135" s="290"/>
      <c r="O135" s="291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</row>
    <row r="136" ht="13.5" customHeight="1">
      <c r="A136" s="286"/>
      <c r="B136" s="286"/>
      <c r="C136" s="286"/>
      <c r="D136" s="286"/>
      <c r="E136" s="286"/>
      <c r="F136" s="287"/>
      <c r="G136" s="286"/>
      <c r="H136" s="287"/>
      <c r="I136" s="288"/>
      <c r="J136" s="289"/>
      <c r="K136" s="288"/>
      <c r="L136" s="289"/>
      <c r="M136" s="290"/>
      <c r="N136" s="290"/>
      <c r="O136" s="291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</row>
    <row r="137" ht="13.5" customHeight="1">
      <c r="A137" s="286"/>
      <c r="B137" s="286"/>
      <c r="C137" s="286"/>
      <c r="D137" s="286"/>
      <c r="E137" s="286"/>
      <c r="F137" s="287"/>
      <c r="G137" s="286"/>
      <c r="H137" s="287"/>
      <c r="I137" s="288"/>
      <c r="J137" s="289"/>
      <c r="K137" s="288"/>
      <c r="L137" s="289"/>
      <c r="M137" s="290"/>
      <c r="N137" s="290"/>
      <c r="O137" s="291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</row>
    <row r="138" ht="13.5" customHeight="1">
      <c r="A138" s="286"/>
      <c r="B138" s="286"/>
      <c r="C138" s="286"/>
      <c r="D138" s="286"/>
      <c r="E138" s="286"/>
      <c r="F138" s="287"/>
      <c r="G138" s="286"/>
      <c r="H138" s="287"/>
      <c r="I138" s="288"/>
      <c r="J138" s="289"/>
      <c r="K138" s="288"/>
      <c r="L138" s="289"/>
      <c r="M138" s="290"/>
      <c r="N138" s="290"/>
      <c r="O138" s="291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</row>
    <row r="139" ht="13.5" customHeight="1">
      <c r="A139" s="286"/>
      <c r="B139" s="286"/>
      <c r="C139" s="286"/>
      <c r="D139" s="286"/>
      <c r="E139" s="286"/>
      <c r="F139" s="287"/>
      <c r="G139" s="286"/>
      <c r="H139" s="287"/>
      <c r="I139" s="288"/>
      <c r="J139" s="289"/>
      <c r="K139" s="288"/>
      <c r="L139" s="289"/>
      <c r="M139" s="290"/>
      <c r="N139" s="290"/>
      <c r="O139" s="291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</row>
    <row r="140" ht="13.5" customHeight="1">
      <c r="A140" s="286"/>
      <c r="B140" s="286"/>
      <c r="C140" s="286"/>
      <c r="D140" s="286"/>
      <c r="E140" s="286"/>
      <c r="F140" s="287"/>
      <c r="G140" s="286"/>
      <c r="H140" s="287"/>
      <c r="I140" s="288"/>
      <c r="J140" s="289"/>
      <c r="K140" s="288"/>
      <c r="L140" s="289"/>
      <c r="M140" s="290"/>
      <c r="N140" s="290"/>
      <c r="O140" s="291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</row>
    <row r="141" ht="13.5" customHeight="1">
      <c r="A141" s="286"/>
      <c r="B141" s="286"/>
      <c r="C141" s="286"/>
      <c r="D141" s="286"/>
      <c r="E141" s="286"/>
      <c r="F141" s="287"/>
      <c r="G141" s="286"/>
      <c r="H141" s="287"/>
      <c r="I141" s="288"/>
      <c r="J141" s="289"/>
      <c r="K141" s="288"/>
      <c r="L141" s="289"/>
      <c r="M141" s="290"/>
      <c r="N141" s="290"/>
      <c r="O141" s="291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</row>
    <row r="142" ht="13.5" customHeight="1">
      <c r="A142" s="286"/>
      <c r="B142" s="286"/>
      <c r="C142" s="286"/>
      <c r="D142" s="286"/>
      <c r="E142" s="286"/>
      <c r="F142" s="287"/>
      <c r="G142" s="286"/>
      <c r="H142" s="287"/>
      <c r="I142" s="288"/>
      <c r="J142" s="289"/>
      <c r="K142" s="288"/>
      <c r="L142" s="289"/>
      <c r="M142" s="290"/>
      <c r="N142" s="290"/>
      <c r="O142" s="291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</row>
    <row r="143" ht="13.5" customHeight="1">
      <c r="A143" s="286"/>
      <c r="B143" s="286"/>
      <c r="C143" s="286"/>
      <c r="D143" s="286"/>
      <c r="E143" s="286"/>
      <c r="F143" s="287"/>
      <c r="G143" s="286"/>
      <c r="H143" s="287"/>
      <c r="I143" s="288"/>
      <c r="J143" s="289"/>
      <c r="K143" s="288"/>
      <c r="L143" s="289"/>
      <c r="M143" s="290"/>
      <c r="N143" s="290"/>
      <c r="O143" s="291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</row>
    <row r="144" ht="13.5" customHeight="1">
      <c r="A144" s="286"/>
      <c r="B144" s="286"/>
      <c r="C144" s="286"/>
      <c r="D144" s="286"/>
      <c r="E144" s="286"/>
      <c r="F144" s="287"/>
      <c r="G144" s="286"/>
      <c r="H144" s="287"/>
      <c r="I144" s="288"/>
      <c r="J144" s="289"/>
      <c r="K144" s="288"/>
      <c r="L144" s="289"/>
      <c r="M144" s="290"/>
      <c r="N144" s="290"/>
      <c r="O144" s="291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</row>
    <row r="145" ht="13.5" customHeight="1">
      <c r="A145" s="286"/>
      <c r="B145" s="286"/>
      <c r="C145" s="286"/>
      <c r="D145" s="286"/>
      <c r="E145" s="286"/>
      <c r="F145" s="287"/>
      <c r="G145" s="286"/>
      <c r="H145" s="287"/>
      <c r="I145" s="288"/>
      <c r="J145" s="289"/>
      <c r="K145" s="288"/>
      <c r="L145" s="289"/>
      <c r="M145" s="290"/>
      <c r="N145" s="290"/>
      <c r="O145" s="291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</row>
    <row r="146" ht="13.5" customHeight="1">
      <c r="A146" s="286"/>
      <c r="B146" s="286"/>
      <c r="C146" s="286"/>
      <c r="D146" s="286"/>
      <c r="E146" s="286"/>
      <c r="F146" s="287"/>
      <c r="G146" s="286"/>
      <c r="H146" s="287"/>
      <c r="I146" s="288"/>
      <c r="J146" s="289"/>
      <c r="K146" s="288"/>
      <c r="L146" s="289"/>
      <c r="M146" s="290"/>
      <c r="N146" s="290"/>
      <c r="O146" s="291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</row>
    <row r="147" ht="13.5" customHeight="1">
      <c r="A147" s="286"/>
      <c r="B147" s="286"/>
      <c r="C147" s="286"/>
      <c r="D147" s="286"/>
      <c r="E147" s="286"/>
      <c r="F147" s="287"/>
      <c r="G147" s="286"/>
      <c r="H147" s="287"/>
      <c r="I147" s="288"/>
      <c r="J147" s="289"/>
      <c r="K147" s="288"/>
      <c r="L147" s="289"/>
      <c r="M147" s="290"/>
      <c r="N147" s="290"/>
      <c r="O147" s="291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</row>
    <row r="148" ht="13.5" customHeight="1">
      <c r="A148" s="286"/>
      <c r="B148" s="286"/>
      <c r="C148" s="286"/>
      <c r="D148" s="286"/>
      <c r="E148" s="286"/>
      <c r="F148" s="287"/>
      <c r="G148" s="286"/>
      <c r="H148" s="287"/>
      <c r="I148" s="288"/>
      <c r="J148" s="289"/>
      <c r="K148" s="288"/>
      <c r="L148" s="289"/>
      <c r="M148" s="290"/>
      <c r="N148" s="290"/>
      <c r="O148" s="291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</row>
    <row r="149" ht="13.5" customHeight="1">
      <c r="A149" s="286"/>
      <c r="B149" s="286"/>
      <c r="C149" s="286"/>
      <c r="D149" s="286"/>
      <c r="E149" s="286"/>
      <c r="F149" s="287"/>
      <c r="G149" s="286"/>
      <c r="H149" s="287"/>
      <c r="I149" s="288"/>
      <c r="J149" s="289"/>
      <c r="K149" s="288"/>
      <c r="L149" s="289"/>
      <c r="M149" s="290"/>
      <c r="N149" s="290"/>
      <c r="O149" s="291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</row>
    <row r="150" ht="13.5" customHeight="1">
      <c r="A150" s="286"/>
      <c r="B150" s="286"/>
      <c r="C150" s="286"/>
      <c r="D150" s="286"/>
      <c r="E150" s="286"/>
      <c r="F150" s="287"/>
      <c r="G150" s="286"/>
      <c r="H150" s="287"/>
      <c r="I150" s="288"/>
      <c r="J150" s="289"/>
      <c r="K150" s="288"/>
      <c r="L150" s="289"/>
      <c r="M150" s="290"/>
      <c r="N150" s="290"/>
      <c r="O150" s="291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</row>
    <row r="151" ht="13.5" customHeight="1">
      <c r="A151" s="286"/>
      <c r="B151" s="286"/>
      <c r="C151" s="286"/>
      <c r="D151" s="286"/>
      <c r="E151" s="286"/>
      <c r="F151" s="287"/>
      <c r="G151" s="286"/>
      <c r="H151" s="287"/>
      <c r="I151" s="288"/>
      <c r="J151" s="289"/>
      <c r="K151" s="288"/>
      <c r="L151" s="289"/>
      <c r="M151" s="290"/>
      <c r="N151" s="290"/>
      <c r="O151" s="291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</row>
    <row r="152" ht="13.5" customHeight="1">
      <c r="A152" s="286"/>
      <c r="B152" s="286"/>
      <c r="C152" s="286"/>
      <c r="D152" s="286"/>
      <c r="E152" s="286"/>
      <c r="F152" s="287"/>
      <c r="G152" s="286"/>
      <c r="H152" s="287"/>
      <c r="I152" s="288"/>
      <c r="J152" s="289"/>
      <c r="K152" s="288"/>
      <c r="L152" s="289"/>
      <c r="M152" s="290"/>
      <c r="N152" s="290"/>
      <c r="O152" s="291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</row>
    <row r="153" ht="13.5" customHeight="1">
      <c r="A153" s="286"/>
      <c r="B153" s="286"/>
      <c r="C153" s="286"/>
      <c r="D153" s="286"/>
      <c r="E153" s="286"/>
      <c r="F153" s="287"/>
      <c r="G153" s="286"/>
      <c r="H153" s="287"/>
      <c r="I153" s="288"/>
      <c r="J153" s="289"/>
      <c r="K153" s="288"/>
      <c r="L153" s="289"/>
      <c r="M153" s="290"/>
      <c r="N153" s="290"/>
      <c r="O153" s="291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</row>
    <row r="154" ht="13.5" customHeight="1">
      <c r="A154" s="286"/>
      <c r="B154" s="286"/>
      <c r="C154" s="286"/>
      <c r="D154" s="286"/>
      <c r="E154" s="286"/>
      <c r="F154" s="287"/>
      <c r="G154" s="286"/>
      <c r="H154" s="287"/>
      <c r="I154" s="288"/>
      <c r="J154" s="289"/>
      <c r="K154" s="288"/>
      <c r="L154" s="289"/>
      <c r="M154" s="290"/>
      <c r="N154" s="290"/>
      <c r="O154" s="291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</row>
    <row r="155" ht="13.5" customHeight="1">
      <c r="A155" s="286"/>
      <c r="B155" s="286"/>
      <c r="C155" s="286"/>
      <c r="D155" s="286"/>
      <c r="E155" s="286"/>
      <c r="F155" s="287"/>
      <c r="G155" s="286"/>
      <c r="H155" s="287"/>
      <c r="I155" s="288"/>
      <c r="J155" s="289"/>
      <c r="K155" s="288"/>
      <c r="L155" s="289"/>
      <c r="M155" s="290"/>
      <c r="N155" s="290"/>
      <c r="O155" s="291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</row>
    <row r="156" ht="13.5" customHeight="1">
      <c r="A156" s="286"/>
      <c r="B156" s="286"/>
      <c r="C156" s="286"/>
      <c r="D156" s="286"/>
      <c r="E156" s="286"/>
      <c r="F156" s="287"/>
      <c r="G156" s="286"/>
      <c r="H156" s="287"/>
      <c r="I156" s="288"/>
      <c r="J156" s="289"/>
      <c r="K156" s="288"/>
      <c r="L156" s="289"/>
      <c r="M156" s="290"/>
      <c r="N156" s="290"/>
      <c r="O156" s="291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</row>
    <row r="157" ht="13.5" customHeight="1">
      <c r="A157" s="286"/>
      <c r="B157" s="286"/>
      <c r="C157" s="286"/>
      <c r="D157" s="286"/>
      <c r="E157" s="286"/>
      <c r="F157" s="287"/>
      <c r="G157" s="286"/>
      <c r="H157" s="287"/>
      <c r="I157" s="288"/>
      <c r="J157" s="289"/>
      <c r="K157" s="288"/>
      <c r="L157" s="289"/>
      <c r="M157" s="290"/>
      <c r="N157" s="290"/>
      <c r="O157" s="291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</row>
    <row r="158" ht="13.5" customHeight="1">
      <c r="A158" s="286"/>
      <c r="B158" s="286"/>
      <c r="C158" s="286"/>
      <c r="D158" s="286"/>
      <c r="E158" s="286"/>
      <c r="F158" s="287"/>
      <c r="G158" s="286"/>
      <c r="H158" s="287"/>
      <c r="I158" s="288"/>
      <c r="J158" s="289"/>
      <c r="K158" s="288"/>
      <c r="L158" s="289"/>
      <c r="M158" s="290"/>
      <c r="N158" s="290"/>
      <c r="O158" s="291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</row>
    <row r="159" ht="13.5" customHeight="1">
      <c r="A159" s="286"/>
      <c r="B159" s="286"/>
      <c r="C159" s="286"/>
      <c r="D159" s="286"/>
      <c r="E159" s="286"/>
      <c r="F159" s="287"/>
      <c r="G159" s="286"/>
      <c r="H159" s="287"/>
      <c r="I159" s="288"/>
      <c r="J159" s="289"/>
      <c r="K159" s="288"/>
      <c r="L159" s="289"/>
      <c r="M159" s="290"/>
      <c r="N159" s="290"/>
      <c r="O159" s="291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</row>
    <row r="160" ht="13.5" customHeight="1">
      <c r="A160" s="286"/>
      <c r="B160" s="286"/>
      <c r="C160" s="286"/>
      <c r="D160" s="286"/>
      <c r="E160" s="286"/>
      <c r="F160" s="287"/>
      <c r="G160" s="286"/>
      <c r="H160" s="287"/>
      <c r="I160" s="288"/>
      <c r="J160" s="289"/>
      <c r="K160" s="288"/>
      <c r="L160" s="289"/>
      <c r="M160" s="290"/>
      <c r="N160" s="290"/>
      <c r="O160" s="291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</row>
    <row r="161" ht="13.5" customHeight="1">
      <c r="A161" s="286"/>
      <c r="B161" s="286"/>
      <c r="C161" s="286"/>
      <c r="D161" s="286"/>
      <c r="E161" s="286"/>
      <c r="F161" s="287"/>
      <c r="G161" s="286"/>
      <c r="H161" s="287"/>
      <c r="I161" s="288"/>
      <c r="J161" s="289"/>
      <c r="K161" s="288"/>
      <c r="L161" s="289"/>
      <c r="M161" s="290"/>
      <c r="N161" s="290"/>
      <c r="O161" s="291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</row>
    <row r="162" ht="13.5" customHeight="1">
      <c r="A162" s="286"/>
      <c r="B162" s="286"/>
      <c r="C162" s="286"/>
      <c r="D162" s="286"/>
      <c r="E162" s="286"/>
      <c r="F162" s="287"/>
      <c r="G162" s="286"/>
      <c r="H162" s="287"/>
      <c r="I162" s="288"/>
      <c r="J162" s="289"/>
      <c r="K162" s="288"/>
      <c r="L162" s="289"/>
      <c r="M162" s="290"/>
      <c r="N162" s="290"/>
      <c r="O162" s="291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</row>
    <row r="163" ht="13.5" customHeight="1">
      <c r="A163" s="286"/>
      <c r="B163" s="286"/>
      <c r="C163" s="286"/>
      <c r="D163" s="286"/>
      <c r="E163" s="286"/>
      <c r="F163" s="287"/>
      <c r="G163" s="286"/>
      <c r="H163" s="287"/>
      <c r="I163" s="288"/>
      <c r="J163" s="289"/>
      <c r="K163" s="288"/>
      <c r="L163" s="289"/>
      <c r="M163" s="290"/>
      <c r="N163" s="290"/>
      <c r="O163" s="291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</row>
    <row r="164" ht="13.5" customHeight="1">
      <c r="A164" s="286"/>
      <c r="B164" s="286"/>
      <c r="C164" s="286"/>
      <c r="D164" s="286"/>
      <c r="E164" s="286"/>
      <c r="F164" s="287"/>
      <c r="G164" s="286"/>
      <c r="H164" s="287"/>
      <c r="I164" s="288"/>
      <c r="J164" s="289"/>
      <c r="K164" s="288"/>
      <c r="L164" s="289"/>
      <c r="M164" s="290"/>
      <c r="N164" s="290"/>
      <c r="O164" s="291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</row>
    <row r="165" ht="13.5" customHeight="1">
      <c r="A165" s="286"/>
      <c r="B165" s="286"/>
      <c r="C165" s="286"/>
      <c r="D165" s="286"/>
      <c r="E165" s="286"/>
      <c r="F165" s="287"/>
      <c r="G165" s="286"/>
      <c r="H165" s="287"/>
      <c r="I165" s="288"/>
      <c r="J165" s="289"/>
      <c r="K165" s="288"/>
      <c r="L165" s="289"/>
      <c r="M165" s="290"/>
      <c r="N165" s="290"/>
      <c r="O165" s="291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</row>
    <row r="166" ht="13.5" customHeight="1">
      <c r="A166" s="286"/>
      <c r="B166" s="286"/>
      <c r="C166" s="286"/>
      <c r="D166" s="286"/>
      <c r="E166" s="286"/>
      <c r="F166" s="287"/>
      <c r="G166" s="286"/>
      <c r="H166" s="287"/>
      <c r="I166" s="288"/>
      <c r="J166" s="289"/>
      <c r="K166" s="288"/>
      <c r="L166" s="289"/>
      <c r="M166" s="290"/>
      <c r="N166" s="290"/>
      <c r="O166" s="291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</row>
    <row r="167" ht="13.5" customHeight="1">
      <c r="A167" s="286"/>
      <c r="B167" s="286"/>
      <c r="C167" s="286"/>
      <c r="D167" s="286"/>
      <c r="E167" s="286"/>
      <c r="F167" s="287"/>
      <c r="G167" s="286"/>
      <c r="H167" s="287"/>
      <c r="I167" s="288"/>
      <c r="J167" s="289"/>
      <c r="K167" s="288"/>
      <c r="L167" s="289"/>
      <c r="M167" s="290"/>
      <c r="N167" s="290"/>
      <c r="O167" s="291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</row>
    <row r="168" ht="13.5" customHeight="1">
      <c r="A168" s="286"/>
      <c r="B168" s="286"/>
      <c r="C168" s="286"/>
      <c r="D168" s="286"/>
      <c r="E168" s="286"/>
      <c r="F168" s="287"/>
      <c r="G168" s="286"/>
      <c r="H168" s="287"/>
      <c r="I168" s="288"/>
      <c r="J168" s="289"/>
      <c r="K168" s="288"/>
      <c r="L168" s="289"/>
      <c r="M168" s="290"/>
      <c r="N168" s="290"/>
      <c r="O168" s="291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</row>
    <row r="169" ht="13.5" customHeight="1">
      <c r="A169" s="286"/>
      <c r="B169" s="286"/>
      <c r="C169" s="286"/>
      <c r="D169" s="286"/>
      <c r="E169" s="286"/>
      <c r="F169" s="287"/>
      <c r="G169" s="286"/>
      <c r="H169" s="287"/>
      <c r="I169" s="288"/>
      <c r="J169" s="289"/>
      <c r="K169" s="288"/>
      <c r="L169" s="289"/>
      <c r="M169" s="290"/>
      <c r="N169" s="290"/>
      <c r="O169" s="291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</row>
    <row r="170" ht="13.5" customHeight="1">
      <c r="A170" s="286"/>
      <c r="B170" s="286"/>
      <c r="C170" s="286"/>
      <c r="D170" s="286"/>
      <c r="E170" s="286"/>
      <c r="F170" s="287"/>
      <c r="G170" s="286"/>
      <c r="H170" s="287"/>
      <c r="I170" s="288"/>
      <c r="J170" s="289"/>
      <c r="K170" s="288"/>
      <c r="L170" s="289"/>
      <c r="M170" s="290"/>
      <c r="N170" s="290"/>
      <c r="O170" s="291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</row>
    <row r="171" ht="13.5" customHeight="1">
      <c r="A171" s="286"/>
      <c r="B171" s="286"/>
      <c r="C171" s="286"/>
      <c r="D171" s="286"/>
      <c r="E171" s="286"/>
      <c r="F171" s="287"/>
      <c r="G171" s="286"/>
      <c r="H171" s="287"/>
      <c r="I171" s="288"/>
      <c r="J171" s="289"/>
      <c r="K171" s="288"/>
      <c r="L171" s="289"/>
      <c r="M171" s="290"/>
      <c r="N171" s="290"/>
      <c r="O171" s="291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</row>
    <row r="172" ht="13.5" customHeight="1">
      <c r="A172" s="286"/>
      <c r="B172" s="286"/>
      <c r="C172" s="286"/>
      <c r="D172" s="286"/>
      <c r="E172" s="286"/>
      <c r="F172" s="287"/>
      <c r="G172" s="286"/>
      <c r="H172" s="287"/>
      <c r="I172" s="288"/>
      <c r="J172" s="289"/>
      <c r="K172" s="288"/>
      <c r="L172" s="289"/>
      <c r="M172" s="290"/>
      <c r="N172" s="290"/>
      <c r="O172" s="291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</row>
    <row r="173" ht="13.5" customHeight="1">
      <c r="A173" s="286"/>
      <c r="B173" s="286"/>
      <c r="C173" s="286"/>
      <c r="D173" s="286"/>
      <c r="E173" s="286"/>
      <c r="F173" s="287"/>
      <c r="G173" s="286"/>
      <c r="H173" s="287"/>
      <c r="I173" s="288"/>
      <c r="J173" s="289"/>
      <c r="K173" s="288"/>
      <c r="L173" s="289"/>
      <c r="M173" s="290"/>
      <c r="N173" s="290"/>
      <c r="O173" s="291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</row>
    <row r="174" ht="13.5" customHeight="1">
      <c r="A174" s="286"/>
      <c r="B174" s="286"/>
      <c r="C174" s="286"/>
      <c r="D174" s="286"/>
      <c r="E174" s="286"/>
      <c r="F174" s="287"/>
      <c r="G174" s="286"/>
      <c r="H174" s="287"/>
      <c r="I174" s="288"/>
      <c r="J174" s="289"/>
      <c r="K174" s="288"/>
      <c r="L174" s="289"/>
      <c r="M174" s="290"/>
      <c r="N174" s="290"/>
      <c r="O174" s="291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</row>
    <row r="175" ht="13.5" customHeight="1">
      <c r="A175" s="286"/>
      <c r="B175" s="286"/>
      <c r="C175" s="286"/>
      <c r="D175" s="286"/>
      <c r="E175" s="286"/>
      <c r="F175" s="287"/>
      <c r="G175" s="286"/>
      <c r="H175" s="287"/>
      <c r="I175" s="288"/>
      <c r="J175" s="289"/>
      <c r="K175" s="288"/>
      <c r="L175" s="289"/>
      <c r="M175" s="290"/>
      <c r="N175" s="290"/>
      <c r="O175" s="291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</row>
    <row r="176" ht="13.5" customHeight="1">
      <c r="A176" s="286"/>
      <c r="B176" s="286"/>
      <c r="C176" s="286"/>
      <c r="D176" s="286"/>
      <c r="E176" s="286"/>
      <c r="F176" s="287"/>
      <c r="G176" s="286"/>
      <c r="H176" s="287"/>
      <c r="I176" s="288"/>
      <c r="J176" s="289"/>
      <c r="K176" s="288"/>
      <c r="L176" s="289"/>
      <c r="M176" s="290"/>
      <c r="N176" s="290"/>
      <c r="O176" s="291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</row>
    <row r="177" ht="13.5" customHeight="1">
      <c r="A177" s="286"/>
      <c r="B177" s="286"/>
      <c r="C177" s="286"/>
      <c r="D177" s="286"/>
      <c r="E177" s="286"/>
      <c r="F177" s="287"/>
      <c r="G177" s="286"/>
      <c r="H177" s="287"/>
      <c r="I177" s="288"/>
      <c r="J177" s="289"/>
      <c r="K177" s="288"/>
      <c r="L177" s="289"/>
      <c r="M177" s="290"/>
      <c r="N177" s="290"/>
      <c r="O177" s="291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</row>
    <row r="178" ht="13.5" customHeight="1">
      <c r="A178" s="286"/>
      <c r="B178" s="286"/>
      <c r="C178" s="286"/>
      <c r="D178" s="286"/>
      <c r="E178" s="286"/>
      <c r="F178" s="287"/>
      <c r="G178" s="286"/>
      <c r="H178" s="287"/>
      <c r="I178" s="288"/>
      <c r="J178" s="289"/>
      <c r="K178" s="288"/>
      <c r="L178" s="289"/>
      <c r="M178" s="290"/>
      <c r="N178" s="290"/>
      <c r="O178" s="291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</row>
    <row r="179" ht="13.5" customHeight="1">
      <c r="A179" s="286"/>
      <c r="B179" s="286"/>
      <c r="C179" s="286"/>
      <c r="D179" s="286"/>
      <c r="E179" s="286"/>
      <c r="F179" s="287"/>
      <c r="G179" s="286"/>
      <c r="H179" s="287"/>
      <c r="I179" s="288"/>
      <c r="J179" s="289"/>
      <c r="K179" s="288"/>
      <c r="L179" s="289"/>
      <c r="M179" s="290"/>
      <c r="N179" s="290"/>
      <c r="O179" s="291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</row>
    <row r="180" ht="13.5" customHeight="1">
      <c r="A180" s="286"/>
      <c r="B180" s="286"/>
      <c r="C180" s="286"/>
      <c r="D180" s="286"/>
      <c r="E180" s="286"/>
      <c r="F180" s="287"/>
      <c r="G180" s="286"/>
      <c r="H180" s="287"/>
      <c r="I180" s="288"/>
      <c r="J180" s="289"/>
      <c r="K180" s="288"/>
      <c r="L180" s="289"/>
      <c r="M180" s="290"/>
      <c r="N180" s="290"/>
      <c r="O180" s="291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</row>
    <row r="181" ht="13.5" customHeight="1">
      <c r="A181" s="286"/>
      <c r="B181" s="286"/>
      <c r="C181" s="286"/>
      <c r="D181" s="286"/>
      <c r="E181" s="286"/>
      <c r="F181" s="287"/>
      <c r="G181" s="286"/>
      <c r="H181" s="287"/>
      <c r="I181" s="288"/>
      <c r="J181" s="289"/>
      <c r="K181" s="288"/>
      <c r="L181" s="289"/>
      <c r="M181" s="290"/>
      <c r="N181" s="290"/>
      <c r="O181" s="291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</row>
    <row r="182" ht="13.5" customHeight="1">
      <c r="A182" s="286"/>
      <c r="B182" s="286"/>
      <c r="C182" s="286"/>
      <c r="D182" s="286"/>
      <c r="E182" s="286"/>
      <c r="F182" s="287"/>
      <c r="G182" s="286"/>
      <c r="H182" s="287"/>
      <c r="I182" s="288"/>
      <c r="J182" s="289"/>
      <c r="K182" s="288"/>
      <c r="L182" s="289"/>
      <c r="M182" s="290"/>
      <c r="N182" s="290"/>
      <c r="O182" s="291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</row>
    <row r="183" ht="13.5" customHeight="1">
      <c r="A183" s="286"/>
      <c r="B183" s="286"/>
      <c r="C183" s="286"/>
      <c r="D183" s="286"/>
      <c r="E183" s="286"/>
      <c r="F183" s="287"/>
      <c r="G183" s="286"/>
      <c r="H183" s="287"/>
      <c r="I183" s="288"/>
      <c r="J183" s="289"/>
      <c r="K183" s="288"/>
      <c r="L183" s="289"/>
      <c r="M183" s="290"/>
      <c r="N183" s="290"/>
      <c r="O183" s="291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</row>
    <row r="184" ht="13.5" customHeight="1">
      <c r="A184" s="286"/>
      <c r="B184" s="286"/>
      <c r="C184" s="286"/>
      <c r="D184" s="286"/>
      <c r="E184" s="286"/>
      <c r="F184" s="287"/>
      <c r="G184" s="286"/>
      <c r="H184" s="287"/>
      <c r="I184" s="288"/>
      <c r="J184" s="289"/>
      <c r="K184" s="288"/>
      <c r="L184" s="289"/>
      <c r="M184" s="290"/>
      <c r="N184" s="290"/>
      <c r="O184" s="291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</row>
    <row r="185" ht="13.5" customHeight="1">
      <c r="A185" s="286"/>
      <c r="B185" s="286"/>
      <c r="C185" s="286"/>
      <c r="D185" s="286"/>
      <c r="E185" s="286"/>
      <c r="F185" s="287"/>
      <c r="G185" s="286"/>
      <c r="H185" s="287"/>
      <c r="I185" s="288"/>
      <c r="J185" s="289"/>
      <c r="K185" s="288"/>
      <c r="L185" s="289"/>
      <c r="M185" s="290"/>
      <c r="N185" s="290"/>
      <c r="O185" s="291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</row>
    <row r="186" ht="13.5" customHeight="1">
      <c r="A186" s="286"/>
      <c r="B186" s="286"/>
      <c r="C186" s="286"/>
      <c r="D186" s="286"/>
      <c r="E186" s="286"/>
      <c r="F186" s="287"/>
      <c r="G186" s="286"/>
      <c r="H186" s="287"/>
      <c r="I186" s="288"/>
      <c r="J186" s="289"/>
      <c r="K186" s="288"/>
      <c r="L186" s="289"/>
      <c r="M186" s="290"/>
      <c r="N186" s="290"/>
      <c r="O186" s="291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</row>
    <row r="187" ht="13.5" customHeight="1">
      <c r="A187" s="286"/>
      <c r="B187" s="286"/>
      <c r="C187" s="286"/>
      <c r="D187" s="286"/>
      <c r="E187" s="286"/>
      <c r="F187" s="287"/>
      <c r="G187" s="286"/>
      <c r="H187" s="287"/>
      <c r="I187" s="288"/>
      <c r="J187" s="289"/>
      <c r="K187" s="288"/>
      <c r="L187" s="289"/>
      <c r="M187" s="290"/>
      <c r="N187" s="290"/>
      <c r="O187" s="291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</row>
    <row r="188" ht="13.5" customHeight="1">
      <c r="A188" s="286"/>
      <c r="B188" s="286"/>
      <c r="C188" s="286"/>
      <c r="D188" s="286"/>
      <c r="E188" s="286"/>
      <c r="F188" s="287"/>
      <c r="G188" s="286"/>
      <c r="H188" s="287"/>
      <c r="I188" s="288"/>
      <c r="J188" s="289"/>
      <c r="K188" s="288"/>
      <c r="L188" s="289"/>
      <c r="M188" s="290"/>
      <c r="N188" s="290"/>
      <c r="O188" s="291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</row>
    <row r="189" ht="13.5" customHeight="1">
      <c r="A189" s="286"/>
      <c r="B189" s="286"/>
      <c r="C189" s="286"/>
      <c r="D189" s="286"/>
      <c r="E189" s="286"/>
      <c r="F189" s="287"/>
      <c r="G189" s="286"/>
      <c r="H189" s="287"/>
      <c r="I189" s="288"/>
      <c r="J189" s="289"/>
      <c r="K189" s="288"/>
      <c r="L189" s="289"/>
      <c r="M189" s="290"/>
      <c r="N189" s="290"/>
      <c r="O189" s="291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</row>
    <row r="190" ht="13.5" customHeight="1">
      <c r="A190" s="286"/>
      <c r="B190" s="286"/>
      <c r="C190" s="286"/>
      <c r="D190" s="286"/>
      <c r="E190" s="286"/>
      <c r="F190" s="287"/>
      <c r="G190" s="286"/>
      <c r="H190" s="287"/>
      <c r="I190" s="288"/>
      <c r="J190" s="289"/>
      <c r="K190" s="288"/>
      <c r="L190" s="289"/>
      <c r="M190" s="290"/>
      <c r="N190" s="290"/>
      <c r="O190" s="291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</row>
    <row r="191" ht="13.5" customHeight="1">
      <c r="A191" s="286"/>
      <c r="B191" s="286"/>
      <c r="C191" s="286"/>
      <c r="D191" s="286"/>
      <c r="E191" s="286"/>
      <c r="F191" s="287"/>
      <c r="G191" s="286"/>
      <c r="H191" s="287"/>
      <c r="I191" s="288"/>
      <c r="J191" s="289"/>
      <c r="K191" s="288"/>
      <c r="L191" s="289"/>
      <c r="M191" s="290"/>
      <c r="N191" s="290"/>
      <c r="O191" s="291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</row>
    <row r="192" ht="13.5" customHeight="1">
      <c r="A192" s="286"/>
      <c r="B192" s="286"/>
      <c r="C192" s="286"/>
      <c r="D192" s="286"/>
      <c r="E192" s="286"/>
      <c r="F192" s="287"/>
      <c r="G192" s="286"/>
      <c r="H192" s="287"/>
      <c r="I192" s="288"/>
      <c r="J192" s="289"/>
      <c r="K192" s="288"/>
      <c r="L192" s="289"/>
      <c r="M192" s="290"/>
      <c r="N192" s="290"/>
      <c r="O192" s="291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</row>
    <row r="193" ht="13.5" customHeight="1">
      <c r="A193" s="286"/>
      <c r="B193" s="286"/>
      <c r="C193" s="286"/>
      <c r="D193" s="286"/>
      <c r="E193" s="286"/>
      <c r="F193" s="287"/>
      <c r="G193" s="286"/>
      <c r="H193" s="287"/>
      <c r="I193" s="288"/>
      <c r="J193" s="289"/>
      <c r="K193" s="288"/>
      <c r="L193" s="289"/>
      <c r="M193" s="290"/>
      <c r="N193" s="290"/>
      <c r="O193" s="291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</row>
    <row r="194" ht="13.5" customHeight="1">
      <c r="A194" s="286"/>
      <c r="B194" s="286"/>
      <c r="C194" s="286"/>
      <c r="D194" s="286"/>
      <c r="E194" s="286"/>
      <c r="F194" s="287"/>
      <c r="G194" s="286"/>
      <c r="H194" s="287"/>
      <c r="I194" s="288"/>
      <c r="J194" s="289"/>
      <c r="K194" s="288"/>
      <c r="L194" s="289"/>
      <c r="M194" s="290"/>
      <c r="N194" s="290"/>
      <c r="O194" s="291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</row>
    <row r="195" ht="13.5" customHeight="1">
      <c r="A195" s="286"/>
      <c r="B195" s="286"/>
      <c r="C195" s="286"/>
      <c r="D195" s="286"/>
      <c r="E195" s="286"/>
      <c r="F195" s="287"/>
      <c r="G195" s="286"/>
      <c r="H195" s="287"/>
      <c r="I195" s="288"/>
      <c r="J195" s="289"/>
      <c r="K195" s="288"/>
      <c r="L195" s="289"/>
      <c r="M195" s="290"/>
      <c r="N195" s="290"/>
      <c r="O195" s="291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</row>
    <row r="196" ht="13.5" customHeight="1">
      <c r="A196" s="286"/>
      <c r="B196" s="286"/>
      <c r="C196" s="286"/>
      <c r="D196" s="286"/>
      <c r="E196" s="286"/>
      <c r="F196" s="287"/>
      <c r="G196" s="286"/>
      <c r="H196" s="287"/>
      <c r="I196" s="288"/>
      <c r="J196" s="289"/>
      <c r="K196" s="288"/>
      <c r="L196" s="289"/>
      <c r="M196" s="290"/>
      <c r="N196" s="290"/>
      <c r="O196" s="291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</row>
    <row r="197" ht="13.5" customHeight="1">
      <c r="A197" s="286"/>
      <c r="B197" s="286"/>
      <c r="C197" s="286"/>
      <c r="D197" s="286"/>
      <c r="E197" s="286"/>
      <c r="F197" s="287"/>
      <c r="G197" s="286"/>
      <c r="H197" s="287"/>
      <c r="I197" s="288"/>
      <c r="J197" s="289"/>
      <c r="K197" s="288"/>
      <c r="L197" s="289"/>
      <c r="M197" s="290"/>
      <c r="N197" s="290"/>
      <c r="O197" s="291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</row>
    <row r="198" ht="13.5" customHeight="1">
      <c r="A198" s="286"/>
      <c r="B198" s="286"/>
      <c r="C198" s="286"/>
      <c r="D198" s="286"/>
      <c r="E198" s="286"/>
      <c r="F198" s="287"/>
      <c r="G198" s="286"/>
      <c r="H198" s="287"/>
      <c r="I198" s="288"/>
      <c r="J198" s="289"/>
      <c r="K198" s="288"/>
      <c r="L198" s="289"/>
      <c r="M198" s="290"/>
      <c r="N198" s="290"/>
      <c r="O198" s="291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</row>
    <row r="199" ht="13.5" customHeight="1">
      <c r="A199" s="286"/>
      <c r="B199" s="286"/>
      <c r="C199" s="286"/>
      <c r="D199" s="286"/>
      <c r="E199" s="286"/>
      <c r="F199" s="287"/>
      <c r="G199" s="286"/>
      <c r="H199" s="287"/>
      <c r="I199" s="288"/>
      <c r="J199" s="289"/>
      <c r="K199" s="288"/>
      <c r="L199" s="289"/>
      <c r="M199" s="290"/>
      <c r="N199" s="290"/>
      <c r="O199" s="291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</row>
    <row r="200" ht="13.5" customHeight="1">
      <c r="A200" s="286"/>
      <c r="B200" s="286"/>
      <c r="C200" s="286"/>
      <c r="D200" s="286"/>
      <c r="E200" s="286"/>
      <c r="F200" s="287"/>
      <c r="G200" s="286"/>
      <c r="H200" s="287"/>
      <c r="I200" s="288"/>
      <c r="J200" s="289"/>
      <c r="K200" s="288"/>
      <c r="L200" s="289"/>
      <c r="M200" s="290"/>
      <c r="N200" s="290"/>
      <c r="O200" s="291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</row>
    <row r="201" ht="13.5" customHeight="1">
      <c r="A201" s="286"/>
      <c r="B201" s="286"/>
      <c r="C201" s="286"/>
      <c r="D201" s="286"/>
      <c r="E201" s="286"/>
      <c r="F201" s="287"/>
      <c r="G201" s="286"/>
      <c r="H201" s="287"/>
      <c r="I201" s="288"/>
      <c r="J201" s="289"/>
      <c r="K201" s="288"/>
      <c r="L201" s="289"/>
      <c r="M201" s="290"/>
      <c r="N201" s="290"/>
      <c r="O201" s="291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</row>
    <row r="202" ht="13.5" customHeight="1">
      <c r="A202" s="286"/>
      <c r="B202" s="286"/>
      <c r="C202" s="286"/>
      <c r="D202" s="286"/>
      <c r="E202" s="286"/>
      <c r="F202" s="287"/>
      <c r="G202" s="286"/>
      <c r="H202" s="287"/>
      <c r="I202" s="288"/>
      <c r="J202" s="289"/>
      <c r="K202" s="288"/>
      <c r="L202" s="289"/>
      <c r="M202" s="290"/>
      <c r="N202" s="290"/>
      <c r="O202" s="291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</row>
    <row r="203" ht="13.5" customHeight="1">
      <c r="A203" s="286"/>
      <c r="B203" s="286"/>
      <c r="C203" s="286"/>
      <c r="D203" s="286"/>
      <c r="E203" s="286"/>
      <c r="F203" s="287"/>
      <c r="G203" s="286"/>
      <c r="H203" s="287"/>
      <c r="I203" s="288"/>
      <c r="J203" s="289"/>
      <c r="K203" s="288"/>
      <c r="L203" s="289"/>
      <c r="M203" s="290"/>
      <c r="N203" s="290"/>
      <c r="O203" s="291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</row>
    <row r="204" ht="13.5" customHeight="1">
      <c r="A204" s="286"/>
      <c r="B204" s="286"/>
      <c r="C204" s="286"/>
      <c r="D204" s="286"/>
      <c r="E204" s="286"/>
      <c r="F204" s="287"/>
      <c r="G204" s="286"/>
      <c r="H204" s="287"/>
      <c r="I204" s="288"/>
      <c r="J204" s="289"/>
      <c r="K204" s="288"/>
      <c r="L204" s="289"/>
      <c r="M204" s="290"/>
      <c r="N204" s="290"/>
      <c r="O204" s="291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</row>
    <row r="205" ht="13.5" customHeight="1">
      <c r="A205" s="286"/>
      <c r="B205" s="286"/>
      <c r="C205" s="286"/>
      <c r="D205" s="286"/>
      <c r="E205" s="286"/>
      <c r="F205" s="287"/>
      <c r="G205" s="286"/>
      <c r="H205" s="287"/>
      <c r="I205" s="288"/>
      <c r="J205" s="289"/>
      <c r="K205" s="288"/>
      <c r="L205" s="289"/>
      <c r="M205" s="290"/>
      <c r="N205" s="290"/>
      <c r="O205" s="291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</row>
    <row r="206" ht="13.5" customHeight="1">
      <c r="A206" s="286"/>
      <c r="B206" s="286"/>
      <c r="C206" s="286"/>
      <c r="D206" s="286"/>
      <c r="E206" s="286"/>
      <c r="F206" s="287"/>
      <c r="G206" s="286"/>
      <c r="H206" s="287"/>
      <c r="I206" s="288"/>
      <c r="J206" s="289"/>
      <c r="K206" s="288"/>
      <c r="L206" s="289"/>
      <c r="M206" s="290"/>
      <c r="N206" s="290"/>
      <c r="O206" s="291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</row>
    <row r="207" ht="13.5" customHeight="1">
      <c r="A207" s="286"/>
      <c r="B207" s="286"/>
      <c r="C207" s="286"/>
      <c r="D207" s="286"/>
      <c r="E207" s="286"/>
      <c r="F207" s="287"/>
      <c r="G207" s="286"/>
      <c r="H207" s="287"/>
      <c r="I207" s="288"/>
      <c r="J207" s="289"/>
      <c r="K207" s="288"/>
      <c r="L207" s="289"/>
      <c r="M207" s="290"/>
      <c r="N207" s="290"/>
      <c r="O207" s="291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</row>
    <row r="208" ht="13.5" customHeight="1">
      <c r="A208" s="286"/>
      <c r="B208" s="286"/>
      <c r="C208" s="286"/>
      <c r="D208" s="286"/>
      <c r="E208" s="286"/>
      <c r="F208" s="287"/>
      <c r="G208" s="286"/>
      <c r="H208" s="287"/>
      <c r="I208" s="288"/>
      <c r="J208" s="289"/>
      <c r="K208" s="288"/>
      <c r="L208" s="289"/>
      <c r="M208" s="290"/>
      <c r="N208" s="290"/>
      <c r="O208" s="291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</row>
    <row r="209" ht="13.5" customHeight="1">
      <c r="A209" s="286"/>
      <c r="B209" s="286"/>
      <c r="C209" s="286"/>
      <c r="D209" s="286"/>
      <c r="E209" s="286"/>
      <c r="F209" s="287"/>
      <c r="G209" s="286"/>
      <c r="H209" s="287"/>
      <c r="I209" s="288"/>
      <c r="J209" s="289"/>
      <c r="K209" s="288"/>
      <c r="L209" s="289"/>
      <c r="M209" s="290"/>
      <c r="N209" s="290"/>
      <c r="O209" s="291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</row>
    <row r="210" ht="13.5" customHeight="1">
      <c r="A210" s="286"/>
      <c r="B210" s="286"/>
      <c r="C210" s="286"/>
      <c r="D210" s="286"/>
      <c r="E210" s="286"/>
      <c r="F210" s="287"/>
      <c r="G210" s="286"/>
      <c r="H210" s="287"/>
      <c r="I210" s="288"/>
      <c r="J210" s="289"/>
      <c r="K210" s="288"/>
      <c r="L210" s="289"/>
      <c r="M210" s="290"/>
      <c r="N210" s="290"/>
      <c r="O210" s="291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</row>
    <row r="211" ht="13.5" customHeight="1">
      <c r="A211" s="286"/>
      <c r="B211" s="286"/>
      <c r="C211" s="286"/>
      <c r="D211" s="286"/>
      <c r="E211" s="286"/>
      <c r="F211" s="287"/>
      <c r="G211" s="286"/>
      <c r="H211" s="287"/>
      <c r="I211" s="288"/>
      <c r="J211" s="289"/>
      <c r="K211" s="288"/>
      <c r="L211" s="289"/>
      <c r="M211" s="290"/>
      <c r="N211" s="290"/>
      <c r="O211" s="291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</row>
    <row r="212" ht="13.5" customHeight="1">
      <c r="A212" s="286"/>
      <c r="B212" s="286"/>
      <c r="C212" s="286"/>
      <c r="D212" s="286"/>
      <c r="E212" s="286"/>
      <c r="F212" s="287"/>
      <c r="G212" s="286"/>
      <c r="H212" s="287"/>
      <c r="I212" s="288"/>
      <c r="J212" s="289"/>
      <c r="K212" s="288"/>
      <c r="L212" s="289"/>
      <c r="M212" s="290"/>
      <c r="N212" s="290"/>
      <c r="O212" s="291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</row>
    <row r="213" ht="13.5" customHeight="1">
      <c r="A213" s="286"/>
      <c r="B213" s="286"/>
      <c r="C213" s="286"/>
      <c r="D213" s="286"/>
      <c r="E213" s="286"/>
      <c r="F213" s="287"/>
      <c r="G213" s="286"/>
      <c r="H213" s="287"/>
      <c r="I213" s="288"/>
      <c r="J213" s="289"/>
      <c r="K213" s="288"/>
      <c r="L213" s="289"/>
      <c r="M213" s="290"/>
      <c r="N213" s="290"/>
      <c r="O213" s="291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</row>
    <row r="214" ht="13.5" customHeight="1">
      <c r="A214" s="286"/>
      <c r="B214" s="286"/>
      <c r="C214" s="286"/>
      <c r="D214" s="286"/>
      <c r="E214" s="286"/>
      <c r="F214" s="287"/>
      <c r="G214" s="286"/>
      <c r="H214" s="287"/>
      <c r="I214" s="288"/>
      <c r="J214" s="289"/>
      <c r="K214" s="288"/>
      <c r="L214" s="289"/>
      <c r="M214" s="290"/>
      <c r="N214" s="290"/>
      <c r="O214" s="291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</row>
    <row r="215" ht="13.5" customHeight="1">
      <c r="A215" s="286"/>
      <c r="B215" s="286"/>
      <c r="C215" s="286"/>
      <c r="D215" s="286"/>
      <c r="E215" s="286"/>
      <c r="F215" s="287"/>
      <c r="G215" s="286"/>
      <c r="H215" s="287"/>
      <c r="I215" s="288"/>
      <c r="J215" s="289"/>
      <c r="K215" s="288"/>
      <c r="L215" s="289"/>
      <c r="M215" s="290"/>
      <c r="N215" s="290"/>
      <c r="O215" s="291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</row>
    <row r="216" ht="13.5" customHeight="1">
      <c r="A216" s="286"/>
      <c r="B216" s="286"/>
      <c r="C216" s="286"/>
      <c r="D216" s="286"/>
      <c r="E216" s="286"/>
      <c r="F216" s="287"/>
      <c r="G216" s="286"/>
      <c r="H216" s="287"/>
      <c r="I216" s="288"/>
      <c r="J216" s="289"/>
      <c r="K216" s="288"/>
      <c r="L216" s="289"/>
      <c r="M216" s="290"/>
      <c r="N216" s="290"/>
      <c r="O216" s="291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</row>
    <row r="217" ht="13.5" customHeight="1">
      <c r="A217" s="286"/>
      <c r="B217" s="286"/>
      <c r="C217" s="286"/>
      <c r="D217" s="286"/>
      <c r="E217" s="286"/>
      <c r="F217" s="287"/>
      <c r="G217" s="286"/>
      <c r="H217" s="287"/>
      <c r="I217" s="288"/>
      <c r="J217" s="289"/>
      <c r="K217" s="288"/>
      <c r="L217" s="289"/>
      <c r="M217" s="290"/>
      <c r="N217" s="290"/>
      <c r="O217" s="291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</row>
    <row r="218" ht="13.5" customHeight="1">
      <c r="A218" s="286"/>
      <c r="B218" s="286"/>
      <c r="C218" s="286"/>
      <c r="D218" s="286"/>
      <c r="E218" s="286"/>
      <c r="F218" s="287"/>
      <c r="G218" s="286"/>
      <c r="H218" s="287"/>
      <c r="I218" s="288"/>
      <c r="J218" s="289"/>
      <c r="K218" s="288"/>
      <c r="L218" s="289"/>
      <c r="M218" s="290"/>
      <c r="N218" s="290"/>
      <c r="O218" s="291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</row>
    <row r="219" ht="13.5" customHeight="1">
      <c r="A219" s="286"/>
      <c r="B219" s="286"/>
      <c r="C219" s="286"/>
      <c r="D219" s="286"/>
      <c r="E219" s="286"/>
      <c r="F219" s="287"/>
      <c r="G219" s="286"/>
      <c r="H219" s="287"/>
      <c r="I219" s="288"/>
      <c r="J219" s="289"/>
      <c r="K219" s="288"/>
      <c r="L219" s="289"/>
      <c r="M219" s="290"/>
      <c r="N219" s="290"/>
      <c r="O219" s="291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</row>
    <row r="220" ht="13.5" customHeight="1">
      <c r="A220" s="286"/>
      <c r="B220" s="286"/>
      <c r="C220" s="286"/>
      <c r="D220" s="286"/>
      <c r="E220" s="286"/>
      <c r="F220" s="287"/>
      <c r="G220" s="286"/>
      <c r="H220" s="287"/>
      <c r="I220" s="288"/>
      <c r="J220" s="289"/>
      <c r="K220" s="288"/>
      <c r="L220" s="289"/>
      <c r="M220" s="290"/>
      <c r="N220" s="290"/>
      <c r="O220" s="291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</row>
    <row r="221" ht="13.5" customHeight="1">
      <c r="A221" s="286"/>
      <c r="B221" s="286"/>
      <c r="C221" s="286"/>
      <c r="D221" s="286"/>
      <c r="E221" s="286"/>
      <c r="F221" s="287"/>
      <c r="G221" s="286"/>
      <c r="H221" s="287"/>
      <c r="I221" s="288"/>
      <c r="J221" s="289"/>
      <c r="K221" s="288"/>
      <c r="L221" s="289"/>
      <c r="M221" s="290"/>
      <c r="N221" s="290"/>
      <c r="O221" s="291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</row>
    <row r="222" ht="13.5" customHeight="1">
      <c r="A222" s="286"/>
      <c r="B222" s="286"/>
      <c r="C222" s="286"/>
      <c r="D222" s="286"/>
      <c r="E222" s="286"/>
      <c r="F222" s="287"/>
      <c r="G222" s="286"/>
      <c r="H222" s="287"/>
      <c r="I222" s="288"/>
      <c r="J222" s="289"/>
      <c r="K222" s="288"/>
      <c r="L222" s="289"/>
      <c r="M222" s="290"/>
      <c r="N222" s="290"/>
      <c r="O222" s="291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</row>
    <row r="223" ht="13.5" customHeight="1">
      <c r="A223" s="286"/>
      <c r="B223" s="286"/>
      <c r="C223" s="286"/>
      <c r="D223" s="286"/>
      <c r="E223" s="286"/>
      <c r="F223" s="287"/>
      <c r="G223" s="286"/>
      <c r="H223" s="287"/>
      <c r="I223" s="288"/>
      <c r="J223" s="289"/>
      <c r="K223" s="288"/>
      <c r="L223" s="289"/>
      <c r="M223" s="290"/>
      <c r="N223" s="290"/>
      <c r="O223" s="291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</row>
    <row r="224" ht="13.5" customHeight="1">
      <c r="A224" s="286"/>
      <c r="B224" s="286"/>
      <c r="C224" s="286"/>
      <c r="D224" s="286"/>
      <c r="E224" s="286"/>
      <c r="F224" s="287"/>
      <c r="G224" s="286"/>
      <c r="H224" s="287"/>
      <c r="I224" s="288"/>
      <c r="J224" s="289"/>
      <c r="K224" s="288"/>
      <c r="L224" s="289"/>
      <c r="M224" s="290"/>
      <c r="N224" s="290"/>
      <c r="O224" s="291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</row>
    <row r="225" ht="13.5" customHeight="1">
      <c r="A225" s="286"/>
      <c r="B225" s="286"/>
      <c r="C225" s="286"/>
      <c r="D225" s="286"/>
      <c r="E225" s="286"/>
      <c r="F225" s="287"/>
      <c r="G225" s="286"/>
      <c r="H225" s="287"/>
      <c r="I225" s="288"/>
      <c r="J225" s="289"/>
      <c r="K225" s="288"/>
      <c r="L225" s="289"/>
      <c r="M225" s="290"/>
      <c r="N225" s="290"/>
      <c r="O225" s="291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</row>
    <row r="226" ht="13.5" customHeight="1">
      <c r="A226" s="286"/>
      <c r="B226" s="286"/>
      <c r="C226" s="286"/>
      <c r="D226" s="286"/>
      <c r="E226" s="286"/>
      <c r="F226" s="287"/>
      <c r="G226" s="286"/>
      <c r="H226" s="287"/>
      <c r="I226" s="288"/>
      <c r="J226" s="289"/>
      <c r="K226" s="288"/>
      <c r="L226" s="289"/>
      <c r="M226" s="290"/>
      <c r="N226" s="290"/>
      <c r="O226" s="291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</row>
    <row r="227" ht="13.5" customHeight="1">
      <c r="A227" s="286"/>
      <c r="B227" s="286"/>
      <c r="C227" s="286"/>
      <c r="D227" s="286"/>
      <c r="E227" s="286"/>
      <c r="F227" s="287"/>
      <c r="G227" s="286"/>
      <c r="H227" s="287"/>
      <c r="I227" s="288"/>
      <c r="J227" s="289"/>
      <c r="K227" s="288"/>
      <c r="L227" s="289"/>
      <c r="M227" s="290"/>
      <c r="N227" s="290"/>
      <c r="O227" s="291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</row>
    <row r="228" ht="13.5" customHeight="1">
      <c r="A228" s="286"/>
      <c r="B228" s="286"/>
      <c r="C228" s="286"/>
      <c r="D228" s="286"/>
      <c r="E228" s="286"/>
      <c r="F228" s="287"/>
      <c r="G228" s="286"/>
      <c r="H228" s="287"/>
      <c r="I228" s="288"/>
      <c r="J228" s="289"/>
      <c r="K228" s="288"/>
      <c r="L228" s="289"/>
      <c r="M228" s="290"/>
      <c r="N228" s="290"/>
      <c r="O228" s="291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</row>
    <row r="229" ht="13.5" customHeight="1">
      <c r="A229" s="286"/>
      <c r="B229" s="286"/>
      <c r="C229" s="286"/>
      <c r="D229" s="286"/>
      <c r="E229" s="286"/>
      <c r="F229" s="287"/>
      <c r="G229" s="286"/>
      <c r="H229" s="287"/>
      <c r="I229" s="288"/>
      <c r="J229" s="289"/>
      <c r="K229" s="288"/>
      <c r="L229" s="289"/>
      <c r="M229" s="290"/>
      <c r="N229" s="290"/>
      <c r="O229" s="291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</row>
    <row r="230" ht="13.5" customHeight="1">
      <c r="A230" s="286"/>
      <c r="B230" s="286"/>
      <c r="C230" s="286"/>
      <c r="D230" s="286"/>
      <c r="E230" s="286"/>
      <c r="F230" s="287"/>
      <c r="G230" s="286"/>
      <c r="H230" s="287"/>
      <c r="I230" s="288"/>
      <c r="J230" s="289"/>
      <c r="K230" s="288"/>
      <c r="L230" s="289"/>
      <c r="M230" s="290"/>
      <c r="N230" s="290"/>
      <c r="O230" s="291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</row>
    <row r="231" ht="13.5" customHeight="1">
      <c r="A231" s="286"/>
      <c r="B231" s="286"/>
      <c r="C231" s="286"/>
      <c r="D231" s="286"/>
      <c r="E231" s="286"/>
      <c r="F231" s="287"/>
      <c r="G231" s="286"/>
      <c r="H231" s="287"/>
      <c r="I231" s="288"/>
      <c r="J231" s="289"/>
      <c r="K231" s="288"/>
      <c r="L231" s="289"/>
      <c r="M231" s="290"/>
      <c r="N231" s="290"/>
      <c r="O231" s="291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</row>
    <row r="232" ht="13.5" customHeight="1">
      <c r="A232" s="286"/>
      <c r="B232" s="286"/>
      <c r="C232" s="286"/>
      <c r="D232" s="286"/>
      <c r="E232" s="286"/>
      <c r="F232" s="287"/>
      <c r="G232" s="286"/>
      <c r="H232" s="287"/>
      <c r="I232" s="288"/>
      <c r="J232" s="289"/>
      <c r="K232" s="288"/>
      <c r="L232" s="289"/>
      <c r="M232" s="290"/>
      <c r="N232" s="290"/>
      <c r="O232" s="291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</row>
    <row r="233" ht="13.5" customHeight="1">
      <c r="A233" s="286"/>
      <c r="B233" s="286"/>
      <c r="C233" s="286"/>
      <c r="D233" s="286"/>
      <c r="E233" s="286"/>
      <c r="F233" s="287"/>
      <c r="G233" s="286"/>
      <c r="H233" s="287"/>
      <c r="I233" s="288"/>
      <c r="J233" s="289"/>
      <c r="K233" s="288"/>
      <c r="L233" s="289"/>
      <c r="M233" s="290"/>
      <c r="N233" s="290"/>
      <c r="O233" s="291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</row>
    <row r="234" ht="13.5" customHeight="1">
      <c r="A234" s="286"/>
      <c r="B234" s="286"/>
      <c r="C234" s="286"/>
      <c r="D234" s="286"/>
      <c r="E234" s="286"/>
      <c r="F234" s="287"/>
      <c r="G234" s="286"/>
      <c r="H234" s="287"/>
      <c r="I234" s="288"/>
      <c r="J234" s="289"/>
      <c r="K234" s="288"/>
      <c r="L234" s="289"/>
      <c r="M234" s="290"/>
      <c r="N234" s="290"/>
      <c r="O234" s="291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</row>
    <row r="235" ht="13.5" customHeight="1">
      <c r="A235" s="286"/>
      <c r="B235" s="286"/>
      <c r="C235" s="286"/>
      <c r="D235" s="286"/>
      <c r="E235" s="286"/>
      <c r="F235" s="287"/>
      <c r="G235" s="286"/>
      <c r="H235" s="287"/>
      <c r="I235" s="288"/>
      <c r="J235" s="289"/>
      <c r="K235" s="288"/>
      <c r="L235" s="289"/>
      <c r="M235" s="290"/>
      <c r="N235" s="290"/>
      <c r="O235" s="291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</row>
    <row r="236" ht="13.5" customHeight="1">
      <c r="A236" s="286"/>
      <c r="B236" s="286"/>
      <c r="C236" s="286"/>
      <c r="D236" s="286"/>
      <c r="E236" s="286"/>
      <c r="F236" s="287"/>
      <c r="G236" s="286"/>
      <c r="H236" s="287"/>
      <c r="I236" s="288"/>
      <c r="J236" s="289"/>
      <c r="K236" s="288"/>
      <c r="L236" s="289"/>
      <c r="M236" s="290"/>
      <c r="N236" s="290"/>
      <c r="O236" s="291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</row>
    <row r="237" ht="13.5" customHeight="1">
      <c r="A237" s="286"/>
      <c r="B237" s="286"/>
      <c r="C237" s="286"/>
      <c r="D237" s="286"/>
      <c r="E237" s="286"/>
      <c r="F237" s="287"/>
      <c r="G237" s="286"/>
      <c r="H237" s="287"/>
      <c r="I237" s="288"/>
      <c r="J237" s="289"/>
      <c r="K237" s="288"/>
      <c r="L237" s="289"/>
      <c r="M237" s="290"/>
      <c r="N237" s="290"/>
      <c r="O237" s="291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</row>
    <row r="238" ht="13.5" customHeight="1">
      <c r="A238" s="286"/>
      <c r="B238" s="286"/>
      <c r="C238" s="286"/>
      <c r="D238" s="286"/>
      <c r="E238" s="286"/>
      <c r="F238" s="287"/>
      <c r="G238" s="286"/>
      <c r="H238" s="287"/>
      <c r="I238" s="288"/>
      <c r="J238" s="289"/>
      <c r="K238" s="288"/>
      <c r="L238" s="289"/>
      <c r="M238" s="290"/>
      <c r="N238" s="290"/>
      <c r="O238" s="291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</row>
    <row r="239" ht="13.5" customHeight="1">
      <c r="A239" s="286"/>
      <c r="B239" s="286"/>
      <c r="C239" s="286"/>
      <c r="D239" s="286"/>
      <c r="E239" s="286"/>
      <c r="F239" s="287"/>
      <c r="G239" s="286"/>
      <c r="H239" s="287"/>
      <c r="I239" s="288"/>
      <c r="J239" s="289"/>
      <c r="K239" s="288"/>
      <c r="L239" s="289"/>
      <c r="M239" s="290"/>
      <c r="N239" s="290"/>
      <c r="O239" s="291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</row>
    <row r="240" ht="13.5" customHeight="1">
      <c r="A240" s="286"/>
      <c r="B240" s="286"/>
      <c r="C240" s="286"/>
      <c r="D240" s="286"/>
      <c r="E240" s="286"/>
      <c r="F240" s="287"/>
      <c r="G240" s="286"/>
      <c r="H240" s="287"/>
      <c r="I240" s="288"/>
      <c r="J240" s="289"/>
      <c r="K240" s="288"/>
      <c r="L240" s="289"/>
      <c r="M240" s="290"/>
      <c r="N240" s="290"/>
      <c r="O240" s="291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</row>
    <row r="241" ht="13.5" customHeight="1">
      <c r="A241" s="286"/>
      <c r="B241" s="286"/>
      <c r="C241" s="286"/>
      <c r="D241" s="286"/>
      <c r="E241" s="286"/>
      <c r="F241" s="287"/>
      <c r="G241" s="286"/>
      <c r="H241" s="287"/>
      <c r="I241" s="288"/>
      <c r="J241" s="289"/>
      <c r="K241" s="288"/>
      <c r="L241" s="289"/>
      <c r="M241" s="290"/>
      <c r="N241" s="290"/>
      <c r="O241" s="291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</row>
    <row r="242" ht="13.5" customHeight="1">
      <c r="A242" s="286"/>
      <c r="B242" s="286"/>
      <c r="C242" s="286"/>
      <c r="D242" s="286"/>
      <c r="E242" s="286"/>
      <c r="F242" s="287"/>
      <c r="G242" s="286"/>
      <c r="H242" s="287"/>
      <c r="I242" s="288"/>
      <c r="J242" s="289"/>
      <c r="K242" s="288"/>
      <c r="L242" s="289"/>
      <c r="M242" s="290"/>
      <c r="N242" s="290"/>
      <c r="O242" s="291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</row>
    <row r="243" ht="13.5" customHeight="1">
      <c r="A243" s="286"/>
      <c r="B243" s="286"/>
      <c r="C243" s="286"/>
      <c r="D243" s="286"/>
      <c r="E243" s="286"/>
      <c r="F243" s="287"/>
      <c r="G243" s="286"/>
      <c r="H243" s="287"/>
      <c r="I243" s="288"/>
      <c r="J243" s="289"/>
      <c r="K243" s="288"/>
      <c r="L243" s="289"/>
      <c r="M243" s="290"/>
      <c r="N243" s="290"/>
      <c r="O243" s="291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</row>
    <row r="244" ht="13.5" customHeight="1">
      <c r="A244" s="286"/>
      <c r="B244" s="286"/>
      <c r="C244" s="286"/>
      <c r="D244" s="286"/>
      <c r="E244" s="286"/>
      <c r="F244" s="287"/>
      <c r="G244" s="286"/>
      <c r="H244" s="287"/>
      <c r="I244" s="288"/>
      <c r="J244" s="289"/>
      <c r="K244" s="288"/>
      <c r="L244" s="289"/>
      <c r="M244" s="290"/>
      <c r="N244" s="290"/>
      <c r="O244" s="291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</row>
    <row r="245" ht="13.5" customHeight="1">
      <c r="A245" s="286"/>
      <c r="B245" s="286"/>
      <c r="C245" s="286"/>
      <c r="D245" s="286"/>
      <c r="E245" s="286"/>
      <c r="F245" s="287"/>
      <c r="G245" s="286"/>
      <c r="H245" s="287"/>
      <c r="I245" s="288"/>
      <c r="J245" s="289"/>
      <c r="K245" s="288"/>
      <c r="L245" s="289"/>
      <c r="M245" s="290"/>
      <c r="N245" s="290"/>
      <c r="O245" s="291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</row>
    <row r="246" ht="13.5" customHeight="1">
      <c r="A246" s="286"/>
      <c r="B246" s="286"/>
      <c r="C246" s="286"/>
      <c r="D246" s="286"/>
      <c r="E246" s="286"/>
      <c r="F246" s="287"/>
      <c r="G246" s="286"/>
      <c r="H246" s="287"/>
      <c r="I246" s="288"/>
      <c r="J246" s="289"/>
      <c r="K246" s="288"/>
      <c r="L246" s="289"/>
      <c r="M246" s="290"/>
      <c r="N246" s="290"/>
      <c r="O246" s="291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</row>
    <row r="247" ht="13.5" customHeight="1">
      <c r="A247" s="286"/>
      <c r="B247" s="286"/>
      <c r="C247" s="286"/>
      <c r="D247" s="286"/>
      <c r="E247" s="286"/>
      <c r="F247" s="287"/>
      <c r="G247" s="286"/>
      <c r="H247" s="287"/>
      <c r="I247" s="288"/>
      <c r="J247" s="289"/>
      <c r="K247" s="288"/>
      <c r="L247" s="289"/>
      <c r="M247" s="290"/>
      <c r="N247" s="290"/>
      <c r="O247" s="291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</row>
    <row r="248" ht="13.5" customHeight="1">
      <c r="A248" s="286"/>
      <c r="B248" s="286"/>
      <c r="C248" s="286"/>
      <c r="D248" s="286"/>
      <c r="E248" s="286"/>
      <c r="F248" s="287"/>
      <c r="G248" s="286"/>
      <c r="H248" s="287"/>
      <c r="I248" s="288"/>
      <c r="J248" s="289"/>
      <c r="K248" s="288"/>
      <c r="L248" s="289"/>
      <c r="M248" s="290"/>
      <c r="N248" s="290"/>
      <c r="O248" s="291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</row>
    <row r="249" ht="13.5" customHeight="1">
      <c r="A249" s="286"/>
      <c r="B249" s="286"/>
      <c r="C249" s="286"/>
      <c r="D249" s="286"/>
      <c r="E249" s="286"/>
      <c r="F249" s="287"/>
      <c r="G249" s="286"/>
      <c r="H249" s="287"/>
      <c r="I249" s="288"/>
      <c r="J249" s="289"/>
      <c r="K249" s="288"/>
      <c r="L249" s="289"/>
      <c r="M249" s="290"/>
      <c r="N249" s="290"/>
      <c r="O249" s="291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</row>
    <row r="250" ht="13.5" customHeight="1">
      <c r="A250" s="286"/>
      <c r="B250" s="286"/>
      <c r="C250" s="286"/>
      <c r="D250" s="286"/>
      <c r="E250" s="286"/>
      <c r="F250" s="287"/>
      <c r="G250" s="286"/>
      <c r="H250" s="287"/>
      <c r="I250" s="288"/>
      <c r="J250" s="289"/>
      <c r="K250" s="288"/>
      <c r="L250" s="289"/>
      <c r="M250" s="290"/>
      <c r="N250" s="290"/>
      <c r="O250" s="291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</row>
    <row r="251" ht="13.5" customHeight="1">
      <c r="A251" s="286"/>
      <c r="B251" s="286"/>
      <c r="C251" s="286"/>
      <c r="D251" s="286"/>
      <c r="E251" s="286"/>
      <c r="F251" s="287"/>
      <c r="G251" s="286"/>
      <c r="H251" s="287"/>
      <c r="I251" s="288"/>
      <c r="J251" s="289"/>
      <c r="K251" s="288"/>
      <c r="L251" s="289"/>
      <c r="M251" s="290"/>
      <c r="N251" s="290"/>
      <c r="O251" s="291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</row>
    <row r="252" ht="13.5" customHeight="1">
      <c r="A252" s="286"/>
      <c r="B252" s="286"/>
      <c r="C252" s="286"/>
      <c r="D252" s="286"/>
      <c r="E252" s="286"/>
      <c r="F252" s="287"/>
      <c r="G252" s="286"/>
      <c r="H252" s="287"/>
      <c r="I252" s="288"/>
      <c r="J252" s="289"/>
      <c r="K252" s="288"/>
      <c r="L252" s="289"/>
      <c r="M252" s="290"/>
      <c r="N252" s="290"/>
      <c r="O252" s="291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</row>
    <row r="253" ht="13.5" customHeight="1">
      <c r="A253" s="286"/>
      <c r="B253" s="286"/>
      <c r="C253" s="286"/>
      <c r="D253" s="286"/>
      <c r="E253" s="286"/>
      <c r="F253" s="287"/>
      <c r="G253" s="286"/>
      <c r="H253" s="287"/>
      <c r="I253" s="288"/>
      <c r="J253" s="289"/>
      <c r="K253" s="288"/>
      <c r="L253" s="289"/>
      <c r="M253" s="290"/>
      <c r="N253" s="290"/>
      <c r="O253" s="291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</row>
    <row r="254" ht="13.5" customHeight="1">
      <c r="A254" s="286"/>
      <c r="B254" s="286"/>
      <c r="C254" s="286"/>
      <c r="D254" s="286"/>
      <c r="E254" s="286"/>
      <c r="F254" s="287"/>
      <c r="G254" s="286"/>
      <c r="H254" s="287"/>
      <c r="I254" s="288"/>
      <c r="J254" s="289"/>
      <c r="K254" s="288"/>
      <c r="L254" s="289"/>
      <c r="M254" s="290"/>
      <c r="N254" s="290"/>
      <c r="O254" s="291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</row>
    <row r="255" ht="13.5" customHeight="1">
      <c r="A255" s="286"/>
      <c r="B255" s="286"/>
      <c r="C255" s="286"/>
      <c r="D255" s="286"/>
      <c r="E255" s="286"/>
      <c r="F255" s="287"/>
      <c r="G255" s="286"/>
      <c r="H255" s="287"/>
      <c r="I255" s="288"/>
      <c r="J255" s="289"/>
      <c r="K255" s="288"/>
      <c r="L255" s="289"/>
      <c r="M255" s="290"/>
      <c r="N255" s="290"/>
      <c r="O255" s="291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</row>
    <row r="256" ht="13.5" customHeight="1">
      <c r="A256" s="286"/>
      <c r="B256" s="286"/>
      <c r="C256" s="286"/>
      <c r="D256" s="286"/>
      <c r="E256" s="286"/>
      <c r="F256" s="287"/>
      <c r="G256" s="286"/>
      <c r="H256" s="287"/>
      <c r="I256" s="288"/>
      <c r="J256" s="289"/>
      <c r="K256" s="288"/>
      <c r="L256" s="289"/>
      <c r="M256" s="290"/>
      <c r="N256" s="290"/>
      <c r="O256" s="291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</row>
    <row r="257" ht="13.5" customHeight="1">
      <c r="A257" s="286"/>
      <c r="B257" s="286"/>
      <c r="C257" s="286"/>
      <c r="D257" s="286"/>
      <c r="E257" s="286"/>
      <c r="F257" s="287"/>
      <c r="G257" s="286"/>
      <c r="H257" s="287"/>
      <c r="I257" s="288"/>
      <c r="J257" s="289"/>
      <c r="K257" s="288"/>
      <c r="L257" s="289"/>
      <c r="M257" s="290"/>
      <c r="N257" s="290"/>
      <c r="O257" s="291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</row>
    <row r="258" ht="13.5" customHeight="1">
      <c r="A258" s="286"/>
      <c r="B258" s="286"/>
      <c r="C258" s="286"/>
      <c r="D258" s="286"/>
      <c r="E258" s="286"/>
      <c r="F258" s="287"/>
      <c r="G258" s="286"/>
      <c r="H258" s="287"/>
      <c r="I258" s="288"/>
      <c r="J258" s="289"/>
      <c r="K258" s="288"/>
      <c r="L258" s="289"/>
      <c r="M258" s="290"/>
      <c r="N258" s="290"/>
      <c r="O258" s="291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</row>
    <row r="259" ht="13.5" customHeight="1">
      <c r="A259" s="286"/>
      <c r="B259" s="286"/>
      <c r="C259" s="286"/>
      <c r="D259" s="286"/>
      <c r="E259" s="286"/>
      <c r="F259" s="287"/>
      <c r="G259" s="286"/>
      <c r="H259" s="287"/>
      <c r="I259" s="288"/>
      <c r="J259" s="289"/>
      <c r="K259" s="288"/>
      <c r="L259" s="289"/>
      <c r="M259" s="290"/>
      <c r="N259" s="290"/>
      <c r="O259" s="291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</row>
    <row r="260" ht="13.5" customHeight="1">
      <c r="A260" s="286"/>
      <c r="B260" s="286"/>
      <c r="C260" s="286"/>
      <c r="D260" s="286"/>
      <c r="E260" s="286"/>
      <c r="F260" s="287"/>
      <c r="G260" s="286"/>
      <c r="H260" s="287"/>
      <c r="I260" s="288"/>
      <c r="J260" s="289"/>
      <c r="K260" s="288"/>
      <c r="L260" s="289"/>
      <c r="M260" s="290"/>
      <c r="N260" s="290"/>
      <c r="O260" s="291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</row>
    <row r="261" ht="13.5" customHeight="1">
      <c r="A261" s="286"/>
      <c r="B261" s="286"/>
      <c r="C261" s="286"/>
      <c r="D261" s="286"/>
      <c r="E261" s="286"/>
      <c r="F261" s="287"/>
      <c r="G261" s="286"/>
      <c r="H261" s="287"/>
      <c r="I261" s="288"/>
      <c r="J261" s="289"/>
      <c r="K261" s="288"/>
      <c r="L261" s="289"/>
      <c r="M261" s="290"/>
      <c r="N261" s="290"/>
      <c r="O261" s="291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</row>
    <row r="262" ht="13.5" customHeight="1">
      <c r="A262" s="286"/>
      <c r="B262" s="286"/>
      <c r="C262" s="286"/>
      <c r="D262" s="286"/>
      <c r="E262" s="286"/>
      <c r="F262" s="287"/>
      <c r="G262" s="286"/>
      <c r="H262" s="287"/>
      <c r="I262" s="288"/>
      <c r="J262" s="289"/>
      <c r="K262" s="288"/>
      <c r="L262" s="289"/>
      <c r="M262" s="290"/>
      <c r="N262" s="290"/>
      <c r="O262" s="291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</row>
    <row r="263" ht="13.5" customHeight="1">
      <c r="A263" s="286"/>
      <c r="B263" s="286"/>
      <c r="C263" s="286"/>
      <c r="D263" s="286"/>
      <c r="E263" s="286"/>
      <c r="F263" s="287"/>
      <c r="G263" s="286"/>
      <c r="H263" s="287"/>
      <c r="I263" s="288"/>
      <c r="J263" s="289"/>
      <c r="K263" s="288"/>
      <c r="L263" s="289"/>
      <c r="M263" s="290"/>
      <c r="N263" s="290"/>
      <c r="O263" s="291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</row>
    <row r="264" ht="13.5" customHeight="1">
      <c r="A264" s="286"/>
      <c r="B264" s="286"/>
      <c r="C264" s="286"/>
      <c r="D264" s="286"/>
      <c r="E264" s="286"/>
      <c r="F264" s="287"/>
      <c r="G264" s="286"/>
      <c r="H264" s="287"/>
      <c r="I264" s="288"/>
      <c r="J264" s="289"/>
      <c r="K264" s="288"/>
      <c r="L264" s="289"/>
      <c r="M264" s="290"/>
      <c r="N264" s="290"/>
      <c r="O264" s="291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</row>
    <row r="265" ht="13.5" customHeight="1">
      <c r="A265" s="286"/>
      <c r="B265" s="286"/>
      <c r="C265" s="286"/>
      <c r="D265" s="286"/>
      <c r="E265" s="286"/>
      <c r="F265" s="287"/>
      <c r="G265" s="286"/>
      <c r="H265" s="287"/>
      <c r="I265" s="288"/>
      <c r="J265" s="289"/>
      <c r="K265" s="288"/>
      <c r="L265" s="289"/>
      <c r="M265" s="290"/>
      <c r="N265" s="290"/>
      <c r="O265" s="291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</row>
    <row r="266" ht="13.5" customHeight="1">
      <c r="A266" s="286"/>
      <c r="B266" s="286"/>
      <c r="C266" s="286"/>
      <c r="D266" s="286"/>
      <c r="E266" s="286"/>
      <c r="F266" s="287"/>
      <c r="G266" s="286"/>
      <c r="H266" s="287"/>
      <c r="I266" s="288"/>
      <c r="J266" s="289"/>
      <c r="K266" s="288"/>
      <c r="L266" s="289"/>
      <c r="M266" s="290"/>
      <c r="N266" s="290"/>
      <c r="O266" s="291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</row>
    <row r="267" ht="13.5" customHeight="1">
      <c r="A267" s="286"/>
      <c r="B267" s="286"/>
      <c r="C267" s="286"/>
      <c r="D267" s="286"/>
      <c r="E267" s="286"/>
      <c r="F267" s="287"/>
      <c r="G267" s="286"/>
      <c r="H267" s="287"/>
      <c r="I267" s="288"/>
      <c r="J267" s="289"/>
      <c r="K267" s="288"/>
      <c r="L267" s="289"/>
      <c r="M267" s="290"/>
      <c r="N267" s="290"/>
      <c r="O267" s="291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</row>
    <row r="268" ht="13.5" customHeight="1">
      <c r="A268" s="286"/>
      <c r="B268" s="286"/>
      <c r="C268" s="286"/>
      <c r="D268" s="286"/>
      <c r="E268" s="286"/>
      <c r="F268" s="287"/>
      <c r="G268" s="286"/>
      <c r="H268" s="287"/>
      <c r="I268" s="288"/>
      <c r="J268" s="289"/>
      <c r="K268" s="288"/>
      <c r="L268" s="289"/>
      <c r="M268" s="290"/>
      <c r="N268" s="290"/>
      <c r="O268" s="291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</row>
    <row r="269" ht="13.5" customHeight="1">
      <c r="A269" s="286"/>
      <c r="B269" s="286"/>
      <c r="C269" s="286"/>
      <c r="D269" s="286"/>
      <c r="E269" s="286"/>
      <c r="F269" s="287"/>
      <c r="G269" s="286"/>
      <c r="H269" s="287"/>
      <c r="I269" s="288"/>
      <c r="J269" s="289"/>
      <c r="K269" s="288"/>
      <c r="L269" s="289"/>
      <c r="M269" s="290"/>
      <c r="N269" s="290"/>
      <c r="O269" s="291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</row>
    <row r="270" ht="13.5" customHeight="1">
      <c r="A270" s="286"/>
      <c r="B270" s="286"/>
      <c r="C270" s="286"/>
      <c r="D270" s="286"/>
      <c r="E270" s="286"/>
      <c r="F270" s="287"/>
      <c r="G270" s="286"/>
      <c r="H270" s="287"/>
      <c r="I270" s="288"/>
      <c r="J270" s="289"/>
      <c r="K270" s="288"/>
      <c r="L270" s="289"/>
      <c r="M270" s="290"/>
      <c r="N270" s="290"/>
      <c r="O270" s="291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</row>
    <row r="271" ht="13.5" customHeight="1">
      <c r="A271" s="286"/>
      <c r="B271" s="286"/>
      <c r="C271" s="286"/>
      <c r="D271" s="286"/>
      <c r="E271" s="286"/>
      <c r="F271" s="287"/>
      <c r="G271" s="286"/>
      <c r="H271" s="287"/>
      <c r="I271" s="288"/>
      <c r="J271" s="289"/>
      <c r="K271" s="288"/>
      <c r="L271" s="289"/>
      <c r="M271" s="290"/>
      <c r="N271" s="290"/>
      <c r="O271" s="291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</row>
    <row r="272" ht="13.5" customHeight="1">
      <c r="A272" s="286"/>
      <c r="B272" s="286"/>
      <c r="C272" s="286"/>
      <c r="D272" s="286"/>
      <c r="E272" s="286"/>
      <c r="F272" s="287"/>
      <c r="G272" s="286"/>
      <c r="H272" s="287"/>
      <c r="I272" s="288"/>
      <c r="J272" s="289"/>
      <c r="K272" s="288"/>
      <c r="L272" s="289"/>
      <c r="M272" s="290"/>
      <c r="N272" s="290"/>
      <c r="O272" s="291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</row>
    <row r="273" ht="13.5" customHeight="1">
      <c r="A273" s="286"/>
      <c r="B273" s="286"/>
      <c r="C273" s="286"/>
      <c r="D273" s="286"/>
      <c r="E273" s="286"/>
      <c r="F273" s="287"/>
      <c r="G273" s="286"/>
      <c r="H273" s="287"/>
      <c r="I273" s="288"/>
      <c r="J273" s="289"/>
      <c r="K273" s="288"/>
      <c r="L273" s="289"/>
      <c r="M273" s="290"/>
      <c r="N273" s="290"/>
      <c r="O273" s="291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</row>
    <row r="274" ht="13.5" customHeight="1">
      <c r="A274" s="286"/>
      <c r="B274" s="286"/>
      <c r="C274" s="286"/>
      <c r="D274" s="286"/>
      <c r="E274" s="286"/>
      <c r="F274" s="287"/>
      <c r="G274" s="286"/>
      <c r="H274" s="287"/>
      <c r="I274" s="288"/>
      <c r="J274" s="289"/>
      <c r="K274" s="288"/>
      <c r="L274" s="289"/>
      <c r="M274" s="290"/>
      <c r="N274" s="290"/>
      <c r="O274" s="291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</row>
    <row r="275" ht="13.5" customHeight="1">
      <c r="A275" s="286"/>
      <c r="B275" s="286"/>
      <c r="C275" s="286"/>
      <c r="D275" s="286"/>
      <c r="E275" s="286"/>
      <c r="F275" s="287"/>
      <c r="G275" s="286"/>
      <c r="H275" s="287"/>
      <c r="I275" s="288"/>
      <c r="J275" s="289"/>
      <c r="K275" s="288"/>
      <c r="L275" s="289"/>
      <c r="M275" s="290"/>
      <c r="N275" s="290"/>
      <c r="O275" s="291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</row>
    <row r="276" ht="13.5" customHeight="1">
      <c r="A276" s="286"/>
      <c r="B276" s="286"/>
      <c r="C276" s="286"/>
      <c r="D276" s="286"/>
      <c r="E276" s="286"/>
      <c r="F276" s="287"/>
      <c r="G276" s="286"/>
      <c r="H276" s="287"/>
      <c r="I276" s="288"/>
      <c r="J276" s="289"/>
      <c r="K276" s="288"/>
      <c r="L276" s="289"/>
      <c r="M276" s="290"/>
      <c r="N276" s="290"/>
      <c r="O276" s="291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</row>
    <row r="277" ht="13.5" customHeight="1">
      <c r="A277" s="286"/>
      <c r="B277" s="286"/>
      <c r="C277" s="286"/>
      <c r="D277" s="286"/>
      <c r="E277" s="286"/>
      <c r="F277" s="287"/>
      <c r="G277" s="286"/>
      <c r="H277" s="287"/>
      <c r="I277" s="288"/>
      <c r="J277" s="289"/>
      <c r="K277" s="288"/>
      <c r="L277" s="289"/>
      <c r="M277" s="290"/>
      <c r="N277" s="290"/>
      <c r="O277" s="291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</row>
    <row r="278" ht="13.5" customHeight="1">
      <c r="A278" s="286"/>
      <c r="B278" s="286"/>
      <c r="C278" s="286"/>
      <c r="D278" s="286"/>
      <c r="E278" s="286"/>
      <c r="F278" s="287"/>
      <c r="G278" s="286"/>
      <c r="H278" s="287"/>
      <c r="I278" s="288"/>
      <c r="J278" s="289"/>
      <c r="K278" s="288"/>
      <c r="L278" s="289"/>
      <c r="M278" s="290"/>
      <c r="N278" s="290"/>
      <c r="O278" s="291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</row>
    <row r="279" ht="13.5" customHeight="1">
      <c r="A279" s="286"/>
      <c r="B279" s="286"/>
      <c r="C279" s="286"/>
      <c r="D279" s="286"/>
      <c r="E279" s="286"/>
      <c r="F279" s="287"/>
      <c r="G279" s="286"/>
      <c r="H279" s="287"/>
      <c r="I279" s="288"/>
      <c r="J279" s="289"/>
      <c r="K279" s="288"/>
      <c r="L279" s="289"/>
      <c r="M279" s="290"/>
      <c r="N279" s="290"/>
      <c r="O279" s="291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</row>
    <row r="280" ht="13.5" customHeight="1">
      <c r="A280" s="286"/>
      <c r="B280" s="286"/>
      <c r="C280" s="286"/>
      <c r="D280" s="286"/>
      <c r="E280" s="286"/>
      <c r="F280" s="287"/>
      <c r="G280" s="286"/>
      <c r="H280" s="287"/>
      <c r="I280" s="288"/>
      <c r="J280" s="289"/>
      <c r="K280" s="288"/>
      <c r="L280" s="289"/>
      <c r="M280" s="290"/>
      <c r="N280" s="290"/>
      <c r="O280" s="291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</row>
    <row r="281" ht="13.5" customHeight="1">
      <c r="A281" s="286"/>
      <c r="B281" s="286"/>
      <c r="C281" s="286"/>
      <c r="D281" s="286"/>
      <c r="E281" s="286"/>
      <c r="F281" s="287"/>
      <c r="G281" s="286"/>
      <c r="H281" s="287"/>
      <c r="I281" s="288"/>
      <c r="J281" s="289"/>
      <c r="K281" s="288"/>
      <c r="L281" s="289"/>
      <c r="M281" s="290"/>
      <c r="N281" s="290"/>
      <c r="O281" s="291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</row>
    <row r="282" ht="13.5" customHeight="1">
      <c r="A282" s="286"/>
      <c r="B282" s="286"/>
      <c r="C282" s="286"/>
      <c r="D282" s="286"/>
      <c r="E282" s="286"/>
      <c r="F282" s="287"/>
      <c r="G282" s="286"/>
      <c r="H282" s="287"/>
      <c r="I282" s="288"/>
      <c r="J282" s="289"/>
      <c r="K282" s="288"/>
      <c r="L282" s="289"/>
      <c r="M282" s="290"/>
      <c r="N282" s="290"/>
      <c r="O282" s="291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</row>
    <row r="283" ht="13.5" customHeight="1">
      <c r="A283" s="286"/>
      <c r="B283" s="286"/>
      <c r="C283" s="286"/>
      <c r="D283" s="286"/>
      <c r="E283" s="286"/>
      <c r="F283" s="287"/>
      <c r="G283" s="286"/>
      <c r="H283" s="287"/>
      <c r="I283" s="288"/>
      <c r="J283" s="289"/>
      <c r="K283" s="288"/>
      <c r="L283" s="289"/>
      <c r="M283" s="290"/>
      <c r="N283" s="290"/>
      <c r="O283" s="291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</row>
    <row r="284" ht="13.5" customHeight="1">
      <c r="A284" s="286"/>
      <c r="B284" s="286"/>
      <c r="C284" s="286"/>
      <c r="D284" s="286"/>
      <c r="E284" s="286"/>
      <c r="F284" s="287"/>
      <c r="G284" s="286"/>
      <c r="H284" s="287"/>
      <c r="I284" s="288"/>
      <c r="J284" s="289"/>
      <c r="K284" s="288"/>
      <c r="L284" s="289"/>
      <c r="M284" s="290"/>
      <c r="N284" s="290"/>
      <c r="O284" s="291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</row>
    <row r="285" ht="13.5" customHeight="1">
      <c r="A285" s="286"/>
      <c r="B285" s="286"/>
      <c r="C285" s="286"/>
      <c r="D285" s="286"/>
      <c r="E285" s="286"/>
      <c r="F285" s="287"/>
      <c r="G285" s="286"/>
      <c r="H285" s="287"/>
      <c r="I285" s="288"/>
      <c r="J285" s="289"/>
      <c r="K285" s="288"/>
      <c r="L285" s="289"/>
      <c r="M285" s="290"/>
      <c r="N285" s="290"/>
      <c r="O285" s="291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</row>
    <row r="286" ht="13.5" customHeight="1">
      <c r="A286" s="286"/>
      <c r="B286" s="286"/>
      <c r="C286" s="286"/>
      <c r="D286" s="286"/>
      <c r="E286" s="286"/>
      <c r="F286" s="287"/>
      <c r="G286" s="286"/>
      <c r="H286" s="287"/>
      <c r="I286" s="288"/>
      <c r="J286" s="289"/>
      <c r="K286" s="288"/>
      <c r="L286" s="289"/>
      <c r="M286" s="290"/>
      <c r="N286" s="290"/>
      <c r="O286" s="291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</row>
    <row r="287" ht="13.5" customHeight="1">
      <c r="A287" s="286"/>
      <c r="B287" s="286"/>
      <c r="C287" s="286"/>
      <c r="D287" s="286"/>
      <c r="E287" s="286"/>
      <c r="F287" s="287"/>
      <c r="G287" s="286"/>
      <c r="H287" s="287"/>
      <c r="I287" s="288"/>
      <c r="J287" s="289"/>
      <c r="K287" s="288"/>
      <c r="L287" s="289"/>
      <c r="M287" s="290"/>
      <c r="N287" s="290"/>
      <c r="O287" s="291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</row>
    <row r="288" ht="13.5" customHeight="1">
      <c r="A288" s="286"/>
      <c r="B288" s="286"/>
      <c r="C288" s="286"/>
      <c r="D288" s="286"/>
      <c r="E288" s="286"/>
      <c r="F288" s="287"/>
      <c r="G288" s="286"/>
      <c r="H288" s="287"/>
      <c r="I288" s="288"/>
      <c r="J288" s="289"/>
      <c r="K288" s="288"/>
      <c r="L288" s="289"/>
      <c r="M288" s="290"/>
      <c r="N288" s="290"/>
      <c r="O288" s="291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</row>
    <row r="289" ht="13.5" customHeight="1">
      <c r="A289" s="286"/>
      <c r="B289" s="286"/>
      <c r="C289" s="286"/>
      <c r="D289" s="286"/>
      <c r="E289" s="286"/>
      <c r="F289" s="287"/>
      <c r="G289" s="286"/>
      <c r="H289" s="287"/>
      <c r="I289" s="288"/>
      <c r="J289" s="289"/>
      <c r="K289" s="288"/>
      <c r="L289" s="289"/>
      <c r="M289" s="290"/>
      <c r="N289" s="290"/>
      <c r="O289" s="291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</row>
    <row r="290" ht="13.5" customHeight="1">
      <c r="A290" s="286"/>
      <c r="B290" s="286"/>
      <c r="C290" s="286"/>
      <c r="D290" s="286"/>
      <c r="E290" s="286"/>
      <c r="F290" s="287"/>
      <c r="G290" s="286"/>
      <c r="H290" s="287"/>
      <c r="I290" s="288"/>
      <c r="J290" s="289"/>
      <c r="K290" s="288"/>
      <c r="L290" s="289"/>
      <c r="M290" s="290"/>
      <c r="N290" s="290"/>
      <c r="O290" s="291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</row>
    <row r="291" ht="13.5" customHeight="1">
      <c r="A291" s="286"/>
      <c r="B291" s="286"/>
      <c r="C291" s="286"/>
      <c r="D291" s="286"/>
      <c r="E291" s="286"/>
      <c r="F291" s="287"/>
      <c r="G291" s="286"/>
      <c r="H291" s="287"/>
      <c r="I291" s="288"/>
      <c r="J291" s="289"/>
      <c r="K291" s="288"/>
      <c r="L291" s="289"/>
      <c r="M291" s="290"/>
      <c r="N291" s="290"/>
      <c r="O291" s="291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</row>
    <row r="292" ht="13.5" customHeight="1">
      <c r="A292" s="286"/>
      <c r="B292" s="286"/>
      <c r="C292" s="286"/>
      <c r="D292" s="286"/>
      <c r="E292" s="286"/>
      <c r="F292" s="287"/>
      <c r="G292" s="286"/>
      <c r="H292" s="287"/>
      <c r="I292" s="288"/>
      <c r="J292" s="289"/>
      <c r="K292" s="288"/>
      <c r="L292" s="289"/>
      <c r="M292" s="290"/>
      <c r="N292" s="290"/>
      <c r="O292" s="291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</row>
    <row r="293" ht="13.5" customHeight="1">
      <c r="A293" s="286"/>
      <c r="B293" s="286"/>
      <c r="C293" s="286"/>
      <c r="D293" s="286"/>
      <c r="E293" s="286"/>
      <c r="F293" s="287"/>
      <c r="G293" s="286"/>
      <c r="H293" s="287"/>
      <c r="I293" s="288"/>
      <c r="J293" s="289"/>
      <c r="K293" s="288"/>
      <c r="L293" s="289"/>
      <c r="M293" s="290"/>
      <c r="N293" s="290"/>
      <c r="O293" s="291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</row>
    <row r="294" ht="13.5" customHeight="1">
      <c r="A294" s="286"/>
      <c r="B294" s="286"/>
      <c r="C294" s="286"/>
      <c r="D294" s="286"/>
      <c r="E294" s="286"/>
      <c r="F294" s="287"/>
      <c r="G294" s="286"/>
      <c r="H294" s="287"/>
      <c r="I294" s="288"/>
      <c r="J294" s="289"/>
      <c r="K294" s="288"/>
      <c r="L294" s="289"/>
      <c r="M294" s="290"/>
      <c r="N294" s="290"/>
      <c r="O294" s="291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</row>
    <row r="295" ht="13.5" customHeight="1">
      <c r="A295" s="286"/>
      <c r="B295" s="286"/>
      <c r="C295" s="286"/>
      <c r="D295" s="286"/>
      <c r="E295" s="286"/>
      <c r="F295" s="287"/>
      <c r="G295" s="286"/>
      <c r="H295" s="287"/>
      <c r="I295" s="288"/>
      <c r="J295" s="289"/>
      <c r="K295" s="288"/>
      <c r="L295" s="289"/>
      <c r="M295" s="290"/>
      <c r="N295" s="290"/>
      <c r="O295" s="291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</row>
    <row r="296" ht="13.5" customHeight="1">
      <c r="A296" s="286"/>
      <c r="B296" s="286"/>
      <c r="C296" s="286"/>
      <c r="D296" s="286"/>
      <c r="E296" s="286"/>
      <c r="F296" s="287"/>
      <c r="G296" s="286"/>
      <c r="H296" s="287"/>
      <c r="I296" s="288"/>
      <c r="J296" s="289"/>
      <c r="K296" s="288"/>
      <c r="L296" s="289"/>
      <c r="M296" s="290"/>
      <c r="N296" s="290"/>
      <c r="O296" s="291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</row>
    <row r="297" ht="13.5" customHeight="1">
      <c r="A297" s="286"/>
      <c r="B297" s="286"/>
      <c r="C297" s="286"/>
      <c r="D297" s="286"/>
      <c r="E297" s="286"/>
      <c r="F297" s="287"/>
      <c r="G297" s="286"/>
      <c r="H297" s="287"/>
      <c r="I297" s="288"/>
      <c r="J297" s="289"/>
      <c r="K297" s="288"/>
      <c r="L297" s="289"/>
      <c r="M297" s="290"/>
      <c r="N297" s="290"/>
      <c r="O297" s="291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</row>
    <row r="298" ht="13.5" customHeight="1">
      <c r="A298" s="286"/>
      <c r="B298" s="286"/>
      <c r="C298" s="286"/>
      <c r="D298" s="286"/>
      <c r="E298" s="286"/>
      <c r="F298" s="287"/>
      <c r="G298" s="286"/>
      <c r="H298" s="287"/>
      <c r="I298" s="288"/>
      <c r="J298" s="289"/>
      <c r="K298" s="288"/>
      <c r="L298" s="289"/>
      <c r="M298" s="290"/>
      <c r="N298" s="290"/>
      <c r="O298" s="291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</row>
    <row r="299" ht="13.5" customHeight="1">
      <c r="A299" s="286"/>
      <c r="B299" s="286"/>
      <c r="C299" s="286"/>
      <c r="D299" s="286"/>
      <c r="E299" s="286"/>
      <c r="F299" s="287"/>
      <c r="G299" s="286"/>
      <c r="H299" s="287"/>
      <c r="I299" s="288"/>
      <c r="J299" s="289"/>
      <c r="K299" s="288"/>
      <c r="L299" s="289"/>
      <c r="M299" s="290"/>
      <c r="N299" s="290"/>
      <c r="O299" s="291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</row>
    <row r="300" ht="13.5" customHeight="1">
      <c r="A300" s="286"/>
      <c r="B300" s="286"/>
      <c r="C300" s="286"/>
      <c r="D300" s="286"/>
      <c r="E300" s="286"/>
      <c r="F300" s="287"/>
      <c r="G300" s="286"/>
      <c r="H300" s="287"/>
      <c r="I300" s="288"/>
      <c r="J300" s="289"/>
      <c r="K300" s="288"/>
      <c r="L300" s="289"/>
      <c r="M300" s="290"/>
      <c r="N300" s="290"/>
      <c r="O300" s="291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</row>
    <row r="301" ht="13.5" customHeight="1">
      <c r="A301" s="286"/>
      <c r="B301" s="286"/>
      <c r="C301" s="286"/>
      <c r="D301" s="286"/>
      <c r="E301" s="286"/>
      <c r="F301" s="287"/>
      <c r="G301" s="286"/>
      <c r="H301" s="287"/>
      <c r="I301" s="288"/>
      <c r="J301" s="289"/>
      <c r="K301" s="288"/>
      <c r="L301" s="289"/>
      <c r="M301" s="290"/>
      <c r="N301" s="290"/>
      <c r="O301" s="291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</row>
    <row r="302" ht="13.5" customHeight="1">
      <c r="A302" s="286"/>
      <c r="B302" s="286"/>
      <c r="C302" s="286"/>
      <c r="D302" s="286"/>
      <c r="E302" s="286"/>
      <c r="F302" s="287"/>
      <c r="G302" s="286"/>
      <c r="H302" s="287"/>
      <c r="I302" s="288"/>
      <c r="J302" s="289"/>
      <c r="K302" s="288"/>
      <c r="L302" s="289"/>
      <c r="M302" s="290"/>
      <c r="N302" s="290"/>
      <c r="O302" s="291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</row>
    <row r="303" ht="13.5" customHeight="1">
      <c r="A303" s="286"/>
      <c r="B303" s="286"/>
      <c r="C303" s="286"/>
      <c r="D303" s="286"/>
      <c r="E303" s="286"/>
      <c r="F303" s="287"/>
      <c r="G303" s="286"/>
      <c r="H303" s="287"/>
      <c r="I303" s="288"/>
      <c r="J303" s="289"/>
      <c r="K303" s="288"/>
      <c r="L303" s="289"/>
      <c r="M303" s="290"/>
      <c r="N303" s="290"/>
      <c r="O303" s="291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</row>
    <row r="304" ht="13.5" customHeight="1">
      <c r="A304" s="286"/>
      <c r="B304" s="286"/>
      <c r="C304" s="286"/>
      <c r="D304" s="286"/>
      <c r="E304" s="286"/>
      <c r="F304" s="287"/>
      <c r="G304" s="286"/>
      <c r="H304" s="287"/>
      <c r="I304" s="288"/>
      <c r="J304" s="289"/>
      <c r="K304" s="288"/>
      <c r="L304" s="289"/>
      <c r="M304" s="290"/>
      <c r="N304" s="290"/>
      <c r="O304" s="291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</row>
    <row r="305" ht="13.5" customHeight="1">
      <c r="A305" s="286"/>
      <c r="B305" s="286"/>
      <c r="C305" s="286"/>
      <c r="D305" s="286"/>
      <c r="E305" s="286"/>
      <c r="F305" s="287"/>
      <c r="G305" s="286"/>
      <c r="H305" s="287"/>
      <c r="I305" s="288"/>
      <c r="J305" s="289"/>
      <c r="K305" s="288"/>
      <c r="L305" s="289"/>
      <c r="M305" s="290"/>
      <c r="N305" s="290"/>
      <c r="O305" s="291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</row>
    <row r="306" ht="13.5" customHeight="1">
      <c r="A306" s="286"/>
      <c r="B306" s="286"/>
      <c r="C306" s="286"/>
      <c r="D306" s="286"/>
      <c r="E306" s="286"/>
      <c r="F306" s="287"/>
      <c r="G306" s="286"/>
      <c r="H306" s="287"/>
      <c r="I306" s="288"/>
      <c r="J306" s="289"/>
      <c r="K306" s="288"/>
      <c r="L306" s="289"/>
      <c r="M306" s="290"/>
      <c r="N306" s="290"/>
      <c r="O306" s="291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</row>
    <row r="307" ht="13.5" customHeight="1">
      <c r="A307" s="286"/>
      <c r="B307" s="286"/>
      <c r="C307" s="286"/>
      <c r="D307" s="286"/>
      <c r="E307" s="286"/>
      <c r="F307" s="287"/>
      <c r="G307" s="286"/>
      <c r="H307" s="287"/>
      <c r="I307" s="288"/>
      <c r="J307" s="289"/>
      <c r="K307" s="288"/>
      <c r="L307" s="289"/>
      <c r="M307" s="290"/>
      <c r="N307" s="290"/>
      <c r="O307" s="291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</row>
    <row r="308" ht="13.5" customHeight="1">
      <c r="A308" s="286"/>
      <c r="B308" s="286"/>
      <c r="C308" s="286"/>
      <c r="D308" s="286"/>
      <c r="E308" s="286"/>
      <c r="F308" s="287"/>
      <c r="G308" s="286"/>
      <c r="H308" s="287"/>
      <c r="I308" s="288"/>
      <c r="J308" s="289"/>
      <c r="K308" s="288"/>
      <c r="L308" s="289"/>
      <c r="M308" s="290"/>
      <c r="N308" s="290"/>
      <c r="O308" s="291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</row>
    <row r="309" ht="13.5" customHeight="1">
      <c r="A309" s="286"/>
      <c r="B309" s="286"/>
      <c r="C309" s="286"/>
      <c r="D309" s="286"/>
      <c r="E309" s="286"/>
      <c r="F309" s="287"/>
      <c r="G309" s="286"/>
      <c r="H309" s="287"/>
      <c r="I309" s="288"/>
      <c r="J309" s="289"/>
      <c r="K309" s="288"/>
      <c r="L309" s="289"/>
      <c r="M309" s="290"/>
      <c r="N309" s="290"/>
      <c r="O309" s="291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</row>
    <row r="310" ht="13.5" customHeight="1">
      <c r="A310" s="286"/>
      <c r="B310" s="286"/>
      <c r="C310" s="286"/>
      <c r="D310" s="286"/>
      <c r="E310" s="286"/>
      <c r="F310" s="287"/>
      <c r="G310" s="286"/>
      <c r="H310" s="287"/>
      <c r="I310" s="288"/>
      <c r="J310" s="289"/>
      <c r="K310" s="288"/>
      <c r="L310" s="289"/>
      <c r="M310" s="290"/>
      <c r="N310" s="290"/>
      <c r="O310" s="291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</row>
    <row r="311" ht="13.5" customHeight="1">
      <c r="A311" s="286"/>
      <c r="B311" s="286"/>
      <c r="C311" s="286"/>
      <c r="D311" s="286"/>
      <c r="E311" s="286"/>
      <c r="F311" s="287"/>
      <c r="G311" s="286"/>
      <c r="H311" s="287"/>
      <c r="I311" s="288"/>
      <c r="J311" s="289"/>
      <c r="K311" s="288"/>
      <c r="L311" s="289"/>
      <c r="M311" s="290"/>
      <c r="N311" s="290"/>
      <c r="O311" s="291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</row>
    <row r="312" ht="13.5" customHeight="1">
      <c r="A312" s="286"/>
      <c r="B312" s="286"/>
      <c r="C312" s="286"/>
      <c r="D312" s="286"/>
      <c r="E312" s="286"/>
      <c r="F312" s="287"/>
      <c r="G312" s="286"/>
      <c r="H312" s="287"/>
      <c r="I312" s="288"/>
      <c r="J312" s="289"/>
      <c r="K312" s="288"/>
      <c r="L312" s="289"/>
      <c r="M312" s="290"/>
      <c r="N312" s="290"/>
      <c r="O312" s="291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</row>
    <row r="313" ht="13.5" customHeight="1">
      <c r="A313" s="286"/>
      <c r="B313" s="286"/>
      <c r="C313" s="286"/>
      <c r="D313" s="286"/>
      <c r="E313" s="286"/>
      <c r="F313" s="287"/>
      <c r="G313" s="286"/>
      <c r="H313" s="287"/>
      <c r="I313" s="288"/>
      <c r="J313" s="289"/>
      <c r="K313" s="288"/>
      <c r="L313" s="289"/>
      <c r="M313" s="290"/>
      <c r="N313" s="290"/>
      <c r="O313" s="291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</row>
    <row r="314" ht="13.5" customHeight="1">
      <c r="A314" s="286"/>
      <c r="B314" s="286"/>
      <c r="C314" s="286"/>
      <c r="D314" s="286"/>
      <c r="E314" s="286"/>
      <c r="F314" s="287"/>
      <c r="G314" s="286"/>
      <c r="H314" s="287"/>
      <c r="I314" s="288"/>
      <c r="J314" s="289"/>
      <c r="K314" s="288"/>
      <c r="L314" s="289"/>
      <c r="M314" s="290"/>
      <c r="N314" s="290"/>
      <c r="O314" s="291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</row>
    <row r="315" ht="13.5" customHeight="1">
      <c r="A315" s="286"/>
      <c r="B315" s="286"/>
      <c r="C315" s="286"/>
      <c r="D315" s="286"/>
      <c r="E315" s="286"/>
      <c r="F315" s="287"/>
      <c r="G315" s="286"/>
      <c r="H315" s="287"/>
      <c r="I315" s="288"/>
      <c r="J315" s="289"/>
      <c r="K315" s="288"/>
      <c r="L315" s="289"/>
      <c r="M315" s="290"/>
      <c r="N315" s="290"/>
      <c r="O315" s="291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</row>
    <row r="316" ht="13.5" customHeight="1">
      <c r="A316" s="286"/>
      <c r="B316" s="286"/>
      <c r="C316" s="286"/>
      <c r="D316" s="286"/>
      <c r="E316" s="286"/>
      <c r="F316" s="287"/>
      <c r="G316" s="286"/>
      <c r="H316" s="287"/>
      <c r="I316" s="288"/>
      <c r="J316" s="289"/>
      <c r="K316" s="288"/>
      <c r="L316" s="289"/>
      <c r="M316" s="290"/>
      <c r="N316" s="290"/>
      <c r="O316" s="291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</row>
    <row r="317" ht="13.5" customHeight="1">
      <c r="A317" s="286"/>
      <c r="B317" s="286"/>
      <c r="C317" s="286"/>
      <c r="D317" s="286"/>
      <c r="E317" s="286"/>
      <c r="F317" s="287"/>
      <c r="G317" s="286"/>
      <c r="H317" s="287"/>
      <c r="I317" s="288"/>
      <c r="J317" s="289"/>
      <c r="K317" s="288"/>
      <c r="L317" s="289"/>
      <c r="M317" s="290"/>
      <c r="N317" s="290"/>
      <c r="O317" s="291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</row>
    <row r="318" ht="13.5" customHeight="1">
      <c r="A318" s="286"/>
      <c r="B318" s="286"/>
      <c r="C318" s="286"/>
      <c r="D318" s="286"/>
      <c r="E318" s="286"/>
      <c r="F318" s="287"/>
      <c r="G318" s="286"/>
      <c r="H318" s="287"/>
      <c r="I318" s="288"/>
      <c r="J318" s="289"/>
      <c r="K318" s="288"/>
      <c r="L318" s="289"/>
      <c r="M318" s="290"/>
      <c r="N318" s="290"/>
      <c r="O318" s="291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</row>
    <row r="319" ht="13.5" customHeight="1">
      <c r="A319" s="286"/>
      <c r="B319" s="286"/>
      <c r="C319" s="286"/>
      <c r="D319" s="286"/>
      <c r="E319" s="286"/>
      <c r="F319" s="287"/>
      <c r="G319" s="286"/>
      <c r="H319" s="287"/>
      <c r="I319" s="288"/>
      <c r="J319" s="289"/>
      <c r="K319" s="288"/>
      <c r="L319" s="289"/>
      <c r="M319" s="290"/>
      <c r="N319" s="290"/>
      <c r="O319" s="291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</row>
    <row r="320" ht="13.5" customHeight="1">
      <c r="A320" s="286"/>
      <c r="B320" s="286"/>
      <c r="C320" s="286"/>
      <c r="D320" s="286"/>
      <c r="E320" s="286"/>
      <c r="F320" s="287"/>
      <c r="G320" s="286"/>
      <c r="H320" s="287"/>
      <c r="I320" s="288"/>
      <c r="J320" s="289"/>
      <c r="K320" s="288"/>
      <c r="L320" s="289"/>
      <c r="M320" s="290"/>
      <c r="N320" s="290"/>
      <c r="O320" s="291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</row>
    <row r="321" ht="13.5" customHeight="1">
      <c r="A321" s="286"/>
      <c r="B321" s="286"/>
      <c r="C321" s="286"/>
      <c r="D321" s="286"/>
      <c r="E321" s="286"/>
      <c r="F321" s="287"/>
      <c r="G321" s="286"/>
      <c r="H321" s="287"/>
      <c r="I321" s="288"/>
      <c r="J321" s="289"/>
      <c r="K321" s="288"/>
      <c r="L321" s="289"/>
      <c r="M321" s="290"/>
      <c r="N321" s="290"/>
      <c r="O321" s="291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</row>
    <row r="322" ht="13.5" customHeight="1">
      <c r="A322" s="286"/>
      <c r="B322" s="286"/>
      <c r="C322" s="286"/>
      <c r="D322" s="286"/>
      <c r="E322" s="286"/>
      <c r="F322" s="287"/>
      <c r="G322" s="286"/>
      <c r="H322" s="287"/>
      <c r="I322" s="288"/>
      <c r="J322" s="289"/>
      <c r="K322" s="288"/>
      <c r="L322" s="289"/>
      <c r="M322" s="290"/>
      <c r="N322" s="290"/>
      <c r="O322" s="291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</row>
    <row r="323" ht="13.5" customHeight="1">
      <c r="A323" s="286"/>
      <c r="B323" s="286"/>
      <c r="C323" s="286"/>
      <c r="D323" s="286"/>
      <c r="E323" s="286"/>
      <c r="F323" s="287"/>
      <c r="G323" s="286"/>
      <c r="H323" s="287"/>
      <c r="I323" s="288"/>
      <c r="J323" s="289"/>
      <c r="K323" s="288"/>
      <c r="L323" s="289"/>
      <c r="M323" s="290"/>
      <c r="N323" s="290"/>
      <c r="O323" s="291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</row>
    <row r="324" ht="13.5" customHeight="1">
      <c r="A324" s="286"/>
      <c r="B324" s="286"/>
      <c r="C324" s="286"/>
      <c r="D324" s="286"/>
      <c r="E324" s="286"/>
      <c r="F324" s="287"/>
      <c r="G324" s="286"/>
      <c r="H324" s="287"/>
      <c r="I324" s="288"/>
      <c r="J324" s="289"/>
      <c r="K324" s="288"/>
      <c r="L324" s="289"/>
      <c r="M324" s="290"/>
      <c r="N324" s="290"/>
      <c r="O324" s="291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</row>
    <row r="325" ht="13.5" customHeight="1">
      <c r="A325" s="286"/>
      <c r="B325" s="286"/>
      <c r="C325" s="286"/>
      <c r="D325" s="286"/>
      <c r="E325" s="286"/>
      <c r="F325" s="287"/>
      <c r="G325" s="286"/>
      <c r="H325" s="287"/>
      <c r="I325" s="288"/>
      <c r="J325" s="289"/>
      <c r="K325" s="288"/>
      <c r="L325" s="289"/>
      <c r="M325" s="290"/>
      <c r="N325" s="290"/>
      <c r="O325" s="291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</row>
    <row r="326" ht="13.5" customHeight="1">
      <c r="A326" s="286"/>
      <c r="B326" s="286"/>
      <c r="C326" s="286"/>
      <c r="D326" s="286"/>
      <c r="E326" s="286"/>
      <c r="F326" s="287"/>
      <c r="G326" s="286"/>
      <c r="H326" s="287"/>
      <c r="I326" s="288"/>
      <c r="J326" s="289"/>
      <c r="K326" s="288"/>
      <c r="L326" s="289"/>
      <c r="M326" s="290"/>
      <c r="N326" s="290"/>
      <c r="O326" s="291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</row>
    <row r="327" ht="13.5" customHeight="1">
      <c r="A327" s="286"/>
      <c r="B327" s="286"/>
      <c r="C327" s="286"/>
      <c r="D327" s="286"/>
      <c r="E327" s="286"/>
      <c r="F327" s="287"/>
      <c r="G327" s="286"/>
      <c r="H327" s="287"/>
      <c r="I327" s="288"/>
      <c r="J327" s="289"/>
      <c r="K327" s="288"/>
      <c r="L327" s="289"/>
      <c r="M327" s="290"/>
      <c r="N327" s="290"/>
      <c r="O327" s="291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</row>
    <row r="328" ht="13.5" customHeight="1">
      <c r="A328" s="286"/>
      <c r="B328" s="286"/>
      <c r="C328" s="286"/>
      <c r="D328" s="286"/>
      <c r="E328" s="286"/>
      <c r="F328" s="287"/>
      <c r="G328" s="286"/>
      <c r="H328" s="287"/>
      <c r="I328" s="288"/>
      <c r="J328" s="289"/>
      <c r="K328" s="288"/>
      <c r="L328" s="289"/>
      <c r="M328" s="290"/>
      <c r="N328" s="290"/>
      <c r="O328" s="291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</row>
    <row r="329" ht="13.5" customHeight="1">
      <c r="A329" s="286"/>
      <c r="B329" s="286"/>
      <c r="C329" s="286"/>
      <c r="D329" s="286"/>
      <c r="E329" s="286"/>
      <c r="F329" s="287"/>
      <c r="G329" s="286"/>
      <c r="H329" s="287"/>
      <c r="I329" s="288"/>
      <c r="J329" s="289"/>
      <c r="K329" s="288"/>
      <c r="L329" s="289"/>
      <c r="M329" s="290"/>
      <c r="N329" s="290"/>
      <c r="O329" s="291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</row>
    <row r="330" ht="13.5" customHeight="1">
      <c r="A330" s="286"/>
      <c r="B330" s="286"/>
      <c r="C330" s="286"/>
      <c r="D330" s="286"/>
      <c r="E330" s="286"/>
      <c r="F330" s="287"/>
      <c r="G330" s="286"/>
      <c r="H330" s="287"/>
      <c r="I330" s="288"/>
      <c r="J330" s="289"/>
      <c r="K330" s="288"/>
      <c r="L330" s="289"/>
      <c r="M330" s="290"/>
      <c r="N330" s="290"/>
      <c r="O330" s="291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</row>
    <row r="331" ht="13.5" customHeight="1">
      <c r="A331" s="286"/>
      <c r="B331" s="286"/>
      <c r="C331" s="286"/>
      <c r="D331" s="286"/>
      <c r="E331" s="286"/>
      <c r="F331" s="287"/>
      <c r="G331" s="286"/>
      <c r="H331" s="287"/>
      <c r="I331" s="288"/>
      <c r="J331" s="289"/>
      <c r="K331" s="288"/>
      <c r="L331" s="289"/>
      <c r="M331" s="290"/>
      <c r="N331" s="290"/>
      <c r="O331" s="291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</row>
    <row r="332" ht="13.5" customHeight="1">
      <c r="A332" s="286"/>
      <c r="B332" s="286"/>
      <c r="C332" s="286"/>
      <c r="D332" s="286"/>
      <c r="E332" s="286"/>
      <c r="F332" s="287"/>
      <c r="G332" s="286"/>
      <c r="H332" s="287"/>
      <c r="I332" s="288"/>
      <c r="J332" s="289"/>
      <c r="K332" s="288"/>
      <c r="L332" s="289"/>
      <c r="M332" s="290"/>
      <c r="N332" s="290"/>
      <c r="O332" s="291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</row>
    <row r="333" ht="13.5" customHeight="1">
      <c r="A333" s="286"/>
      <c r="B333" s="286"/>
      <c r="C333" s="286"/>
      <c r="D333" s="286"/>
      <c r="E333" s="286"/>
      <c r="F333" s="287"/>
      <c r="G333" s="286"/>
      <c r="H333" s="287"/>
      <c r="I333" s="288"/>
      <c r="J333" s="289"/>
      <c r="K333" s="288"/>
      <c r="L333" s="289"/>
      <c r="M333" s="290"/>
      <c r="N333" s="290"/>
      <c r="O333" s="291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</row>
    <row r="334" ht="13.5" customHeight="1">
      <c r="A334" s="286"/>
      <c r="B334" s="286"/>
      <c r="C334" s="286"/>
      <c r="D334" s="286"/>
      <c r="E334" s="286"/>
      <c r="F334" s="287"/>
      <c r="G334" s="286"/>
      <c r="H334" s="287"/>
      <c r="I334" s="288"/>
      <c r="J334" s="289"/>
      <c r="K334" s="288"/>
      <c r="L334" s="289"/>
      <c r="M334" s="290"/>
      <c r="N334" s="290"/>
      <c r="O334" s="291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</row>
    <row r="335" ht="13.5" customHeight="1">
      <c r="A335" s="286"/>
      <c r="B335" s="286"/>
      <c r="C335" s="286"/>
      <c r="D335" s="286"/>
      <c r="E335" s="286"/>
      <c r="F335" s="287"/>
      <c r="G335" s="286"/>
      <c r="H335" s="287"/>
      <c r="I335" s="288"/>
      <c r="J335" s="289"/>
      <c r="K335" s="288"/>
      <c r="L335" s="289"/>
      <c r="M335" s="290"/>
      <c r="N335" s="290"/>
      <c r="O335" s="291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</row>
    <row r="336" ht="13.5" customHeight="1">
      <c r="A336" s="286"/>
      <c r="B336" s="286"/>
      <c r="C336" s="286"/>
      <c r="D336" s="286"/>
      <c r="E336" s="286"/>
      <c r="F336" s="287"/>
      <c r="G336" s="286"/>
      <c r="H336" s="287"/>
      <c r="I336" s="288"/>
      <c r="J336" s="289"/>
      <c r="K336" s="288"/>
      <c r="L336" s="289"/>
      <c r="M336" s="290"/>
      <c r="N336" s="290"/>
      <c r="O336" s="291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</row>
    <row r="337" ht="13.5" customHeight="1">
      <c r="A337" s="286"/>
      <c r="B337" s="286"/>
      <c r="C337" s="286"/>
      <c r="D337" s="286"/>
      <c r="E337" s="286"/>
      <c r="F337" s="287"/>
      <c r="G337" s="286"/>
      <c r="H337" s="287"/>
      <c r="I337" s="288"/>
      <c r="J337" s="289"/>
      <c r="K337" s="288"/>
      <c r="L337" s="289"/>
      <c r="M337" s="290"/>
      <c r="N337" s="290"/>
      <c r="O337" s="291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</row>
    <row r="338" ht="13.5" customHeight="1">
      <c r="A338" s="286"/>
      <c r="B338" s="286"/>
      <c r="C338" s="286"/>
      <c r="D338" s="286"/>
      <c r="E338" s="286"/>
      <c r="F338" s="287"/>
      <c r="G338" s="286"/>
      <c r="H338" s="287"/>
      <c r="I338" s="288"/>
      <c r="J338" s="289"/>
      <c r="K338" s="288"/>
      <c r="L338" s="289"/>
      <c r="M338" s="290"/>
      <c r="N338" s="290"/>
      <c r="O338" s="291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</row>
    <row r="339" ht="13.5" customHeight="1">
      <c r="A339" s="286"/>
      <c r="B339" s="286"/>
      <c r="C339" s="286"/>
      <c r="D339" s="286"/>
      <c r="E339" s="286"/>
      <c r="F339" s="287"/>
      <c r="G339" s="286"/>
      <c r="H339" s="287"/>
      <c r="I339" s="288"/>
      <c r="J339" s="289"/>
      <c r="K339" s="288"/>
      <c r="L339" s="289"/>
      <c r="M339" s="290"/>
      <c r="N339" s="290"/>
      <c r="O339" s="291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</row>
    <row r="340" ht="13.5" customHeight="1">
      <c r="A340" s="286"/>
      <c r="B340" s="286"/>
      <c r="C340" s="286"/>
      <c r="D340" s="286"/>
      <c r="E340" s="286"/>
      <c r="F340" s="287"/>
      <c r="G340" s="286"/>
      <c r="H340" s="287"/>
      <c r="I340" s="288"/>
      <c r="J340" s="289"/>
      <c r="K340" s="288"/>
      <c r="L340" s="289"/>
      <c r="M340" s="290"/>
      <c r="N340" s="290"/>
      <c r="O340" s="291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</row>
    <row r="341" ht="13.5" customHeight="1">
      <c r="A341" s="286"/>
      <c r="B341" s="286"/>
      <c r="C341" s="286"/>
      <c r="D341" s="286"/>
      <c r="E341" s="286"/>
      <c r="F341" s="287"/>
      <c r="G341" s="286"/>
      <c r="H341" s="287"/>
      <c r="I341" s="288"/>
      <c r="J341" s="289"/>
      <c r="K341" s="288"/>
      <c r="L341" s="289"/>
      <c r="M341" s="290"/>
      <c r="N341" s="290"/>
      <c r="O341" s="291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</row>
    <row r="342" ht="13.5" customHeight="1">
      <c r="A342" s="286"/>
      <c r="B342" s="286"/>
      <c r="C342" s="286"/>
      <c r="D342" s="286"/>
      <c r="E342" s="286"/>
      <c r="F342" s="287"/>
      <c r="G342" s="286"/>
      <c r="H342" s="287"/>
      <c r="I342" s="288"/>
      <c r="J342" s="289"/>
      <c r="K342" s="288"/>
      <c r="L342" s="289"/>
      <c r="M342" s="290"/>
      <c r="N342" s="290"/>
      <c r="O342" s="291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</row>
    <row r="343" ht="13.5" customHeight="1">
      <c r="A343" s="286"/>
      <c r="B343" s="286"/>
      <c r="C343" s="286"/>
      <c r="D343" s="286"/>
      <c r="E343" s="286"/>
      <c r="F343" s="287"/>
      <c r="G343" s="286"/>
      <c r="H343" s="287"/>
      <c r="I343" s="288"/>
      <c r="J343" s="289"/>
      <c r="K343" s="288"/>
      <c r="L343" s="289"/>
      <c r="M343" s="290"/>
      <c r="N343" s="290"/>
      <c r="O343" s="291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</row>
    <row r="344" ht="13.5" customHeight="1">
      <c r="A344" s="286"/>
      <c r="B344" s="286"/>
      <c r="C344" s="286"/>
      <c r="D344" s="286"/>
      <c r="E344" s="286"/>
      <c r="F344" s="287"/>
      <c r="G344" s="286"/>
      <c r="H344" s="287"/>
      <c r="I344" s="288"/>
      <c r="J344" s="289"/>
      <c r="K344" s="288"/>
      <c r="L344" s="289"/>
      <c r="M344" s="290"/>
      <c r="N344" s="290"/>
      <c r="O344" s="291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</row>
    <row r="345" ht="13.5" customHeight="1">
      <c r="A345" s="286"/>
      <c r="B345" s="286"/>
      <c r="C345" s="286"/>
      <c r="D345" s="286"/>
      <c r="E345" s="286"/>
      <c r="F345" s="287"/>
      <c r="G345" s="286"/>
      <c r="H345" s="287"/>
      <c r="I345" s="288"/>
      <c r="J345" s="289"/>
      <c r="K345" s="288"/>
      <c r="L345" s="289"/>
      <c r="M345" s="290"/>
      <c r="N345" s="290"/>
      <c r="O345" s="291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</row>
    <row r="346" ht="13.5" customHeight="1">
      <c r="A346" s="286"/>
      <c r="B346" s="286"/>
      <c r="C346" s="286"/>
      <c r="D346" s="286"/>
      <c r="E346" s="286"/>
      <c r="F346" s="287"/>
      <c r="G346" s="286"/>
      <c r="H346" s="287"/>
      <c r="I346" s="288"/>
      <c r="J346" s="289"/>
      <c r="K346" s="288"/>
      <c r="L346" s="289"/>
      <c r="M346" s="290"/>
      <c r="N346" s="290"/>
      <c r="O346" s="291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</row>
    <row r="347" ht="13.5" customHeight="1">
      <c r="A347" s="286"/>
      <c r="B347" s="286"/>
      <c r="C347" s="286"/>
      <c r="D347" s="286"/>
      <c r="E347" s="286"/>
      <c r="F347" s="287"/>
      <c r="G347" s="286"/>
      <c r="H347" s="287"/>
      <c r="I347" s="288"/>
      <c r="J347" s="289"/>
      <c r="K347" s="288"/>
      <c r="L347" s="289"/>
      <c r="M347" s="290"/>
      <c r="N347" s="290"/>
      <c r="O347" s="291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</row>
    <row r="348" ht="13.5" customHeight="1">
      <c r="A348" s="286"/>
      <c r="B348" s="286"/>
      <c r="C348" s="286"/>
      <c r="D348" s="286"/>
      <c r="E348" s="286"/>
      <c r="F348" s="287"/>
      <c r="G348" s="286"/>
      <c r="H348" s="287"/>
      <c r="I348" s="288"/>
      <c r="J348" s="289"/>
      <c r="K348" s="288"/>
      <c r="L348" s="289"/>
      <c r="M348" s="290"/>
      <c r="N348" s="290"/>
      <c r="O348" s="291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</row>
    <row r="349" ht="13.5" customHeight="1">
      <c r="A349" s="286"/>
      <c r="B349" s="286"/>
      <c r="C349" s="286"/>
      <c r="D349" s="286"/>
      <c r="E349" s="286"/>
      <c r="F349" s="287"/>
      <c r="G349" s="286"/>
      <c r="H349" s="287"/>
      <c r="I349" s="288"/>
      <c r="J349" s="289"/>
      <c r="K349" s="288"/>
      <c r="L349" s="289"/>
      <c r="M349" s="290"/>
      <c r="N349" s="290"/>
      <c r="O349" s="291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</row>
    <row r="350" ht="13.5" customHeight="1">
      <c r="A350" s="286"/>
      <c r="B350" s="286"/>
      <c r="C350" s="286"/>
      <c r="D350" s="286"/>
      <c r="E350" s="286"/>
      <c r="F350" s="287"/>
      <c r="G350" s="286"/>
      <c r="H350" s="287"/>
      <c r="I350" s="288"/>
      <c r="J350" s="289"/>
      <c r="K350" s="288"/>
      <c r="L350" s="289"/>
      <c r="M350" s="290"/>
      <c r="N350" s="290"/>
      <c r="O350" s="291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</row>
    <row r="351" ht="13.5" customHeight="1">
      <c r="A351" s="286"/>
      <c r="B351" s="286"/>
      <c r="C351" s="286"/>
      <c r="D351" s="286"/>
      <c r="E351" s="286"/>
      <c r="F351" s="287"/>
      <c r="G351" s="286"/>
      <c r="H351" s="287"/>
      <c r="I351" s="288"/>
      <c r="J351" s="289"/>
      <c r="K351" s="288"/>
      <c r="L351" s="289"/>
      <c r="M351" s="290"/>
      <c r="N351" s="290"/>
      <c r="O351" s="291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</row>
    <row r="352" ht="13.5" customHeight="1">
      <c r="A352" s="286"/>
      <c r="B352" s="286"/>
      <c r="C352" s="286"/>
      <c r="D352" s="286"/>
      <c r="E352" s="286"/>
      <c r="F352" s="287"/>
      <c r="G352" s="286"/>
      <c r="H352" s="287"/>
      <c r="I352" s="288"/>
      <c r="J352" s="289"/>
      <c r="K352" s="288"/>
      <c r="L352" s="289"/>
      <c r="M352" s="290"/>
      <c r="N352" s="290"/>
      <c r="O352" s="291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</row>
    <row r="353" ht="13.5" customHeight="1">
      <c r="A353" s="286"/>
      <c r="B353" s="286"/>
      <c r="C353" s="286"/>
      <c r="D353" s="286"/>
      <c r="E353" s="286"/>
      <c r="F353" s="287"/>
      <c r="G353" s="286"/>
      <c r="H353" s="287"/>
      <c r="I353" s="288"/>
      <c r="J353" s="289"/>
      <c r="K353" s="288"/>
      <c r="L353" s="289"/>
      <c r="M353" s="290"/>
      <c r="N353" s="290"/>
      <c r="O353" s="291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</row>
    <row r="354" ht="13.5" customHeight="1">
      <c r="A354" s="286"/>
      <c r="B354" s="286"/>
      <c r="C354" s="286"/>
      <c r="D354" s="286"/>
      <c r="E354" s="286"/>
      <c r="F354" s="287"/>
      <c r="G354" s="286"/>
      <c r="H354" s="287"/>
      <c r="I354" s="288"/>
      <c r="J354" s="289"/>
      <c r="K354" s="288"/>
      <c r="L354" s="289"/>
      <c r="M354" s="290"/>
      <c r="N354" s="290"/>
      <c r="O354" s="291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</row>
    <row r="355" ht="13.5" customHeight="1">
      <c r="A355" s="286"/>
      <c r="B355" s="286"/>
      <c r="C355" s="286"/>
      <c r="D355" s="286"/>
      <c r="E355" s="286"/>
      <c r="F355" s="287"/>
      <c r="G355" s="286"/>
      <c r="H355" s="287"/>
      <c r="I355" s="288"/>
      <c r="J355" s="289"/>
      <c r="K355" s="288"/>
      <c r="L355" s="289"/>
      <c r="M355" s="290"/>
      <c r="N355" s="290"/>
      <c r="O355" s="291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</row>
    <row r="356" ht="13.5" customHeight="1">
      <c r="A356" s="286"/>
      <c r="B356" s="286"/>
      <c r="C356" s="286"/>
      <c r="D356" s="286"/>
      <c r="E356" s="286"/>
      <c r="F356" s="287"/>
      <c r="G356" s="286"/>
      <c r="H356" s="287"/>
      <c r="I356" s="288"/>
      <c r="J356" s="289"/>
      <c r="K356" s="288"/>
      <c r="L356" s="289"/>
      <c r="M356" s="290"/>
      <c r="N356" s="290"/>
      <c r="O356" s="291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</row>
    <row r="357" ht="13.5" customHeight="1">
      <c r="A357" s="286"/>
      <c r="B357" s="286"/>
      <c r="C357" s="286"/>
      <c r="D357" s="286"/>
      <c r="E357" s="286"/>
      <c r="F357" s="287"/>
      <c r="G357" s="286"/>
      <c r="H357" s="287"/>
      <c r="I357" s="288"/>
      <c r="J357" s="289"/>
      <c r="K357" s="288"/>
      <c r="L357" s="289"/>
      <c r="M357" s="290"/>
      <c r="N357" s="290"/>
      <c r="O357" s="291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</row>
    <row r="358" ht="13.5" customHeight="1">
      <c r="A358" s="286"/>
      <c r="B358" s="286"/>
      <c r="C358" s="286"/>
      <c r="D358" s="286"/>
      <c r="E358" s="286"/>
      <c r="F358" s="287"/>
      <c r="G358" s="286"/>
      <c r="H358" s="287"/>
      <c r="I358" s="288"/>
      <c r="J358" s="289"/>
      <c r="K358" s="288"/>
      <c r="L358" s="289"/>
      <c r="M358" s="290"/>
      <c r="N358" s="290"/>
      <c r="O358" s="291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</row>
    <row r="359" ht="13.5" customHeight="1">
      <c r="A359" s="286"/>
      <c r="B359" s="286"/>
      <c r="C359" s="286"/>
      <c r="D359" s="286"/>
      <c r="E359" s="286"/>
      <c r="F359" s="287"/>
      <c r="G359" s="286"/>
      <c r="H359" s="287"/>
      <c r="I359" s="288"/>
      <c r="J359" s="289"/>
      <c r="K359" s="288"/>
      <c r="L359" s="289"/>
      <c r="M359" s="290"/>
      <c r="N359" s="290"/>
      <c r="O359" s="291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</row>
    <row r="360" ht="13.5" customHeight="1">
      <c r="A360" s="286"/>
      <c r="B360" s="286"/>
      <c r="C360" s="286"/>
      <c r="D360" s="286"/>
      <c r="E360" s="286"/>
      <c r="F360" s="287"/>
      <c r="G360" s="286"/>
      <c r="H360" s="287"/>
      <c r="I360" s="288"/>
      <c r="J360" s="289"/>
      <c r="K360" s="288"/>
      <c r="L360" s="289"/>
      <c r="M360" s="290"/>
      <c r="N360" s="290"/>
      <c r="O360" s="291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</row>
    <row r="361" ht="13.5" customHeight="1">
      <c r="A361" s="286"/>
      <c r="B361" s="286"/>
      <c r="C361" s="286"/>
      <c r="D361" s="286"/>
      <c r="E361" s="286"/>
      <c r="F361" s="287"/>
      <c r="G361" s="286"/>
      <c r="H361" s="287"/>
      <c r="I361" s="288"/>
      <c r="J361" s="289"/>
      <c r="K361" s="288"/>
      <c r="L361" s="289"/>
      <c r="M361" s="290"/>
      <c r="N361" s="290"/>
      <c r="O361" s="291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</row>
    <row r="362" ht="13.5" customHeight="1">
      <c r="A362" s="286"/>
      <c r="B362" s="286"/>
      <c r="C362" s="286"/>
      <c r="D362" s="286"/>
      <c r="E362" s="286"/>
      <c r="F362" s="287"/>
      <c r="G362" s="286"/>
      <c r="H362" s="287"/>
      <c r="I362" s="288"/>
      <c r="J362" s="289"/>
      <c r="K362" s="288"/>
      <c r="L362" s="289"/>
      <c r="M362" s="290"/>
      <c r="N362" s="290"/>
      <c r="O362" s="291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</row>
    <row r="363" ht="13.5" customHeight="1">
      <c r="A363" s="286"/>
      <c r="B363" s="286"/>
      <c r="C363" s="286"/>
      <c r="D363" s="286"/>
      <c r="E363" s="286"/>
      <c r="F363" s="287"/>
      <c r="G363" s="286"/>
      <c r="H363" s="287"/>
      <c r="I363" s="288"/>
      <c r="J363" s="289"/>
      <c r="K363" s="288"/>
      <c r="L363" s="289"/>
      <c r="M363" s="290"/>
      <c r="N363" s="290"/>
      <c r="O363" s="291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</row>
    <row r="364" ht="13.5" customHeight="1">
      <c r="A364" s="286"/>
      <c r="B364" s="286"/>
      <c r="C364" s="286"/>
      <c r="D364" s="286"/>
      <c r="E364" s="286"/>
      <c r="F364" s="287"/>
      <c r="G364" s="286"/>
      <c r="H364" s="287"/>
      <c r="I364" s="288"/>
      <c r="J364" s="289"/>
      <c r="K364" s="288"/>
      <c r="L364" s="289"/>
      <c r="M364" s="290"/>
      <c r="N364" s="290"/>
      <c r="O364" s="291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</row>
    <row r="365" ht="13.5" customHeight="1">
      <c r="A365" s="286"/>
      <c r="B365" s="286"/>
      <c r="C365" s="286"/>
      <c r="D365" s="286"/>
      <c r="E365" s="286"/>
      <c r="F365" s="287"/>
      <c r="G365" s="286"/>
      <c r="H365" s="287"/>
      <c r="I365" s="288"/>
      <c r="J365" s="289"/>
      <c r="K365" s="288"/>
      <c r="L365" s="289"/>
      <c r="M365" s="290"/>
      <c r="N365" s="290"/>
      <c r="O365" s="291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</row>
    <row r="366" ht="13.5" customHeight="1">
      <c r="A366" s="286"/>
      <c r="B366" s="286"/>
      <c r="C366" s="286"/>
      <c r="D366" s="286"/>
      <c r="E366" s="286"/>
      <c r="F366" s="287"/>
      <c r="G366" s="286"/>
      <c r="H366" s="287"/>
      <c r="I366" s="288"/>
      <c r="J366" s="289"/>
      <c r="K366" s="288"/>
      <c r="L366" s="289"/>
      <c r="M366" s="290"/>
      <c r="N366" s="290"/>
      <c r="O366" s="291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</row>
    <row r="367" ht="13.5" customHeight="1">
      <c r="A367" s="286"/>
      <c r="B367" s="286"/>
      <c r="C367" s="286"/>
      <c r="D367" s="286"/>
      <c r="E367" s="286"/>
      <c r="F367" s="287"/>
      <c r="G367" s="286"/>
      <c r="H367" s="287"/>
      <c r="I367" s="288"/>
      <c r="J367" s="289"/>
      <c r="K367" s="288"/>
      <c r="L367" s="289"/>
      <c r="M367" s="290"/>
      <c r="N367" s="290"/>
      <c r="O367" s="291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</row>
    <row r="368" ht="13.5" customHeight="1">
      <c r="A368" s="286"/>
      <c r="B368" s="286"/>
      <c r="C368" s="286"/>
      <c r="D368" s="286"/>
      <c r="E368" s="286"/>
      <c r="F368" s="287"/>
      <c r="G368" s="286"/>
      <c r="H368" s="287"/>
      <c r="I368" s="288"/>
      <c r="J368" s="289"/>
      <c r="K368" s="288"/>
      <c r="L368" s="289"/>
      <c r="M368" s="290"/>
      <c r="N368" s="290"/>
      <c r="O368" s="291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</row>
    <row r="369" ht="13.5" customHeight="1">
      <c r="A369" s="286"/>
      <c r="B369" s="286"/>
      <c r="C369" s="286"/>
      <c r="D369" s="286"/>
      <c r="E369" s="286"/>
      <c r="F369" s="287"/>
      <c r="G369" s="286"/>
      <c r="H369" s="287"/>
      <c r="I369" s="288"/>
      <c r="J369" s="289"/>
      <c r="K369" s="288"/>
      <c r="L369" s="289"/>
      <c r="M369" s="290"/>
      <c r="N369" s="290"/>
      <c r="O369" s="291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</row>
    <row r="370" ht="13.5" customHeight="1">
      <c r="A370" s="286"/>
      <c r="B370" s="286"/>
      <c r="C370" s="286"/>
      <c r="D370" s="286"/>
      <c r="E370" s="286"/>
      <c r="F370" s="287"/>
      <c r="G370" s="286"/>
      <c r="H370" s="287"/>
      <c r="I370" s="288"/>
      <c r="J370" s="289"/>
      <c r="K370" s="288"/>
      <c r="L370" s="289"/>
      <c r="M370" s="290"/>
      <c r="N370" s="290"/>
      <c r="O370" s="291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</row>
    <row r="371" ht="13.5" customHeight="1">
      <c r="A371" s="286"/>
      <c r="B371" s="286"/>
      <c r="C371" s="286"/>
      <c r="D371" s="286"/>
      <c r="E371" s="286"/>
      <c r="F371" s="287"/>
      <c r="G371" s="286"/>
      <c r="H371" s="287"/>
      <c r="I371" s="288"/>
      <c r="J371" s="289"/>
      <c r="K371" s="288"/>
      <c r="L371" s="289"/>
      <c r="M371" s="290"/>
      <c r="N371" s="290"/>
      <c r="O371" s="291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</row>
    <row r="372" ht="13.5" customHeight="1">
      <c r="A372" s="286"/>
      <c r="B372" s="286"/>
      <c r="C372" s="286"/>
      <c r="D372" s="286"/>
      <c r="E372" s="286"/>
      <c r="F372" s="287"/>
      <c r="G372" s="286"/>
      <c r="H372" s="287"/>
      <c r="I372" s="288"/>
      <c r="J372" s="289"/>
      <c r="K372" s="288"/>
      <c r="L372" s="289"/>
      <c r="M372" s="290"/>
      <c r="N372" s="290"/>
      <c r="O372" s="291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</row>
    <row r="373" ht="13.5" customHeight="1">
      <c r="A373" s="286"/>
      <c r="B373" s="286"/>
      <c r="C373" s="286"/>
      <c r="D373" s="286"/>
      <c r="E373" s="286"/>
      <c r="F373" s="287"/>
      <c r="G373" s="286"/>
      <c r="H373" s="287"/>
      <c r="I373" s="288"/>
      <c r="J373" s="289"/>
      <c r="K373" s="288"/>
      <c r="L373" s="289"/>
      <c r="M373" s="290"/>
      <c r="N373" s="290"/>
      <c r="O373" s="291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</row>
    <row r="374" ht="13.5" customHeight="1">
      <c r="A374" s="286"/>
      <c r="B374" s="286"/>
      <c r="C374" s="286"/>
      <c r="D374" s="286"/>
      <c r="E374" s="286"/>
      <c r="F374" s="287"/>
      <c r="G374" s="286"/>
      <c r="H374" s="287"/>
      <c r="I374" s="288"/>
      <c r="J374" s="289"/>
      <c r="K374" s="288"/>
      <c r="L374" s="289"/>
      <c r="M374" s="290"/>
      <c r="N374" s="290"/>
      <c r="O374" s="291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</row>
    <row r="375" ht="13.5" customHeight="1">
      <c r="A375" s="286"/>
      <c r="B375" s="286"/>
      <c r="C375" s="286"/>
      <c r="D375" s="286"/>
      <c r="E375" s="286"/>
      <c r="F375" s="287"/>
      <c r="G375" s="286"/>
      <c r="H375" s="287"/>
      <c r="I375" s="288"/>
      <c r="J375" s="289"/>
      <c r="K375" s="288"/>
      <c r="L375" s="289"/>
      <c r="M375" s="290"/>
      <c r="N375" s="290"/>
      <c r="O375" s="291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</row>
    <row r="376" ht="13.5" customHeight="1">
      <c r="A376" s="286"/>
      <c r="B376" s="286"/>
      <c r="C376" s="286"/>
      <c r="D376" s="286"/>
      <c r="E376" s="286"/>
      <c r="F376" s="287"/>
      <c r="G376" s="286"/>
      <c r="H376" s="287"/>
      <c r="I376" s="288"/>
      <c r="J376" s="289"/>
      <c r="K376" s="288"/>
      <c r="L376" s="289"/>
      <c r="M376" s="290"/>
      <c r="N376" s="290"/>
      <c r="O376" s="291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</row>
    <row r="377" ht="13.5" customHeight="1">
      <c r="A377" s="286"/>
      <c r="B377" s="286"/>
      <c r="C377" s="286"/>
      <c r="D377" s="286"/>
      <c r="E377" s="286"/>
      <c r="F377" s="287"/>
      <c r="G377" s="286"/>
      <c r="H377" s="287"/>
      <c r="I377" s="288"/>
      <c r="J377" s="289"/>
      <c r="K377" s="288"/>
      <c r="L377" s="289"/>
      <c r="M377" s="290"/>
      <c r="N377" s="290"/>
      <c r="O377" s="291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</row>
    <row r="378" ht="13.5" customHeight="1">
      <c r="A378" s="286"/>
      <c r="B378" s="286"/>
      <c r="C378" s="286"/>
      <c r="D378" s="286"/>
      <c r="E378" s="286"/>
      <c r="F378" s="287"/>
      <c r="G378" s="286"/>
      <c r="H378" s="287"/>
      <c r="I378" s="288"/>
      <c r="J378" s="289"/>
      <c r="K378" s="288"/>
      <c r="L378" s="289"/>
      <c r="M378" s="290"/>
      <c r="N378" s="290"/>
      <c r="O378" s="291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</row>
    <row r="379" ht="13.5" customHeight="1">
      <c r="A379" s="286"/>
      <c r="B379" s="286"/>
      <c r="C379" s="286"/>
      <c r="D379" s="286"/>
      <c r="E379" s="286"/>
      <c r="F379" s="287"/>
      <c r="G379" s="286"/>
      <c r="H379" s="287"/>
      <c r="I379" s="288"/>
      <c r="J379" s="289"/>
      <c r="K379" s="288"/>
      <c r="L379" s="289"/>
      <c r="M379" s="290"/>
      <c r="N379" s="290"/>
      <c r="O379" s="291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</row>
    <row r="380" ht="13.5" customHeight="1">
      <c r="A380" s="286"/>
      <c r="B380" s="286"/>
      <c r="C380" s="286"/>
      <c r="D380" s="286"/>
      <c r="E380" s="286"/>
      <c r="F380" s="287"/>
      <c r="G380" s="286"/>
      <c r="H380" s="287"/>
      <c r="I380" s="288"/>
      <c r="J380" s="289"/>
      <c r="K380" s="288"/>
      <c r="L380" s="289"/>
      <c r="M380" s="290"/>
      <c r="N380" s="290"/>
      <c r="O380" s="291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</row>
    <row r="381" ht="13.5" customHeight="1">
      <c r="A381" s="286"/>
      <c r="B381" s="286"/>
      <c r="C381" s="286"/>
      <c r="D381" s="286"/>
      <c r="E381" s="286"/>
      <c r="F381" s="287"/>
      <c r="G381" s="286"/>
      <c r="H381" s="287"/>
      <c r="I381" s="288"/>
      <c r="J381" s="289"/>
      <c r="K381" s="288"/>
      <c r="L381" s="289"/>
      <c r="M381" s="290"/>
      <c r="N381" s="290"/>
      <c r="O381" s="291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</row>
    <row r="382" ht="13.5" customHeight="1">
      <c r="A382" s="286"/>
      <c r="B382" s="286"/>
      <c r="C382" s="286"/>
      <c r="D382" s="286"/>
      <c r="E382" s="286"/>
      <c r="F382" s="287"/>
      <c r="G382" s="286"/>
      <c r="H382" s="287"/>
      <c r="I382" s="288"/>
      <c r="J382" s="289"/>
      <c r="K382" s="288"/>
      <c r="L382" s="289"/>
      <c r="M382" s="290"/>
      <c r="N382" s="290"/>
      <c r="O382" s="291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</row>
    <row r="383" ht="13.5" customHeight="1">
      <c r="A383" s="286"/>
      <c r="B383" s="286"/>
      <c r="C383" s="286"/>
      <c r="D383" s="286"/>
      <c r="E383" s="286"/>
      <c r="F383" s="287"/>
      <c r="G383" s="286"/>
      <c r="H383" s="287"/>
      <c r="I383" s="288"/>
      <c r="J383" s="289"/>
      <c r="K383" s="288"/>
      <c r="L383" s="289"/>
      <c r="M383" s="290"/>
      <c r="N383" s="290"/>
      <c r="O383" s="291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</row>
    <row r="384" ht="13.5" customHeight="1">
      <c r="A384" s="286"/>
      <c r="B384" s="286"/>
      <c r="C384" s="286"/>
      <c r="D384" s="286"/>
      <c r="E384" s="286"/>
      <c r="F384" s="287"/>
      <c r="G384" s="286"/>
      <c r="H384" s="287"/>
      <c r="I384" s="288"/>
      <c r="J384" s="289"/>
      <c r="K384" s="288"/>
      <c r="L384" s="289"/>
      <c r="M384" s="290"/>
      <c r="N384" s="290"/>
      <c r="O384" s="291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</row>
    <row r="385" ht="13.5" customHeight="1">
      <c r="A385" s="286"/>
      <c r="B385" s="286"/>
      <c r="C385" s="286"/>
      <c r="D385" s="286"/>
      <c r="E385" s="286"/>
      <c r="F385" s="287"/>
      <c r="G385" s="286"/>
      <c r="H385" s="287"/>
      <c r="I385" s="288"/>
      <c r="J385" s="289"/>
      <c r="K385" s="288"/>
      <c r="L385" s="289"/>
      <c r="M385" s="290"/>
      <c r="N385" s="290"/>
      <c r="O385" s="291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</row>
    <row r="386" ht="13.5" customHeight="1">
      <c r="A386" s="286"/>
      <c r="B386" s="286"/>
      <c r="C386" s="286"/>
      <c r="D386" s="286"/>
      <c r="E386" s="286"/>
      <c r="F386" s="287"/>
      <c r="G386" s="286"/>
      <c r="H386" s="287"/>
      <c r="I386" s="288"/>
      <c r="J386" s="289"/>
      <c r="K386" s="288"/>
      <c r="L386" s="289"/>
      <c r="M386" s="290"/>
      <c r="N386" s="290"/>
      <c r="O386" s="291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</row>
    <row r="387" ht="13.5" customHeight="1">
      <c r="A387" s="286"/>
      <c r="B387" s="286"/>
      <c r="C387" s="286"/>
      <c r="D387" s="286"/>
      <c r="E387" s="286"/>
      <c r="F387" s="287"/>
      <c r="G387" s="286"/>
      <c r="H387" s="287"/>
      <c r="I387" s="288"/>
      <c r="J387" s="289"/>
      <c r="K387" s="288"/>
      <c r="L387" s="289"/>
      <c r="M387" s="290"/>
      <c r="N387" s="290"/>
      <c r="O387" s="291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</row>
    <row r="388" ht="13.5" customHeight="1">
      <c r="A388" s="286"/>
      <c r="B388" s="286"/>
      <c r="C388" s="286"/>
      <c r="D388" s="286"/>
      <c r="E388" s="286"/>
      <c r="F388" s="287"/>
      <c r="G388" s="286"/>
      <c r="H388" s="287"/>
      <c r="I388" s="288"/>
      <c r="J388" s="289"/>
      <c r="K388" s="288"/>
      <c r="L388" s="289"/>
      <c r="M388" s="290"/>
      <c r="N388" s="290"/>
      <c r="O388" s="291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</row>
    <row r="389" ht="13.5" customHeight="1">
      <c r="A389" s="286"/>
      <c r="B389" s="286"/>
      <c r="C389" s="286"/>
      <c r="D389" s="286"/>
      <c r="E389" s="286"/>
      <c r="F389" s="287"/>
      <c r="G389" s="286"/>
      <c r="H389" s="287"/>
      <c r="I389" s="288"/>
      <c r="J389" s="289"/>
      <c r="K389" s="288"/>
      <c r="L389" s="289"/>
      <c r="M389" s="290"/>
      <c r="N389" s="290"/>
      <c r="O389" s="291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</row>
    <row r="390" ht="13.5" customHeight="1">
      <c r="A390" s="286"/>
      <c r="B390" s="286"/>
      <c r="C390" s="286"/>
      <c r="D390" s="286"/>
      <c r="E390" s="286"/>
      <c r="F390" s="287"/>
      <c r="G390" s="286"/>
      <c r="H390" s="287"/>
      <c r="I390" s="288"/>
      <c r="J390" s="289"/>
      <c r="K390" s="288"/>
      <c r="L390" s="289"/>
      <c r="M390" s="290"/>
      <c r="N390" s="290"/>
      <c r="O390" s="291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</row>
    <row r="391" ht="13.5" customHeight="1">
      <c r="A391" s="286"/>
      <c r="B391" s="286"/>
      <c r="C391" s="286"/>
      <c r="D391" s="286"/>
      <c r="E391" s="286"/>
      <c r="F391" s="287"/>
      <c r="G391" s="286"/>
      <c r="H391" s="287"/>
      <c r="I391" s="288"/>
      <c r="J391" s="289"/>
      <c r="K391" s="288"/>
      <c r="L391" s="289"/>
      <c r="M391" s="290"/>
      <c r="N391" s="290"/>
      <c r="O391" s="291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</row>
    <row r="392" ht="13.5" customHeight="1">
      <c r="A392" s="286"/>
      <c r="B392" s="286"/>
      <c r="C392" s="286"/>
      <c r="D392" s="286"/>
      <c r="E392" s="286"/>
      <c r="F392" s="287"/>
      <c r="G392" s="286"/>
      <c r="H392" s="287"/>
      <c r="I392" s="288"/>
      <c r="J392" s="289"/>
      <c r="K392" s="288"/>
      <c r="L392" s="289"/>
      <c r="M392" s="290"/>
      <c r="N392" s="290"/>
      <c r="O392" s="291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</row>
    <row r="393" ht="13.5" customHeight="1">
      <c r="A393" s="286"/>
      <c r="B393" s="286"/>
      <c r="C393" s="286"/>
      <c r="D393" s="286"/>
      <c r="E393" s="286"/>
      <c r="F393" s="287"/>
      <c r="G393" s="286"/>
      <c r="H393" s="287"/>
      <c r="I393" s="288"/>
      <c r="J393" s="289"/>
      <c r="K393" s="288"/>
      <c r="L393" s="289"/>
      <c r="M393" s="290"/>
      <c r="N393" s="290"/>
      <c r="O393" s="291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</row>
    <row r="394" ht="13.5" customHeight="1">
      <c r="A394" s="286"/>
      <c r="B394" s="286"/>
      <c r="C394" s="286"/>
      <c r="D394" s="286"/>
      <c r="E394" s="286"/>
      <c r="F394" s="287"/>
      <c r="G394" s="286"/>
      <c r="H394" s="287"/>
      <c r="I394" s="288"/>
      <c r="J394" s="289"/>
      <c r="K394" s="288"/>
      <c r="L394" s="289"/>
      <c r="M394" s="290"/>
      <c r="N394" s="290"/>
      <c r="O394" s="291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</row>
    <row r="395" ht="13.5" customHeight="1">
      <c r="A395" s="286"/>
      <c r="B395" s="286"/>
      <c r="C395" s="286"/>
      <c r="D395" s="286"/>
      <c r="E395" s="286"/>
      <c r="F395" s="287"/>
      <c r="G395" s="286"/>
      <c r="H395" s="287"/>
      <c r="I395" s="288"/>
      <c r="J395" s="289"/>
      <c r="K395" s="288"/>
      <c r="L395" s="289"/>
      <c r="M395" s="290"/>
      <c r="N395" s="290"/>
      <c r="O395" s="291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</row>
    <row r="396" ht="13.5" customHeight="1">
      <c r="A396" s="286"/>
      <c r="B396" s="286"/>
      <c r="C396" s="286"/>
      <c r="D396" s="286"/>
      <c r="E396" s="286"/>
      <c r="F396" s="287"/>
      <c r="G396" s="286"/>
      <c r="H396" s="287"/>
      <c r="I396" s="288"/>
      <c r="J396" s="289"/>
      <c r="K396" s="288"/>
      <c r="L396" s="289"/>
      <c r="M396" s="290"/>
      <c r="N396" s="290"/>
      <c r="O396" s="291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</row>
    <row r="397" ht="13.5" customHeight="1">
      <c r="A397" s="286"/>
      <c r="B397" s="286"/>
      <c r="C397" s="286"/>
      <c r="D397" s="286"/>
      <c r="E397" s="286"/>
      <c r="F397" s="287"/>
      <c r="G397" s="286"/>
      <c r="H397" s="287"/>
      <c r="I397" s="288"/>
      <c r="J397" s="289"/>
      <c r="K397" s="288"/>
      <c r="L397" s="289"/>
      <c r="M397" s="290"/>
      <c r="N397" s="290"/>
      <c r="O397" s="291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</row>
    <row r="398" ht="13.5" customHeight="1">
      <c r="A398" s="286"/>
      <c r="B398" s="286"/>
      <c r="C398" s="286"/>
      <c r="D398" s="286"/>
      <c r="E398" s="286"/>
      <c r="F398" s="287"/>
      <c r="G398" s="286"/>
      <c r="H398" s="287"/>
      <c r="I398" s="288"/>
      <c r="J398" s="289"/>
      <c r="K398" s="288"/>
      <c r="L398" s="289"/>
      <c r="M398" s="290"/>
      <c r="N398" s="290"/>
      <c r="O398" s="291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</row>
    <row r="399" ht="13.5" customHeight="1">
      <c r="A399" s="286"/>
      <c r="B399" s="286"/>
      <c r="C399" s="286"/>
      <c r="D399" s="286"/>
      <c r="E399" s="286"/>
      <c r="F399" s="287"/>
      <c r="G399" s="286"/>
      <c r="H399" s="287"/>
      <c r="I399" s="288"/>
      <c r="J399" s="289"/>
      <c r="K399" s="288"/>
      <c r="L399" s="289"/>
      <c r="M399" s="290"/>
      <c r="N399" s="290"/>
      <c r="O399" s="291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</row>
    <row r="400" ht="13.5" customHeight="1">
      <c r="A400" s="286"/>
      <c r="B400" s="286"/>
      <c r="C400" s="286"/>
      <c r="D400" s="286"/>
      <c r="E400" s="286"/>
      <c r="F400" s="287"/>
      <c r="G400" s="286"/>
      <c r="H400" s="287"/>
      <c r="I400" s="288"/>
      <c r="J400" s="289"/>
      <c r="K400" s="288"/>
      <c r="L400" s="289"/>
      <c r="M400" s="290"/>
      <c r="N400" s="290"/>
      <c r="O400" s="291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</row>
    <row r="401" ht="13.5" customHeight="1">
      <c r="A401" s="286"/>
      <c r="B401" s="286"/>
      <c r="C401" s="286"/>
      <c r="D401" s="286"/>
      <c r="E401" s="286"/>
      <c r="F401" s="287"/>
      <c r="G401" s="286"/>
      <c r="H401" s="287"/>
      <c r="I401" s="288"/>
      <c r="J401" s="289"/>
      <c r="K401" s="288"/>
      <c r="L401" s="289"/>
      <c r="M401" s="290"/>
      <c r="N401" s="290"/>
      <c r="O401" s="291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</row>
    <row r="402" ht="13.5" customHeight="1">
      <c r="A402" s="286"/>
      <c r="B402" s="286"/>
      <c r="C402" s="286"/>
      <c r="D402" s="286"/>
      <c r="E402" s="286"/>
      <c r="F402" s="287"/>
      <c r="G402" s="286"/>
      <c r="H402" s="287"/>
      <c r="I402" s="288"/>
      <c r="J402" s="289"/>
      <c r="K402" s="288"/>
      <c r="L402" s="289"/>
      <c r="M402" s="290"/>
      <c r="N402" s="290"/>
      <c r="O402" s="291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</row>
    <row r="403" ht="13.5" customHeight="1">
      <c r="A403" s="286"/>
      <c r="B403" s="286"/>
      <c r="C403" s="286"/>
      <c r="D403" s="286"/>
      <c r="E403" s="286"/>
      <c r="F403" s="287"/>
      <c r="G403" s="286"/>
      <c r="H403" s="287"/>
      <c r="I403" s="288"/>
      <c r="J403" s="289"/>
      <c r="K403" s="288"/>
      <c r="L403" s="289"/>
      <c r="M403" s="290"/>
      <c r="N403" s="290"/>
      <c r="O403" s="291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</row>
    <row r="404" ht="13.5" customHeight="1">
      <c r="A404" s="286"/>
      <c r="B404" s="286"/>
      <c r="C404" s="286"/>
      <c r="D404" s="286"/>
      <c r="E404" s="286"/>
      <c r="F404" s="287"/>
      <c r="G404" s="286"/>
      <c r="H404" s="287"/>
      <c r="I404" s="288"/>
      <c r="J404" s="289"/>
      <c r="K404" s="288"/>
      <c r="L404" s="289"/>
      <c r="M404" s="290"/>
      <c r="N404" s="290"/>
      <c r="O404" s="291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</row>
    <row r="405" ht="13.5" customHeight="1">
      <c r="A405" s="286"/>
      <c r="B405" s="286"/>
      <c r="C405" s="286"/>
      <c r="D405" s="286"/>
      <c r="E405" s="286"/>
      <c r="F405" s="287"/>
      <c r="G405" s="286"/>
      <c r="H405" s="287"/>
      <c r="I405" s="288"/>
      <c r="J405" s="289"/>
      <c r="K405" s="288"/>
      <c r="L405" s="289"/>
      <c r="M405" s="290"/>
      <c r="N405" s="290"/>
      <c r="O405" s="291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</row>
    <row r="406" ht="13.5" customHeight="1">
      <c r="A406" s="286"/>
      <c r="B406" s="286"/>
      <c r="C406" s="286"/>
      <c r="D406" s="286"/>
      <c r="E406" s="286"/>
      <c r="F406" s="287"/>
      <c r="G406" s="286"/>
      <c r="H406" s="287"/>
      <c r="I406" s="288"/>
      <c r="J406" s="289"/>
      <c r="K406" s="288"/>
      <c r="L406" s="289"/>
      <c r="M406" s="290"/>
      <c r="N406" s="290"/>
      <c r="O406" s="291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</row>
    <row r="407" ht="13.5" customHeight="1">
      <c r="A407" s="286"/>
      <c r="B407" s="286"/>
      <c r="C407" s="286"/>
      <c r="D407" s="286"/>
      <c r="E407" s="286"/>
      <c r="F407" s="287"/>
      <c r="G407" s="286"/>
      <c r="H407" s="287"/>
      <c r="I407" s="288"/>
      <c r="J407" s="289"/>
      <c r="K407" s="288"/>
      <c r="L407" s="289"/>
      <c r="M407" s="290"/>
      <c r="N407" s="290"/>
      <c r="O407" s="291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</row>
    <row r="408" ht="13.5" customHeight="1">
      <c r="A408" s="286"/>
      <c r="B408" s="286"/>
      <c r="C408" s="286"/>
      <c r="D408" s="286"/>
      <c r="E408" s="286"/>
      <c r="F408" s="287"/>
      <c r="G408" s="286"/>
      <c r="H408" s="287"/>
      <c r="I408" s="288"/>
      <c r="J408" s="289"/>
      <c r="K408" s="288"/>
      <c r="L408" s="289"/>
      <c r="M408" s="290"/>
      <c r="N408" s="290"/>
      <c r="O408" s="291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</row>
    <row r="409" ht="13.5" customHeight="1">
      <c r="A409" s="286"/>
      <c r="B409" s="286"/>
      <c r="C409" s="286"/>
      <c r="D409" s="286"/>
      <c r="E409" s="286"/>
      <c r="F409" s="287"/>
      <c r="G409" s="286"/>
      <c r="H409" s="287"/>
      <c r="I409" s="288"/>
      <c r="J409" s="289"/>
      <c r="K409" s="288"/>
      <c r="L409" s="289"/>
      <c r="M409" s="290"/>
      <c r="N409" s="290"/>
      <c r="O409" s="291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</row>
    <row r="410" ht="13.5" customHeight="1">
      <c r="A410" s="286"/>
      <c r="B410" s="286"/>
      <c r="C410" s="286"/>
      <c r="D410" s="286"/>
      <c r="E410" s="286"/>
      <c r="F410" s="287"/>
      <c r="G410" s="286"/>
      <c r="H410" s="287"/>
      <c r="I410" s="288"/>
      <c r="J410" s="289"/>
      <c r="K410" s="288"/>
      <c r="L410" s="289"/>
      <c r="M410" s="290"/>
      <c r="N410" s="290"/>
      <c r="O410" s="291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</row>
    <row r="411" ht="13.5" customHeight="1">
      <c r="A411" s="286"/>
      <c r="B411" s="286"/>
      <c r="C411" s="286"/>
      <c r="D411" s="286"/>
      <c r="E411" s="286"/>
      <c r="F411" s="287"/>
      <c r="G411" s="286"/>
      <c r="H411" s="287"/>
      <c r="I411" s="288"/>
      <c r="J411" s="289"/>
      <c r="K411" s="288"/>
      <c r="L411" s="289"/>
      <c r="M411" s="290"/>
      <c r="N411" s="290"/>
      <c r="O411" s="291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</row>
    <row r="412" ht="13.5" customHeight="1">
      <c r="A412" s="286"/>
      <c r="B412" s="286"/>
      <c r="C412" s="286"/>
      <c r="D412" s="286"/>
      <c r="E412" s="286"/>
      <c r="F412" s="287"/>
      <c r="G412" s="286"/>
      <c r="H412" s="287"/>
      <c r="I412" s="288"/>
      <c r="J412" s="289"/>
      <c r="K412" s="288"/>
      <c r="L412" s="289"/>
      <c r="M412" s="290"/>
      <c r="N412" s="290"/>
      <c r="O412" s="291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</row>
    <row r="413" ht="13.5" customHeight="1">
      <c r="A413" s="286"/>
      <c r="B413" s="286"/>
      <c r="C413" s="286"/>
      <c r="D413" s="286"/>
      <c r="E413" s="286"/>
      <c r="F413" s="287"/>
      <c r="G413" s="286"/>
      <c r="H413" s="287"/>
      <c r="I413" s="288"/>
      <c r="J413" s="289"/>
      <c r="K413" s="288"/>
      <c r="L413" s="289"/>
      <c r="M413" s="290"/>
      <c r="N413" s="290"/>
      <c r="O413" s="291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</row>
    <row r="414" ht="13.5" customHeight="1">
      <c r="A414" s="286"/>
      <c r="B414" s="286"/>
      <c r="C414" s="286"/>
      <c r="D414" s="286"/>
      <c r="E414" s="286"/>
      <c r="F414" s="287"/>
      <c r="G414" s="286"/>
      <c r="H414" s="287"/>
      <c r="I414" s="288"/>
      <c r="J414" s="289"/>
      <c r="K414" s="288"/>
      <c r="L414" s="289"/>
      <c r="M414" s="290"/>
      <c r="N414" s="290"/>
      <c r="O414" s="291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</row>
    <row r="415" ht="13.5" customHeight="1">
      <c r="A415" s="286"/>
      <c r="B415" s="286"/>
      <c r="C415" s="286"/>
      <c r="D415" s="286"/>
      <c r="E415" s="286"/>
      <c r="F415" s="287"/>
      <c r="G415" s="286"/>
      <c r="H415" s="287"/>
      <c r="I415" s="288"/>
      <c r="J415" s="289"/>
      <c r="K415" s="288"/>
      <c r="L415" s="289"/>
      <c r="M415" s="290"/>
      <c r="N415" s="290"/>
      <c r="O415" s="291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</row>
    <row r="416" ht="13.5" customHeight="1">
      <c r="A416" s="286"/>
      <c r="B416" s="286"/>
      <c r="C416" s="286"/>
      <c r="D416" s="286"/>
      <c r="E416" s="286"/>
      <c r="F416" s="287"/>
      <c r="G416" s="286"/>
      <c r="H416" s="287"/>
      <c r="I416" s="288"/>
      <c r="J416" s="289"/>
      <c r="K416" s="288"/>
      <c r="L416" s="289"/>
      <c r="M416" s="290"/>
      <c r="N416" s="290"/>
      <c r="O416" s="291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</row>
    <row r="417" ht="13.5" customHeight="1">
      <c r="A417" s="286"/>
      <c r="B417" s="286"/>
      <c r="C417" s="286"/>
      <c r="D417" s="286"/>
      <c r="E417" s="286"/>
      <c r="F417" s="287"/>
      <c r="G417" s="286"/>
      <c r="H417" s="287"/>
      <c r="I417" s="288"/>
      <c r="J417" s="289"/>
      <c r="K417" s="288"/>
      <c r="L417" s="289"/>
      <c r="M417" s="290"/>
      <c r="N417" s="290"/>
      <c r="O417" s="291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</row>
    <row r="418" ht="13.5" customHeight="1">
      <c r="A418" s="286"/>
      <c r="B418" s="286"/>
      <c r="C418" s="286"/>
      <c r="D418" s="286"/>
      <c r="E418" s="286"/>
      <c r="F418" s="287"/>
      <c r="G418" s="286"/>
      <c r="H418" s="287"/>
      <c r="I418" s="288"/>
      <c r="J418" s="289"/>
      <c r="K418" s="288"/>
      <c r="L418" s="289"/>
      <c r="M418" s="290"/>
      <c r="N418" s="290"/>
      <c r="O418" s="291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</row>
    <row r="419" ht="13.5" customHeight="1">
      <c r="A419" s="286"/>
      <c r="B419" s="286"/>
      <c r="C419" s="286"/>
      <c r="D419" s="286"/>
      <c r="E419" s="286"/>
      <c r="F419" s="287"/>
      <c r="G419" s="286"/>
      <c r="H419" s="287"/>
      <c r="I419" s="288"/>
      <c r="J419" s="289"/>
      <c r="K419" s="288"/>
      <c r="L419" s="289"/>
      <c r="M419" s="290"/>
      <c r="N419" s="290"/>
      <c r="O419" s="291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</row>
    <row r="420" ht="13.5" customHeight="1">
      <c r="A420" s="286"/>
      <c r="B420" s="286"/>
      <c r="C420" s="286"/>
      <c r="D420" s="286"/>
      <c r="E420" s="286"/>
      <c r="F420" s="287"/>
      <c r="G420" s="286"/>
      <c r="H420" s="287"/>
      <c r="I420" s="288"/>
      <c r="J420" s="289"/>
      <c r="K420" s="288"/>
      <c r="L420" s="289"/>
      <c r="M420" s="290"/>
      <c r="N420" s="290"/>
      <c r="O420" s="291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</row>
    <row r="421" ht="13.5" customHeight="1">
      <c r="A421" s="286"/>
      <c r="B421" s="286"/>
      <c r="C421" s="286"/>
      <c r="D421" s="286"/>
      <c r="E421" s="286"/>
      <c r="F421" s="287"/>
      <c r="G421" s="286"/>
      <c r="H421" s="287"/>
      <c r="I421" s="288"/>
      <c r="J421" s="289"/>
      <c r="K421" s="288"/>
      <c r="L421" s="289"/>
      <c r="M421" s="290"/>
      <c r="N421" s="290"/>
      <c r="O421" s="291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</row>
    <row r="422" ht="13.5" customHeight="1">
      <c r="A422" s="286"/>
      <c r="B422" s="286"/>
      <c r="C422" s="286"/>
      <c r="D422" s="286"/>
      <c r="E422" s="286"/>
      <c r="F422" s="287"/>
      <c r="G422" s="286"/>
      <c r="H422" s="287"/>
      <c r="I422" s="288"/>
      <c r="J422" s="289"/>
      <c r="K422" s="288"/>
      <c r="L422" s="289"/>
      <c r="M422" s="290"/>
      <c r="N422" s="290"/>
      <c r="O422" s="291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</row>
    <row r="423" ht="13.5" customHeight="1">
      <c r="A423" s="286"/>
      <c r="B423" s="286"/>
      <c r="C423" s="286"/>
      <c r="D423" s="286"/>
      <c r="E423" s="286"/>
      <c r="F423" s="287"/>
      <c r="G423" s="286"/>
      <c r="H423" s="287"/>
      <c r="I423" s="288"/>
      <c r="J423" s="289"/>
      <c r="K423" s="288"/>
      <c r="L423" s="289"/>
      <c r="M423" s="290"/>
      <c r="N423" s="290"/>
      <c r="O423" s="291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</row>
    <row r="424" ht="13.5" customHeight="1">
      <c r="A424" s="286"/>
      <c r="B424" s="286"/>
      <c r="C424" s="286"/>
      <c r="D424" s="286"/>
      <c r="E424" s="286"/>
      <c r="F424" s="287"/>
      <c r="G424" s="286"/>
      <c r="H424" s="287"/>
      <c r="I424" s="288"/>
      <c r="J424" s="289"/>
      <c r="K424" s="288"/>
      <c r="L424" s="289"/>
      <c r="M424" s="290"/>
      <c r="N424" s="290"/>
      <c r="O424" s="291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</row>
    <row r="425" ht="13.5" customHeight="1">
      <c r="A425" s="286"/>
      <c r="B425" s="286"/>
      <c r="C425" s="286"/>
      <c r="D425" s="286"/>
      <c r="E425" s="286"/>
      <c r="F425" s="287"/>
      <c r="G425" s="286"/>
      <c r="H425" s="287"/>
      <c r="I425" s="288"/>
      <c r="J425" s="289"/>
      <c r="K425" s="288"/>
      <c r="L425" s="289"/>
      <c r="M425" s="290"/>
      <c r="N425" s="290"/>
      <c r="O425" s="291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</row>
    <row r="426" ht="13.5" customHeight="1">
      <c r="A426" s="286"/>
      <c r="B426" s="286"/>
      <c r="C426" s="286"/>
      <c r="D426" s="286"/>
      <c r="E426" s="286"/>
      <c r="F426" s="287"/>
      <c r="G426" s="286"/>
      <c r="H426" s="287"/>
      <c r="I426" s="288"/>
      <c r="J426" s="289"/>
      <c r="K426" s="288"/>
      <c r="L426" s="289"/>
      <c r="M426" s="290"/>
      <c r="N426" s="290"/>
      <c r="O426" s="291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</row>
    <row r="427" ht="13.5" customHeight="1">
      <c r="A427" s="286"/>
      <c r="B427" s="286"/>
      <c r="C427" s="286"/>
      <c r="D427" s="286"/>
      <c r="E427" s="286"/>
      <c r="F427" s="287"/>
      <c r="G427" s="286"/>
      <c r="H427" s="287"/>
      <c r="I427" s="288"/>
      <c r="J427" s="289"/>
      <c r="K427" s="288"/>
      <c r="L427" s="289"/>
      <c r="M427" s="290"/>
      <c r="N427" s="290"/>
      <c r="O427" s="291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</row>
    <row r="428" ht="13.5" customHeight="1">
      <c r="A428" s="286"/>
      <c r="B428" s="286"/>
      <c r="C428" s="286"/>
      <c r="D428" s="286"/>
      <c r="E428" s="286"/>
      <c r="F428" s="287"/>
      <c r="G428" s="286"/>
      <c r="H428" s="287"/>
      <c r="I428" s="288"/>
      <c r="J428" s="289"/>
      <c r="K428" s="288"/>
      <c r="L428" s="289"/>
      <c r="M428" s="290"/>
      <c r="N428" s="290"/>
      <c r="O428" s="291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</row>
    <row r="429" ht="13.5" customHeight="1">
      <c r="A429" s="286"/>
      <c r="B429" s="286"/>
      <c r="C429" s="286"/>
      <c r="D429" s="286"/>
      <c r="E429" s="286"/>
      <c r="F429" s="287"/>
      <c r="G429" s="286"/>
      <c r="H429" s="287"/>
      <c r="I429" s="288"/>
      <c r="J429" s="289"/>
      <c r="K429" s="288"/>
      <c r="L429" s="289"/>
      <c r="M429" s="290"/>
      <c r="N429" s="290"/>
      <c r="O429" s="291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</row>
    <row r="430" ht="13.5" customHeight="1">
      <c r="A430" s="286"/>
      <c r="B430" s="286"/>
      <c r="C430" s="286"/>
      <c r="D430" s="286"/>
      <c r="E430" s="286"/>
      <c r="F430" s="287"/>
      <c r="G430" s="286"/>
      <c r="H430" s="287"/>
      <c r="I430" s="288"/>
      <c r="J430" s="289"/>
      <c r="K430" s="288"/>
      <c r="L430" s="289"/>
      <c r="M430" s="290"/>
      <c r="N430" s="290"/>
      <c r="O430" s="291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</row>
    <row r="431" ht="13.5" customHeight="1">
      <c r="A431" s="286"/>
      <c r="B431" s="286"/>
      <c r="C431" s="286"/>
      <c r="D431" s="286"/>
      <c r="E431" s="286"/>
      <c r="F431" s="287"/>
      <c r="G431" s="286"/>
      <c r="H431" s="287"/>
      <c r="I431" s="288"/>
      <c r="J431" s="289"/>
      <c r="K431" s="288"/>
      <c r="L431" s="289"/>
      <c r="M431" s="290"/>
      <c r="N431" s="290"/>
      <c r="O431" s="291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</row>
    <row r="432" ht="13.5" customHeight="1">
      <c r="A432" s="286"/>
      <c r="B432" s="286"/>
      <c r="C432" s="286"/>
      <c r="D432" s="286"/>
      <c r="E432" s="286"/>
      <c r="F432" s="287"/>
      <c r="G432" s="286"/>
      <c r="H432" s="287"/>
      <c r="I432" s="288"/>
      <c r="J432" s="289"/>
      <c r="K432" s="288"/>
      <c r="L432" s="289"/>
      <c r="M432" s="290"/>
      <c r="N432" s="290"/>
      <c r="O432" s="291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</row>
    <row r="433" ht="13.5" customHeight="1">
      <c r="A433" s="286"/>
      <c r="B433" s="286"/>
      <c r="C433" s="286"/>
      <c r="D433" s="286"/>
      <c r="E433" s="286"/>
      <c r="F433" s="287"/>
      <c r="G433" s="286"/>
      <c r="H433" s="287"/>
      <c r="I433" s="288"/>
      <c r="J433" s="289"/>
      <c r="K433" s="288"/>
      <c r="L433" s="289"/>
      <c r="M433" s="290"/>
      <c r="N433" s="290"/>
      <c r="O433" s="291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</row>
    <row r="434" ht="13.5" customHeight="1">
      <c r="A434" s="286"/>
      <c r="B434" s="286"/>
      <c r="C434" s="286"/>
      <c r="D434" s="286"/>
      <c r="E434" s="286"/>
      <c r="F434" s="287"/>
      <c r="G434" s="286"/>
      <c r="H434" s="287"/>
      <c r="I434" s="288"/>
      <c r="J434" s="289"/>
      <c r="K434" s="288"/>
      <c r="L434" s="289"/>
      <c r="M434" s="290"/>
      <c r="N434" s="290"/>
      <c r="O434" s="291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</row>
    <row r="435" ht="13.5" customHeight="1">
      <c r="A435" s="286"/>
      <c r="B435" s="286"/>
      <c r="C435" s="286"/>
      <c r="D435" s="286"/>
      <c r="E435" s="286"/>
      <c r="F435" s="287"/>
      <c r="G435" s="286"/>
      <c r="H435" s="287"/>
      <c r="I435" s="288"/>
      <c r="J435" s="289"/>
      <c r="K435" s="288"/>
      <c r="L435" s="289"/>
      <c r="M435" s="290"/>
      <c r="N435" s="290"/>
      <c r="O435" s="291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</row>
    <row r="436" ht="13.5" customHeight="1">
      <c r="A436" s="286"/>
      <c r="B436" s="286"/>
      <c r="C436" s="286"/>
      <c r="D436" s="286"/>
      <c r="E436" s="286"/>
      <c r="F436" s="287"/>
      <c r="G436" s="286"/>
      <c r="H436" s="287"/>
      <c r="I436" s="288"/>
      <c r="J436" s="289"/>
      <c r="K436" s="288"/>
      <c r="L436" s="289"/>
      <c r="M436" s="290"/>
      <c r="N436" s="290"/>
      <c r="O436" s="291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</row>
    <row r="437" ht="13.5" customHeight="1">
      <c r="A437" s="286"/>
      <c r="B437" s="286"/>
      <c r="C437" s="286"/>
      <c r="D437" s="286"/>
      <c r="E437" s="286"/>
      <c r="F437" s="287"/>
      <c r="G437" s="286"/>
      <c r="H437" s="287"/>
      <c r="I437" s="288"/>
      <c r="J437" s="289"/>
      <c r="K437" s="288"/>
      <c r="L437" s="289"/>
      <c r="M437" s="290"/>
      <c r="N437" s="290"/>
      <c r="O437" s="291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</row>
    <row r="438" ht="13.5" customHeight="1">
      <c r="A438" s="286"/>
      <c r="B438" s="286"/>
      <c r="C438" s="286"/>
      <c r="D438" s="286"/>
      <c r="E438" s="286"/>
      <c r="F438" s="287"/>
      <c r="G438" s="286"/>
      <c r="H438" s="287"/>
      <c r="I438" s="288"/>
      <c r="J438" s="289"/>
      <c r="K438" s="288"/>
      <c r="L438" s="289"/>
      <c r="M438" s="290"/>
      <c r="N438" s="290"/>
      <c r="O438" s="291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</row>
    <row r="439" ht="13.5" customHeight="1">
      <c r="A439" s="286"/>
      <c r="B439" s="286"/>
      <c r="C439" s="286"/>
      <c r="D439" s="286"/>
      <c r="E439" s="286"/>
      <c r="F439" s="287"/>
      <c r="G439" s="286"/>
      <c r="H439" s="287"/>
      <c r="I439" s="288"/>
      <c r="J439" s="289"/>
      <c r="K439" s="288"/>
      <c r="L439" s="289"/>
      <c r="M439" s="290"/>
      <c r="N439" s="290"/>
      <c r="O439" s="291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</row>
    <row r="440" ht="13.5" customHeight="1">
      <c r="A440" s="286"/>
      <c r="B440" s="286"/>
      <c r="C440" s="286"/>
      <c r="D440" s="286"/>
      <c r="E440" s="286"/>
      <c r="F440" s="287"/>
      <c r="G440" s="286"/>
      <c r="H440" s="287"/>
      <c r="I440" s="288"/>
      <c r="J440" s="289"/>
      <c r="K440" s="288"/>
      <c r="L440" s="289"/>
      <c r="M440" s="290"/>
      <c r="N440" s="290"/>
      <c r="O440" s="291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</row>
    <row r="441" ht="13.5" customHeight="1">
      <c r="A441" s="286"/>
      <c r="B441" s="286"/>
      <c r="C441" s="286"/>
      <c r="D441" s="286"/>
      <c r="E441" s="286"/>
      <c r="F441" s="287"/>
      <c r="G441" s="286"/>
      <c r="H441" s="287"/>
      <c r="I441" s="288"/>
      <c r="J441" s="289"/>
      <c r="K441" s="288"/>
      <c r="L441" s="289"/>
      <c r="M441" s="290"/>
      <c r="N441" s="290"/>
      <c r="O441" s="291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</row>
    <row r="442" ht="13.5" customHeight="1">
      <c r="A442" s="286"/>
      <c r="B442" s="286"/>
      <c r="C442" s="286"/>
      <c r="D442" s="286"/>
      <c r="E442" s="286"/>
      <c r="F442" s="287"/>
      <c r="G442" s="286"/>
      <c r="H442" s="287"/>
      <c r="I442" s="288"/>
      <c r="J442" s="289"/>
      <c r="K442" s="288"/>
      <c r="L442" s="289"/>
      <c r="M442" s="290"/>
      <c r="N442" s="290"/>
      <c r="O442" s="291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</row>
    <row r="443" ht="13.5" customHeight="1">
      <c r="A443" s="286"/>
      <c r="B443" s="286"/>
      <c r="C443" s="286"/>
      <c r="D443" s="286"/>
      <c r="E443" s="286"/>
      <c r="F443" s="287"/>
      <c r="G443" s="286"/>
      <c r="H443" s="287"/>
      <c r="I443" s="288"/>
      <c r="J443" s="289"/>
      <c r="K443" s="288"/>
      <c r="L443" s="289"/>
      <c r="M443" s="290"/>
      <c r="N443" s="290"/>
      <c r="O443" s="291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</row>
    <row r="444" ht="13.5" customHeight="1">
      <c r="A444" s="286"/>
      <c r="B444" s="286"/>
      <c r="C444" s="286"/>
      <c r="D444" s="286"/>
      <c r="E444" s="286"/>
      <c r="F444" s="287"/>
      <c r="G444" s="286"/>
      <c r="H444" s="287"/>
      <c r="I444" s="288"/>
      <c r="J444" s="289"/>
      <c r="K444" s="288"/>
      <c r="L444" s="289"/>
      <c r="M444" s="290"/>
      <c r="N444" s="290"/>
      <c r="O444" s="291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</row>
    <row r="445" ht="13.5" customHeight="1">
      <c r="A445" s="286"/>
      <c r="B445" s="286"/>
      <c r="C445" s="286"/>
      <c r="D445" s="286"/>
      <c r="E445" s="286"/>
      <c r="F445" s="287"/>
      <c r="G445" s="286"/>
      <c r="H445" s="287"/>
      <c r="I445" s="288"/>
      <c r="J445" s="289"/>
      <c r="K445" s="288"/>
      <c r="L445" s="289"/>
      <c r="M445" s="290"/>
      <c r="N445" s="290"/>
      <c r="O445" s="291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</row>
    <row r="446" ht="13.5" customHeight="1">
      <c r="A446" s="286"/>
      <c r="B446" s="286"/>
      <c r="C446" s="286"/>
      <c r="D446" s="286"/>
      <c r="E446" s="286"/>
      <c r="F446" s="287"/>
      <c r="G446" s="286"/>
      <c r="H446" s="287"/>
      <c r="I446" s="288"/>
      <c r="J446" s="289"/>
      <c r="K446" s="288"/>
      <c r="L446" s="289"/>
      <c r="M446" s="290"/>
      <c r="N446" s="290"/>
      <c r="O446" s="291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</row>
    <row r="447" ht="13.5" customHeight="1">
      <c r="A447" s="286"/>
      <c r="B447" s="286"/>
      <c r="C447" s="286"/>
      <c r="D447" s="286"/>
      <c r="E447" s="286"/>
      <c r="F447" s="287"/>
      <c r="G447" s="286"/>
      <c r="H447" s="287"/>
      <c r="I447" s="288"/>
      <c r="J447" s="289"/>
      <c r="K447" s="288"/>
      <c r="L447" s="289"/>
      <c r="M447" s="290"/>
      <c r="N447" s="290"/>
      <c r="O447" s="291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</row>
    <row r="448" ht="13.5" customHeight="1">
      <c r="A448" s="286"/>
      <c r="B448" s="286"/>
      <c r="C448" s="286"/>
      <c r="D448" s="286"/>
      <c r="E448" s="286"/>
      <c r="F448" s="287"/>
      <c r="G448" s="286"/>
      <c r="H448" s="287"/>
      <c r="I448" s="288"/>
      <c r="J448" s="289"/>
      <c r="K448" s="288"/>
      <c r="L448" s="289"/>
      <c r="M448" s="290"/>
      <c r="N448" s="290"/>
      <c r="O448" s="291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</row>
    <row r="449" ht="13.5" customHeight="1">
      <c r="A449" s="286"/>
      <c r="B449" s="286"/>
      <c r="C449" s="286"/>
      <c r="D449" s="286"/>
      <c r="E449" s="286"/>
      <c r="F449" s="287"/>
      <c r="G449" s="286"/>
      <c r="H449" s="287"/>
      <c r="I449" s="288"/>
      <c r="J449" s="289"/>
      <c r="K449" s="288"/>
      <c r="L449" s="289"/>
      <c r="M449" s="290"/>
      <c r="N449" s="290"/>
      <c r="O449" s="291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</row>
    <row r="450" ht="13.5" customHeight="1">
      <c r="A450" s="286"/>
      <c r="B450" s="286"/>
      <c r="C450" s="286"/>
      <c r="D450" s="286"/>
      <c r="E450" s="286"/>
      <c r="F450" s="287"/>
      <c r="G450" s="286"/>
      <c r="H450" s="287"/>
      <c r="I450" s="288"/>
      <c r="J450" s="289"/>
      <c r="K450" s="288"/>
      <c r="L450" s="289"/>
      <c r="M450" s="290"/>
      <c r="N450" s="290"/>
      <c r="O450" s="291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</row>
    <row r="451" ht="13.5" customHeight="1">
      <c r="A451" s="286"/>
      <c r="B451" s="286"/>
      <c r="C451" s="286"/>
      <c r="D451" s="286"/>
      <c r="E451" s="286"/>
      <c r="F451" s="287"/>
      <c r="G451" s="286"/>
      <c r="H451" s="287"/>
      <c r="I451" s="288"/>
      <c r="J451" s="289"/>
      <c r="K451" s="288"/>
      <c r="L451" s="289"/>
      <c r="M451" s="290"/>
      <c r="N451" s="290"/>
      <c r="O451" s="291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</row>
    <row r="452" ht="13.5" customHeight="1">
      <c r="A452" s="286"/>
      <c r="B452" s="286"/>
      <c r="C452" s="286"/>
      <c r="D452" s="286"/>
      <c r="E452" s="286"/>
      <c r="F452" s="287"/>
      <c r="G452" s="286"/>
      <c r="H452" s="287"/>
      <c r="I452" s="288"/>
      <c r="J452" s="289"/>
      <c r="K452" s="288"/>
      <c r="L452" s="289"/>
      <c r="M452" s="290"/>
      <c r="N452" s="290"/>
      <c r="O452" s="291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</row>
    <row r="453" ht="13.5" customHeight="1">
      <c r="A453" s="286"/>
      <c r="B453" s="286"/>
      <c r="C453" s="286"/>
      <c r="D453" s="286"/>
      <c r="E453" s="286"/>
      <c r="F453" s="287"/>
      <c r="G453" s="286"/>
      <c r="H453" s="287"/>
      <c r="I453" s="288"/>
      <c r="J453" s="289"/>
      <c r="K453" s="288"/>
      <c r="L453" s="289"/>
      <c r="M453" s="290"/>
      <c r="N453" s="290"/>
      <c r="O453" s="291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</row>
    <row r="454" ht="13.5" customHeight="1">
      <c r="A454" s="286"/>
      <c r="B454" s="286"/>
      <c r="C454" s="286"/>
      <c r="D454" s="286"/>
      <c r="E454" s="286"/>
      <c r="F454" s="287"/>
      <c r="G454" s="286"/>
      <c r="H454" s="287"/>
      <c r="I454" s="288"/>
      <c r="J454" s="289"/>
      <c r="K454" s="288"/>
      <c r="L454" s="289"/>
      <c r="M454" s="290"/>
      <c r="N454" s="290"/>
      <c r="O454" s="291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</row>
    <row r="455" ht="13.5" customHeight="1">
      <c r="A455" s="286"/>
      <c r="B455" s="286"/>
      <c r="C455" s="286"/>
      <c r="D455" s="286"/>
      <c r="E455" s="286"/>
      <c r="F455" s="287"/>
      <c r="G455" s="286"/>
      <c r="H455" s="287"/>
      <c r="I455" s="288"/>
      <c r="J455" s="289"/>
      <c r="K455" s="288"/>
      <c r="L455" s="289"/>
      <c r="M455" s="290"/>
      <c r="N455" s="290"/>
      <c r="O455" s="291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</row>
    <row r="456" ht="13.5" customHeight="1">
      <c r="A456" s="286"/>
      <c r="B456" s="286"/>
      <c r="C456" s="286"/>
      <c r="D456" s="286"/>
      <c r="E456" s="286"/>
      <c r="F456" s="287"/>
      <c r="G456" s="286"/>
      <c r="H456" s="287"/>
      <c r="I456" s="288"/>
      <c r="J456" s="289"/>
      <c r="K456" s="288"/>
      <c r="L456" s="289"/>
      <c r="M456" s="290"/>
      <c r="N456" s="290"/>
      <c r="O456" s="291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</row>
    <row r="457" ht="13.5" customHeight="1">
      <c r="A457" s="286"/>
      <c r="B457" s="286"/>
      <c r="C457" s="286"/>
      <c r="D457" s="286"/>
      <c r="E457" s="286"/>
      <c r="F457" s="287"/>
      <c r="G457" s="286"/>
      <c r="H457" s="287"/>
      <c r="I457" s="288"/>
      <c r="J457" s="289"/>
      <c r="K457" s="288"/>
      <c r="L457" s="289"/>
      <c r="M457" s="290"/>
      <c r="N457" s="290"/>
      <c r="O457" s="291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</row>
    <row r="458" ht="13.5" customHeight="1">
      <c r="A458" s="286"/>
      <c r="B458" s="286"/>
      <c r="C458" s="286"/>
      <c r="D458" s="286"/>
      <c r="E458" s="286"/>
      <c r="F458" s="287"/>
      <c r="G458" s="286"/>
      <c r="H458" s="287"/>
      <c r="I458" s="288"/>
      <c r="J458" s="289"/>
      <c r="K458" s="288"/>
      <c r="L458" s="289"/>
      <c r="M458" s="290"/>
      <c r="N458" s="290"/>
      <c r="O458" s="291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</row>
    <row r="459" ht="13.5" customHeight="1">
      <c r="A459" s="286"/>
      <c r="B459" s="286"/>
      <c r="C459" s="286"/>
      <c r="D459" s="286"/>
      <c r="E459" s="286"/>
      <c r="F459" s="287"/>
      <c r="G459" s="286"/>
      <c r="H459" s="287"/>
      <c r="I459" s="288"/>
      <c r="J459" s="289"/>
      <c r="K459" s="288"/>
      <c r="L459" s="289"/>
      <c r="M459" s="290"/>
      <c r="N459" s="290"/>
      <c r="O459" s="291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</row>
    <row r="460" ht="13.5" customHeight="1">
      <c r="A460" s="286"/>
      <c r="B460" s="286"/>
      <c r="C460" s="286"/>
      <c r="D460" s="286"/>
      <c r="E460" s="286"/>
      <c r="F460" s="287"/>
      <c r="G460" s="286"/>
      <c r="H460" s="287"/>
      <c r="I460" s="288"/>
      <c r="J460" s="289"/>
      <c r="K460" s="288"/>
      <c r="L460" s="289"/>
      <c r="M460" s="290"/>
      <c r="N460" s="290"/>
      <c r="O460" s="291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</row>
    <row r="461" ht="13.5" customHeight="1">
      <c r="A461" s="286"/>
      <c r="B461" s="286"/>
      <c r="C461" s="286"/>
      <c r="D461" s="286"/>
      <c r="E461" s="286"/>
      <c r="F461" s="287"/>
      <c r="G461" s="286"/>
      <c r="H461" s="287"/>
      <c r="I461" s="288"/>
      <c r="J461" s="289"/>
      <c r="K461" s="288"/>
      <c r="L461" s="289"/>
      <c r="M461" s="290"/>
      <c r="N461" s="290"/>
      <c r="O461" s="291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</row>
    <row r="462" ht="13.5" customHeight="1">
      <c r="A462" s="286"/>
      <c r="B462" s="286"/>
      <c r="C462" s="286"/>
      <c r="D462" s="286"/>
      <c r="E462" s="286"/>
      <c r="F462" s="287"/>
      <c r="G462" s="286"/>
      <c r="H462" s="287"/>
      <c r="I462" s="288"/>
      <c r="J462" s="289"/>
      <c r="K462" s="288"/>
      <c r="L462" s="289"/>
      <c r="M462" s="290"/>
      <c r="N462" s="290"/>
      <c r="O462" s="291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</row>
    <row r="463" ht="13.5" customHeight="1">
      <c r="A463" s="286"/>
      <c r="B463" s="286"/>
      <c r="C463" s="286"/>
      <c r="D463" s="286"/>
      <c r="E463" s="286"/>
      <c r="F463" s="287"/>
      <c r="G463" s="286"/>
      <c r="H463" s="287"/>
      <c r="I463" s="288"/>
      <c r="J463" s="289"/>
      <c r="K463" s="288"/>
      <c r="L463" s="289"/>
      <c r="M463" s="290"/>
      <c r="N463" s="290"/>
      <c r="O463" s="291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</row>
    <row r="464" ht="13.5" customHeight="1">
      <c r="A464" s="286"/>
      <c r="B464" s="286"/>
      <c r="C464" s="286"/>
      <c r="D464" s="286"/>
      <c r="E464" s="286"/>
      <c r="F464" s="287"/>
      <c r="G464" s="286"/>
      <c r="H464" s="287"/>
      <c r="I464" s="288"/>
      <c r="J464" s="289"/>
      <c r="K464" s="288"/>
      <c r="L464" s="289"/>
      <c r="M464" s="290"/>
      <c r="N464" s="290"/>
      <c r="O464" s="291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</row>
    <row r="465" ht="13.5" customHeight="1">
      <c r="A465" s="286"/>
      <c r="B465" s="286"/>
      <c r="C465" s="286"/>
      <c r="D465" s="286"/>
      <c r="E465" s="286"/>
      <c r="F465" s="287"/>
      <c r="G465" s="286"/>
      <c r="H465" s="287"/>
      <c r="I465" s="288"/>
      <c r="J465" s="289"/>
      <c r="K465" s="288"/>
      <c r="L465" s="289"/>
      <c r="M465" s="290"/>
      <c r="N465" s="290"/>
      <c r="O465" s="291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</row>
    <row r="466" ht="13.5" customHeight="1">
      <c r="A466" s="286"/>
      <c r="B466" s="286"/>
      <c r="C466" s="286"/>
      <c r="D466" s="286"/>
      <c r="E466" s="286"/>
      <c r="F466" s="287"/>
      <c r="G466" s="286"/>
      <c r="H466" s="287"/>
      <c r="I466" s="288"/>
      <c r="J466" s="289"/>
      <c r="K466" s="288"/>
      <c r="L466" s="289"/>
      <c r="M466" s="290"/>
      <c r="N466" s="290"/>
      <c r="O466" s="291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</row>
    <row r="467" ht="13.5" customHeight="1">
      <c r="A467" s="286"/>
      <c r="B467" s="286"/>
      <c r="C467" s="286"/>
      <c r="D467" s="286"/>
      <c r="E467" s="286"/>
      <c r="F467" s="287"/>
      <c r="G467" s="286"/>
      <c r="H467" s="287"/>
      <c r="I467" s="288"/>
      <c r="J467" s="289"/>
      <c r="K467" s="288"/>
      <c r="L467" s="289"/>
      <c r="M467" s="290"/>
      <c r="N467" s="290"/>
      <c r="O467" s="291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</row>
    <row r="468" ht="13.5" customHeight="1">
      <c r="A468" s="286"/>
      <c r="B468" s="286"/>
      <c r="C468" s="286"/>
      <c r="D468" s="286"/>
      <c r="E468" s="286"/>
      <c r="F468" s="287"/>
      <c r="G468" s="286"/>
      <c r="H468" s="287"/>
      <c r="I468" s="288"/>
      <c r="J468" s="289"/>
      <c r="K468" s="288"/>
      <c r="L468" s="289"/>
      <c r="M468" s="290"/>
      <c r="N468" s="290"/>
      <c r="O468" s="291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</row>
    <row r="469" ht="13.5" customHeight="1">
      <c r="A469" s="286"/>
      <c r="B469" s="286"/>
      <c r="C469" s="286"/>
      <c r="D469" s="286"/>
      <c r="E469" s="286"/>
      <c r="F469" s="287"/>
      <c r="G469" s="286"/>
      <c r="H469" s="287"/>
      <c r="I469" s="288"/>
      <c r="J469" s="289"/>
      <c r="K469" s="288"/>
      <c r="L469" s="289"/>
      <c r="M469" s="290"/>
      <c r="N469" s="290"/>
      <c r="O469" s="291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</row>
    <row r="470" ht="13.5" customHeight="1">
      <c r="A470" s="286"/>
      <c r="B470" s="286"/>
      <c r="C470" s="286"/>
      <c r="D470" s="286"/>
      <c r="E470" s="286"/>
      <c r="F470" s="287"/>
      <c r="G470" s="286"/>
      <c r="H470" s="287"/>
      <c r="I470" s="288"/>
      <c r="J470" s="289"/>
      <c r="K470" s="288"/>
      <c r="L470" s="289"/>
      <c r="M470" s="290"/>
      <c r="N470" s="290"/>
      <c r="O470" s="291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</row>
    <row r="471" ht="13.5" customHeight="1">
      <c r="A471" s="286"/>
      <c r="B471" s="286"/>
      <c r="C471" s="286"/>
      <c r="D471" s="286"/>
      <c r="E471" s="286"/>
      <c r="F471" s="287"/>
      <c r="G471" s="286"/>
      <c r="H471" s="287"/>
      <c r="I471" s="288"/>
      <c r="J471" s="289"/>
      <c r="K471" s="288"/>
      <c r="L471" s="289"/>
      <c r="M471" s="290"/>
      <c r="N471" s="290"/>
      <c r="O471" s="291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</row>
    <row r="472" ht="13.5" customHeight="1">
      <c r="A472" s="286"/>
      <c r="B472" s="286"/>
      <c r="C472" s="286"/>
      <c r="D472" s="286"/>
      <c r="E472" s="286"/>
      <c r="F472" s="287"/>
      <c r="G472" s="286"/>
      <c r="H472" s="287"/>
      <c r="I472" s="288"/>
      <c r="J472" s="289"/>
      <c r="K472" s="288"/>
      <c r="L472" s="289"/>
      <c r="M472" s="290"/>
      <c r="N472" s="290"/>
      <c r="O472" s="291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</row>
    <row r="473" ht="13.5" customHeight="1">
      <c r="A473" s="286"/>
      <c r="B473" s="286"/>
      <c r="C473" s="286"/>
      <c r="D473" s="286"/>
      <c r="E473" s="286"/>
      <c r="F473" s="287"/>
      <c r="G473" s="286"/>
      <c r="H473" s="287"/>
      <c r="I473" s="288"/>
      <c r="J473" s="289"/>
      <c r="K473" s="288"/>
      <c r="L473" s="289"/>
      <c r="M473" s="290"/>
      <c r="N473" s="290"/>
      <c r="O473" s="291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</row>
    <row r="474" ht="13.5" customHeight="1">
      <c r="A474" s="286"/>
      <c r="B474" s="286"/>
      <c r="C474" s="286"/>
      <c r="D474" s="286"/>
      <c r="E474" s="286"/>
      <c r="F474" s="287"/>
      <c r="G474" s="286"/>
      <c r="H474" s="287"/>
      <c r="I474" s="288"/>
      <c r="J474" s="289"/>
      <c r="K474" s="288"/>
      <c r="L474" s="289"/>
      <c r="M474" s="290"/>
      <c r="N474" s="290"/>
      <c r="O474" s="291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</row>
    <row r="475" ht="13.5" customHeight="1">
      <c r="A475" s="286"/>
      <c r="B475" s="286"/>
      <c r="C475" s="286"/>
      <c r="D475" s="286"/>
      <c r="E475" s="286"/>
      <c r="F475" s="287"/>
      <c r="G475" s="286"/>
      <c r="H475" s="287"/>
      <c r="I475" s="288"/>
      <c r="J475" s="289"/>
      <c r="K475" s="288"/>
      <c r="L475" s="289"/>
      <c r="M475" s="290"/>
      <c r="N475" s="290"/>
      <c r="O475" s="291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</row>
    <row r="476" ht="13.5" customHeight="1">
      <c r="A476" s="286"/>
      <c r="B476" s="286"/>
      <c r="C476" s="286"/>
      <c r="D476" s="286"/>
      <c r="E476" s="286"/>
      <c r="F476" s="287"/>
      <c r="G476" s="286"/>
      <c r="H476" s="287"/>
      <c r="I476" s="288"/>
      <c r="J476" s="289"/>
      <c r="K476" s="288"/>
      <c r="L476" s="289"/>
      <c r="M476" s="290"/>
      <c r="N476" s="290"/>
      <c r="O476" s="291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</row>
    <row r="477" ht="13.5" customHeight="1">
      <c r="A477" s="286"/>
      <c r="B477" s="286"/>
      <c r="C477" s="286"/>
      <c r="D477" s="286"/>
      <c r="E477" s="286"/>
      <c r="F477" s="287"/>
      <c r="G477" s="286"/>
      <c r="H477" s="287"/>
      <c r="I477" s="288"/>
      <c r="J477" s="289"/>
      <c r="K477" s="288"/>
      <c r="L477" s="289"/>
      <c r="M477" s="290"/>
      <c r="N477" s="290"/>
      <c r="O477" s="291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</row>
    <row r="478" ht="13.5" customHeight="1">
      <c r="A478" s="286"/>
      <c r="B478" s="286"/>
      <c r="C478" s="286"/>
      <c r="D478" s="286"/>
      <c r="E478" s="286"/>
      <c r="F478" s="287"/>
      <c r="G478" s="286"/>
      <c r="H478" s="287"/>
      <c r="I478" s="288"/>
      <c r="J478" s="289"/>
      <c r="K478" s="288"/>
      <c r="L478" s="289"/>
      <c r="M478" s="290"/>
      <c r="N478" s="290"/>
      <c r="O478" s="291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</row>
    <row r="479" ht="13.5" customHeight="1">
      <c r="A479" s="286"/>
      <c r="B479" s="286"/>
      <c r="C479" s="286"/>
      <c r="D479" s="286"/>
      <c r="E479" s="286"/>
      <c r="F479" s="287"/>
      <c r="G479" s="286"/>
      <c r="H479" s="287"/>
      <c r="I479" s="288"/>
      <c r="J479" s="289"/>
      <c r="K479" s="288"/>
      <c r="L479" s="289"/>
      <c r="M479" s="290"/>
      <c r="N479" s="290"/>
      <c r="O479" s="291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</row>
    <row r="480" ht="13.5" customHeight="1">
      <c r="A480" s="286"/>
      <c r="B480" s="286"/>
      <c r="C480" s="286"/>
      <c r="D480" s="286"/>
      <c r="E480" s="286"/>
      <c r="F480" s="287"/>
      <c r="G480" s="286"/>
      <c r="H480" s="287"/>
      <c r="I480" s="288"/>
      <c r="J480" s="289"/>
      <c r="K480" s="288"/>
      <c r="L480" s="289"/>
      <c r="M480" s="290"/>
      <c r="N480" s="290"/>
      <c r="O480" s="291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</row>
    <row r="481" ht="13.5" customHeight="1">
      <c r="A481" s="286"/>
      <c r="B481" s="286"/>
      <c r="C481" s="286"/>
      <c r="D481" s="286"/>
      <c r="E481" s="286"/>
      <c r="F481" s="287"/>
      <c r="G481" s="286"/>
      <c r="H481" s="287"/>
      <c r="I481" s="288"/>
      <c r="J481" s="289"/>
      <c r="K481" s="288"/>
      <c r="L481" s="289"/>
      <c r="M481" s="290"/>
      <c r="N481" s="290"/>
      <c r="O481" s="291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</row>
    <row r="482" ht="13.5" customHeight="1">
      <c r="A482" s="286"/>
      <c r="B482" s="286"/>
      <c r="C482" s="286"/>
      <c r="D482" s="286"/>
      <c r="E482" s="286"/>
      <c r="F482" s="287"/>
      <c r="G482" s="286"/>
      <c r="H482" s="287"/>
      <c r="I482" s="288"/>
      <c r="J482" s="289"/>
      <c r="K482" s="288"/>
      <c r="L482" s="289"/>
      <c r="M482" s="290"/>
      <c r="N482" s="290"/>
      <c r="O482" s="291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</row>
    <row r="483" ht="13.5" customHeight="1">
      <c r="A483" s="286"/>
      <c r="B483" s="286"/>
      <c r="C483" s="286"/>
      <c r="D483" s="286"/>
      <c r="E483" s="286"/>
      <c r="F483" s="287"/>
      <c r="G483" s="286"/>
      <c r="H483" s="287"/>
      <c r="I483" s="288"/>
      <c r="J483" s="289"/>
      <c r="K483" s="288"/>
      <c r="L483" s="289"/>
      <c r="M483" s="290"/>
      <c r="N483" s="290"/>
      <c r="O483" s="291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</row>
    <row r="484" ht="13.5" customHeight="1">
      <c r="A484" s="286"/>
      <c r="B484" s="286"/>
      <c r="C484" s="286"/>
      <c r="D484" s="286"/>
      <c r="E484" s="286"/>
      <c r="F484" s="287"/>
      <c r="G484" s="286"/>
      <c r="H484" s="287"/>
      <c r="I484" s="288"/>
      <c r="J484" s="289"/>
      <c r="K484" s="288"/>
      <c r="L484" s="289"/>
      <c r="M484" s="290"/>
      <c r="N484" s="290"/>
      <c r="O484" s="291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</row>
    <row r="485" ht="13.5" customHeight="1">
      <c r="A485" s="286"/>
      <c r="B485" s="286"/>
      <c r="C485" s="286"/>
      <c r="D485" s="286"/>
      <c r="E485" s="286"/>
      <c r="F485" s="287"/>
      <c r="G485" s="286"/>
      <c r="H485" s="287"/>
      <c r="I485" s="288"/>
      <c r="J485" s="289"/>
      <c r="K485" s="288"/>
      <c r="L485" s="289"/>
      <c r="M485" s="290"/>
      <c r="N485" s="290"/>
      <c r="O485" s="291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</row>
    <row r="486" ht="13.5" customHeight="1">
      <c r="A486" s="286"/>
      <c r="B486" s="286"/>
      <c r="C486" s="286"/>
      <c r="D486" s="286"/>
      <c r="E486" s="286"/>
      <c r="F486" s="287"/>
      <c r="G486" s="286"/>
      <c r="H486" s="287"/>
      <c r="I486" s="288"/>
      <c r="J486" s="289"/>
      <c r="K486" s="288"/>
      <c r="L486" s="289"/>
      <c r="M486" s="290"/>
      <c r="N486" s="290"/>
      <c r="O486" s="291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</row>
    <row r="487" ht="13.5" customHeight="1">
      <c r="A487" s="286"/>
      <c r="B487" s="286"/>
      <c r="C487" s="286"/>
      <c r="D487" s="286"/>
      <c r="E487" s="286"/>
      <c r="F487" s="287"/>
      <c r="G487" s="286"/>
      <c r="H487" s="287"/>
      <c r="I487" s="288"/>
      <c r="J487" s="289"/>
      <c r="K487" s="288"/>
      <c r="L487" s="289"/>
      <c r="M487" s="290"/>
      <c r="N487" s="290"/>
      <c r="O487" s="291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</row>
    <row r="488" ht="13.5" customHeight="1">
      <c r="A488" s="286"/>
      <c r="B488" s="286"/>
      <c r="C488" s="286"/>
      <c r="D488" s="286"/>
      <c r="E488" s="286"/>
      <c r="F488" s="287"/>
      <c r="G488" s="286"/>
      <c r="H488" s="287"/>
      <c r="I488" s="288"/>
      <c r="J488" s="289"/>
      <c r="K488" s="288"/>
      <c r="L488" s="289"/>
      <c r="M488" s="290"/>
      <c r="N488" s="290"/>
      <c r="O488" s="291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</row>
    <row r="489" ht="13.5" customHeight="1">
      <c r="A489" s="286"/>
      <c r="B489" s="286"/>
      <c r="C489" s="286"/>
      <c r="D489" s="286"/>
      <c r="E489" s="286"/>
      <c r="F489" s="287"/>
      <c r="G489" s="286"/>
      <c r="H489" s="287"/>
      <c r="I489" s="288"/>
      <c r="J489" s="289"/>
      <c r="K489" s="288"/>
      <c r="L489" s="289"/>
      <c r="M489" s="290"/>
      <c r="N489" s="290"/>
      <c r="O489" s="291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</row>
    <row r="490" ht="13.5" customHeight="1">
      <c r="A490" s="286"/>
      <c r="B490" s="286"/>
      <c r="C490" s="286"/>
      <c r="D490" s="286"/>
      <c r="E490" s="286"/>
      <c r="F490" s="287"/>
      <c r="G490" s="286"/>
      <c r="H490" s="287"/>
      <c r="I490" s="288"/>
      <c r="J490" s="289"/>
      <c r="K490" s="288"/>
      <c r="L490" s="289"/>
      <c r="M490" s="290"/>
      <c r="N490" s="290"/>
      <c r="O490" s="291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</row>
    <row r="491" ht="13.5" customHeight="1">
      <c r="A491" s="286"/>
      <c r="B491" s="286"/>
      <c r="C491" s="286"/>
      <c r="D491" s="286"/>
      <c r="E491" s="286"/>
      <c r="F491" s="287"/>
      <c r="G491" s="286"/>
      <c r="H491" s="287"/>
      <c r="I491" s="288"/>
      <c r="J491" s="289"/>
      <c r="K491" s="288"/>
      <c r="L491" s="289"/>
      <c r="M491" s="290"/>
      <c r="N491" s="290"/>
      <c r="O491" s="291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</row>
    <row r="492" ht="13.5" customHeight="1">
      <c r="A492" s="286"/>
      <c r="B492" s="286"/>
      <c r="C492" s="286"/>
      <c r="D492" s="286"/>
      <c r="E492" s="286"/>
      <c r="F492" s="287"/>
      <c r="G492" s="286"/>
      <c r="H492" s="287"/>
      <c r="I492" s="288"/>
      <c r="J492" s="289"/>
      <c r="K492" s="288"/>
      <c r="L492" s="289"/>
      <c r="M492" s="290"/>
      <c r="N492" s="290"/>
      <c r="O492" s="291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</row>
    <row r="493" ht="13.5" customHeight="1">
      <c r="A493" s="286"/>
      <c r="B493" s="286"/>
      <c r="C493" s="286"/>
      <c r="D493" s="286"/>
      <c r="E493" s="286"/>
      <c r="F493" s="287"/>
      <c r="G493" s="286"/>
      <c r="H493" s="287"/>
      <c r="I493" s="288"/>
      <c r="J493" s="289"/>
      <c r="K493" s="288"/>
      <c r="L493" s="289"/>
      <c r="M493" s="290"/>
      <c r="N493" s="290"/>
      <c r="O493" s="291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</row>
    <row r="494" ht="13.5" customHeight="1">
      <c r="A494" s="286"/>
      <c r="B494" s="286"/>
      <c r="C494" s="286"/>
      <c r="D494" s="286"/>
      <c r="E494" s="286"/>
      <c r="F494" s="287"/>
      <c r="G494" s="286"/>
      <c r="H494" s="287"/>
      <c r="I494" s="288"/>
      <c r="J494" s="289"/>
      <c r="K494" s="288"/>
      <c r="L494" s="289"/>
      <c r="M494" s="290"/>
      <c r="N494" s="290"/>
      <c r="O494" s="291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</row>
    <row r="495" ht="13.5" customHeight="1">
      <c r="A495" s="286"/>
      <c r="B495" s="286"/>
      <c r="C495" s="286"/>
      <c r="D495" s="286"/>
      <c r="E495" s="286"/>
      <c r="F495" s="287"/>
      <c r="G495" s="286"/>
      <c r="H495" s="287"/>
      <c r="I495" s="288"/>
      <c r="J495" s="289"/>
      <c r="K495" s="288"/>
      <c r="L495" s="289"/>
      <c r="M495" s="290"/>
      <c r="N495" s="290"/>
      <c r="O495" s="291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</row>
    <row r="496" ht="13.5" customHeight="1">
      <c r="A496" s="286"/>
      <c r="B496" s="286"/>
      <c r="C496" s="286"/>
      <c r="D496" s="286"/>
      <c r="E496" s="286"/>
      <c r="F496" s="287"/>
      <c r="G496" s="286"/>
      <c r="H496" s="287"/>
      <c r="I496" s="288"/>
      <c r="J496" s="289"/>
      <c r="K496" s="288"/>
      <c r="L496" s="289"/>
      <c r="M496" s="290"/>
      <c r="N496" s="290"/>
      <c r="O496" s="291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</row>
    <row r="497" ht="13.5" customHeight="1">
      <c r="A497" s="286"/>
      <c r="B497" s="286"/>
      <c r="C497" s="286"/>
      <c r="D497" s="286"/>
      <c r="E497" s="286"/>
      <c r="F497" s="287"/>
      <c r="G497" s="286"/>
      <c r="H497" s="287"/>
      <c r="I497" s="288"/>
      <c r="J497" s="289"/>
      <c r="K497" s="288"/>
      <c r="L497" s="289"/>
      <c r="M497" s="290"/>
      <c r="N497" s="290"/>
      <c r="O497" s="291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</row>
    <row r="498" ht="13.5" customHeight="1">
      <c r="A498" s="286"/>
      <c r="B498" s="286"/>
      <c r="C498" s="286"/>
      <c r="D498" s="286"/>
      <c r="E498" s="286"/>
      <c r="F498" s="287"/>
      <c r="G498" s="286"/>
      <c r="H498" s="287"/>
      <c r="I498" s="288"/>
      <c r="J498" s="289"/>
      <c r="K498" s="288"/>
      <c r="L498" s="289"/>
      <c r="M498" s="290"/>
      <c r="N498" s="290"/>
      <c r="O498" s="291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</row>
    <row r="499" ht="13.5" customHeight="1">
      <c r="A499" s="286"/>
      <c r="B499" s="286"/>
      <c r="C499" s="286"/>
      <c r="D499" s="286"/>
      <c r="E499" s="286"/>
      <c r="F499" s="287"/>
      <c r="G499" s="286"/>
      <c r="H499" s="287"/>
      <c r="I499" s="288"/>
      <c r="J499" s="289"/>
      <c r="K499" s="288"/>
      <c r="L499" s="289"/>
      <c r="M499" s="290"/>
      <c r="N499" s="290"/>
      <c r="O499" s="291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</row>
    <row r="500" ht="13.5" customHeight="1">
      <c r="A500" s="286"/>
      <c r="B500" s="286"/>
      <c r="C500" s="286"/>
      <c r="D500" s="286"/>
      <c r="E500" s="286"/>
      <c r="F500" s="287"/>
      <c r="G500" s="286"/>
      <c r="H500" s="287"/>
      <c r="I500" s="288"/>
      <c r="J500" s="289"/>
      <c r="K500" s="288"/>
      <c r="L500" s="289"/>
      <c r="M500" s="290"/>
      <c r="N500" s="290"/>
      <c r="O500" s="291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</row>
    <row r="501" ht="13.5" customHeight="1">
      <c r="A501" s="286"/>
      <c r="B501" s="286"/>
      <c r="C501" s="286"/>
      <c r="D501" s="286"/>
      <c r="E501" s="286"/>
      <c r="F501" s="287"/>
      <c r="G501" s="286"/>
      <c r="H501" s="287"/>
      <c r="I501" s="288"/>
      <c r="J501" s="289"/>
      <c r="K501" s="288"/>
      <c r="L501" s="289"/>
      <c r="M501" s="290"/>
      <c r="N501" s="290"/>
      <c r="O501" s="291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</row>
    <row r="502" ht="13.5" customHeight="1">
      <c r="A502" s="286"/>
      <c r="B502" s="286"/>
      <c r="C502" s="286"/>
      <c r="D502" s="286"/>
      <c r="E502" s="286"/>
      <c r="F502" s="287"/>
      <c r="G502" s="286"/>
      <c r="H502" s="287"/>
      <c r="I502" s="288"/>
      <c r="J502" s="289"/>
      <c r="K502" s="288"/>
      <c r="L502" s="289"/>
      <c r="M502" s="290"/>
      <c r="N502" s="290"/>
      <c r="O502" s="291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</row>
    <row r="503" ht="13.5" customHeight="1">
      <c r="A503" s="286"/>
      <c r="B503" s="286"/>
      <c r="C503" s="286"/>
      <c r="D503" s="286"/>
      <c r="E503" s="286"/>
      <c r="F503" s="287"/>
      <c r="G503" s="286"/>
      <c r="H503" s="287"/>
      <c r="I503" s="288"/>
      <c r="J503" s="289"/>
      <c r="K503" s="288"/>
      <c r="L503" s="289"/>
      <c r="M503" s="290"/>
      <c r="N503" s="290"/>
      <c r="O503" s="291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</row>
    <row r="504" ht="13.5" customHeight="1">
      <c r="A504" s="286"/>
      <c r="B504" s="286"/>
      <c r="C504" s="286"/>
      <c r="D504" s="286"/>
      <c r="E504" s="286"/>
      <c r="F504" s="287"/>
      <c r="G504" s="286"/>
      <c r="H504" s="287"/>
      <c r="I504" s="288"/>
      <c r="J504" s="289"/>
      <c r="K504" s="288"/>
      <c r="L504" s="289"/>
      <c r="M504" s="290"/>
      <c r="N504" s="290"/>
      <c r="O504" s="291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</row>
    <row r="505" ht="13.5" customHeight="1">
      <c r="A505" s="286"/>
      <c r="B505" s="286"/>
      <c r="C505" s="286"/>
      <c r="D505" s="286"/>
      <c r="E505" s="286"/>
      <c r="F505" s="287"/>
      <c r="G505" s="286"/>
      <c r="H505" s="287"/>
      <c r="I505" s="288"/>
      <c r="J505" s="289"/>
      <c r="K505" s="288"/>
      <c r="L505" s="289"/>
      <c r="M505" s="290"/>
      <c r="N505" s="290"/>
      <c r="O505" s="291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</row>
    <row r="506" ht="13.5" customHeight="1">
      <c r="A506" s="286"/>
      <c r="B506" s="286"/>
      <c r="C506" s="286"/>
      <c r="D506" s="286"/>
      <c r="E506" s="286"/>
      <c r="F506" s="287"/>
      <c r="G506" s="286"/>
      <c r="H506" s="287"/>
      <c r="I506" s="288"/>
      <c r="J506" s="289"/>
      <c r="K506" s="288"/>
      <c r="L506" s="289"/>
      <c r="M506" s="290"/>
      <c r="N506" s="290"/>
      <c r="O506" s="291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</row>
    <row r="507" ht="13.5" customHeight="1">
      <c r="A507" s="286"/>
      <c r="B507" s="286"/>
      <c r="C507" s="286"/>
      <c r="D507" s="286"/>
      <c r="E507" s="286"/>
      <c r="F507" s="287"/>
      <c r="G507" s="286"/>
      <c r="H507" s="287"/>
      <c r="I507" s="288"/>
      <c r="J507" s="289"/>
      <c r="K507" s="288"/>
      <c r="L507" s="289"/>
      <c r="M507" s="290"/>
      <c r="N507" s="290"/>
      <c r="O507" s="291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</row>
    <row r="508" ht="13.5" customHeight="1">
      <c r="A508" s="286"/>
      <c r="B508" s="286"/>
      <c r="C508" s="286"/>
      <c r="D508" s="286"/>
      <c r="E508" s="286"/>
      <c r="F508" s="287"/>
      <c r="G508" s="286"/>
      <c r="H508" s="287"/>
      <c r="I508" s="288"/>
      <c r="J508" s="289"/>
      <c r="K508" s="288"/>
      <c r="L508" s="289"/>
      <c r="M508" s="290"/>
      <c r="N508" s="290"/>
      <c r="O508" s="291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</row>
    <row r="509" ht="13.5" customHeight="1">
      <c r="A509" s="286"/>
      <c r="B509" s="286"/>
      <c r="C509" s="286"/>
      <c r="D509" s="286"/>
      <c r="E509" s="286"/>
      <c r="F509" s="287"/>
      <c r="G509" s="286"/>
      <c r="H509" s="287"/>
      <c r="I509" s="288"/>
      <c r="J509" s="289"/>
      <c r="K509" s="288"/>
      <c r="L509" s="289"/>
      <c r="M509" s="290"/>
      <c r="N509" s="290"/>
      <c r="O509" s="291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</row>
    <row r="510" ht="13.5" customHeight="1">
      <c r="A510" s="286"/>
      <c r="B510" s="286"/>
      <c r="C510" s="286"/>
      <c r="D510" s="286"/>
      <c r="E510" s="286"/>
      <c r="F510" s="287"/>
      <c r="G510" s="286"/>
      <c r="H510" s="287"/>
      <c r="I510" s="288"/>
      <c r="J510" s="289"/>
      <c r="K510" s="288"/>
      <c r="L510" s="289"/>
      <c r="M510" s="290"/>
      <c r="N510" s="290"/>
      <c r="O510" s="291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</row>
    <row r="511" ht="13.5" customHeight="1">
      <c r="A511" s="286"/>
      <c r="B511" s="286"/>
      <c r="C511" s="286"/>
      <c r="D511" s="286"/>
      <c r="E511" s="286"/>
      <c r="F511" s="287"/>
      <c r="G511" s="286"/>
      <c r="H511" s="287"/>
      <c r="I511" s="288"/>
      <c r="J511" s="289"/>
      <c r="K511" s="288"/>
      <c r="L511" s="289"/>
      <c r="M511" s="290"/>
      <c r="N511" s="290"/>
      <c r="O511" s="291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</row>
    <row r="512" ht="13.5" customHeight="1">
      <c r="A512" s="286"/>
      <c r="B512" s="286"/>
      <c r="C512" s="286"/>
      <c r="D512" s="286"/>
      <c r="E512" s="286"/>
      <c r="F512" s="287"/>
      <c r="G512" s="286"/>
      <c r="H512" s="287"/>
      <c r="I512" s="288"/>
      <c r="J512" s="289"/>
      <c r="K512" s="288"/>
      <c r="L512" s="289"/>
      <c r="M512" s="290"/>
      <c r="N512" s="290"/>
      <c r="O512" s="291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</row>
    <row r="513" ht="13.5" customHeight="1">
      <c r="A513" s="286"/>
      <c r="B513" s="286"/>
      <c r="C513" s="286"/>
      <c r="D513" s="286"/>
      <c r="E513" s="286"/>
      <c r="F513" s="287"/>
      <c r="G513" s="286"/>
      <c r="H513" s="287"/>
      <c r="I513" s="288"/>
      <c r="J513" s="289"/>
      <c r="K513" s="288"/>
      <c r="L513" s="289"/>
      <c r="M513" s="290"/>
      <c r="N513" s="290"/>
      <c r="O513" s="291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</row>
    <row r="514" ht="13.5" customHeight="1">
      <c r="A514" s="286"/>
      <c r="B514" s="286"/>
      <c r="C514" s="286"/>
      <c r="D514" s="286"/>
      <c r="E514" s="286"/>
      <c r="F514" s="287"/>
      <c r="G514" s="286"/>
      <c r="H514" s="287"/>
      <c r="I514" s="288"/>
      <c r="J514" s="289"/>
      <c r="K514" s="288"/>
      <c r="L514" s="289"/>
      <c r="M514" s="290"/>
      <c r="N514" s="290"/>
      <c r="O514" s="291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</row>
    <row r="515" ht="13.5" customHeight="1">
      <c r="A515" s="286"/>
      <c r="B515" s="286"/>
      <c r="C515" s="286"/>
      <c r="D515" s="286"/>
      <c r="E515" s="286"/>
      <c r="F515" s="287"/>
      <c r="G515" s="286"/>
      <c r="H515" s="287"/>
      <c r="I515" s="288"/>
      <c r="J515" s="289"/>
      <c r="K515" s="288"/>
      <c r="L515" s="289"/>
      <c r="M515" s="290"/>
      <c r="N515" s="290"/>
      <c r="O515" s="291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</row>
    <row r="516" ht="13.5" customHeight="1">
      <c r="A516" s="286"/>
      <c r="B516" s="286"/>
      <c r="C516" s="286"/>
      <c r="D516" s="286"/>
      <c r="E516" s="286"/>
      <c r="F516" s="287"/>
      <c r="G516" s="286"/>
      <c r="H516" s="287"/>
      <c r="I516" s="288"/>
      <c r="J516" s="289"/>
      <c r="K516" s="288"/>
      <c r="L516" s="289"/>
      <c r="M516" s="290"/>
      <c r="N516" s="290"/>
      <c r="O516" s="291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</row>
    <row r="517" ht="13.5" customHeight="1">
      <c r="A517" s="286"/>
      <c r="B517" s="286"/>
      <c r="C517" s="286"/>
      <c r="D517" s="286"/>
      <c r="E517" s="286"/>
      <c r="F517" s="287"/>
      <c r="G517" s="286"/>
      <c r="H517" s="287"/>
      <c r="I517" s="288"/>
      <c r="J517" s="289"/>
      <c r="K517" s="288"/>
      <c r="L517" s="289"/>
      <c r="M517" s="290"/>
      <c r="N517" s="290"/>
      <c r="O517" s="291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</row>
    <row r="518" ht="13.5" customHeight="1">
      <c r="A518" s="286"/>
      <c r="B518" s="286"/>
      <c r="C518" s="286"/>
      <c r="D518" s="286"/>
      <c r="E518" s="286"/>
      <c r="F518" s="287"/>
      <c r="G518" s="286"/>
      <c r="H518" s="287"/>
      <c r="I518" s="288"/>
      <c r="J518" s="289"/>
      <c r="K518" s="288"/>
      <c r="L518" s="289"/>
      <c r="M518" s="290"/>
      <c r="N518" s="290"/>
      <c r="O518" s="291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</row>
    <row r="519" ht="13.5" customHeight="1">
      <c r="A519" s="286"/>
      <c r="B519" s="286"/>
      <c r="C519" s="286"/>
      <c r="D519" s="286"/>
      <c r="E519" s="286"/>
      <c r="F519" s="287"/>
      <c r="G519" s="286"/>
      <c r="H519" s="287"/>
      <c r="I519" s="288"/>
      <c r="J519" s="289"/>
      <c r="K519" s="288"/>
      <c r="L519" s="289"/>
      <c r="M519" s="290"/>
      <c r="N519" s="290"/>
      <c r="O519" s="291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</row>
    <row r="520" ht="13.5" customHeight="1">
      <c r="A520" s="286"/>
      <c r="B520" s="286"/>
      <c r="C520" s="286"/>
      <c r="D520" s="286"/>
      <c r="E520" s="286"/>
      <c r="F520" s="287"/>
      <c r="G520" s="286"/>
      <c r="H520" s="287"/>
      <c r="I520" s="288"/>
      <c r="J520" s="289"/>
      <c r="K520" s="288"/>
      <c r="L520" s="289"/>
      <c r="M520" s="290"/>
      <c r="N520" s="290"/>
      <c r="O520" s="291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</row>
    <row r="521" ht="13.5" customHeight="1">
      <c r="A521" s="286"/>
      <c r="B521" s="286"/>
      <c r="C521" s="286"/>
      <c r="D521" s="286"/>
      <c r="E521" s="286"/>
      <c r="F521" s="287"/>
      <c r="G521" s="286"/>
      <c r="H521" s="287"/>
      <c r="I521" s="288"/>
      <c r="J521" s="289"/>
      <c r="K521" s="288"/>
      <c r="L521" s="289"/>
      <c r="M521" s="290"/>
      <c r="N521" s="290"/>
      <c r="O521" s="291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</row>
    <row r="522" ht="13.5" customHeight="1">
      <c r="A522" s="286"/>
      <c r="B522" s="286"/>
      <c r="C522" s="286"/>
      <c r="D522" s="286"/>
      <c r="E522" s="286"/>
      <c r="F522" s="287"/>
      <c r="G522" s="286"/>
      <c r="H522" s="287"/>
      <c r="I522" s="288"/>
      <c r="J522" s="289"/>
      <c r="K522" s="288"/>
      <c r="L522" s="289"/>
      <c r="M522" s="290"/>
      <c r="N522" s="290"/>
      <c r="O522" s="291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</row>
    <row r="523" ht="13.5" customHeight="1">
      <c r="A523" s="286"/>
      <c r="B523" s="286"/>
      <c r="C523" s="286"/>
      <c r="D523" s="286"/>
      <c r="E523" s="286"/>
      <c r="F523" s="287"/>
      <c r="G523" s="286"/>
      <c r="H523" s="287"/>
      <c r="I523" s="288"/>
      <c r="J523" s="289"/>
      <c r="K523" s="288"/>
      <c r="L523" s="289"/>
      <c r="M523" s="290"/>
      <c r="N523" s="290"/>
      <c r="O523" s="291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</row>
    <row r="524" ht="13.5" customHeight="1">
      <c r="A524" s="286"/>
      <c r="B524" s="286"/>
      <c r="C524" s="286"/>
      <c r="D524" s="286"/>
      <c r="E524" s="286"/>
      <c r="F524" s="287"/>
      <c r="G524" s="286"/>
      <c r="H524" s="287"/>
      <c r="I524" s="288"/>
      <c r="J524" s="289"/>
      <c r="K524" s="288"/>
      <c r="L524" s="289"/>
      <c r="M524" s="290"/>
      <c r="N524" s="290"/>
      <c r="O524" s="291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</row>
    <row r="525" ht="13.5" customHeight="1">
      <c r="A525" s="286"/>
      <c r="B525" s="286"/>
      <c r="C525" s="286"/>
      <c r="D525" s="286"/>
      <c r="E525" s="286"/>
      <c r="F525" s="287"/>
      <c r="G525" s="286"/>
      <c r="H525" s="287"/>
      <c r="I525" s="288"/>
      <c r="J525" s="289"/>
      <c r="K525" s="288"/>
      <c r="L525" s="289"/>
      <c r="M525" s="290"/>
      <c r="N525" s="290"/>
      <c r="O525" s="291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</row>
    <row r="526" ht="13.5" customHeight="1">
      <c r="A526" s="286"/>
      <c r="B526" s="286"/>
      <c r="C526" s="286"/>
      <c r="D526" s="286"/>
      <c r="E526" s="286"/>
      <c r="F526" s="287"/>
      <c r="G526" s="286"/>
      <c r="H526" s="287"/>
      <c r="I526" s="288"/>
      <c r="J526" s="289"/>
      <c r="K526" s="288"/>
      <c r="L526" s="289"/>
      <c r="M526" s="290"/>
      <c r="N526" s="290"/>
      <c r="O526" s="291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</row>
    <row r="527" ht="13.5" customHeight="1">
      <c r="A527" s="286"/>
      <c r="B527" s="286"/>
      <c r="C527" s="286"/>
      <c r="D527" s="286"/>
      <c r="E527" s="286"/>
      <c r="F527" s="287"/>
      <c r="G527" s="286"/>
      <c r="H527" s="287"/>
      <c r="I527" s="288"/>
      <c r="J527" s="289"/>
      <c r="K527" s="288"/>
      <c r="L527" s="289"/>
      <c r="M527" s="290"/>
      <c r="N527" s="290"/>
      <c r="O527" s="291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</row>
    <row r="528" ht="13.5" customHeight="1">
      <c r="A528" s="286"/>
      <c r="B528" s="286"/>
      <c r="C528" s="286"/>
      <c r="D528" s="286"/>
      <c r="E528" s="286"/>
      <c r="F528" s="287"/>
      <c r="G528" s="286"/>
      <c r="H528" s="287"/>
      <c r="I528" s="288"/>
      <c r="J528" s="289"/>
      <c r="K528" s="288"/>
      <c r="L528" s="289"/>
      <c r="M528" s="290"/>
      <c r="N528" s="290"/>
      <c r="O528" s="291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</row>
    <row r="529" ht="13.5" customHeight="1">
      <c r="A529" s="286"/>
      <c r="B529" s="286"/>
      <c r="C529" s="286"/>
      <c r="D529" s="286"/>
      <c r="E529" s="286"/>
      <c r="F529" s="287"/>
      <c r="G529" s="286"/>
      <c r="H529" s="287"/>
      <c r="I529" s="288"/>
      <c r="J529" s="289"/>
      <c r="K529" s="288"/>
      <c r="L529" s="289"/>
      <c r="M529" s="290"/>
      <c r="N529" s="290"/>
      <c r="O529" s="291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</row>
    <row r="530" ht="13.5" customHeight="1">
      <c r="A530" s="286"/>
      <c r="B530" s="286"/>
      <c r="C530" s="286"/>
      <c r="D530" s="286"/>
      <c r="E530" s="286"/>
      <c r="F530" s="287"/>
      <c r="G530" s="286"/>
      <c r="H530" s="287"/>
      <c r="I530" s="288"/>
      <c r="J530" s="289"/>
      <c r="K530" s="288"/>
      <c r="L530" s="289"/>
      <c r="M530" s="290"/>
      <c r="N530" s="290"/>
      <c r="O530" s="291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</row>
    <row r="531" ht="13.5" customHeight="1">
      <c r="A531" s="286"/>
      <c r="B531" s="286"/>
      <c r="C531" s="286"/>
      <c r="D531" s="286"/>
      <c r="E531" s="286"/>
      <c r="F531" s="287"/>
      <c r="G531" s="286"/>
      <c r="H531" s="287"/>
      <c r="I531" s="288"/>
      <c r="J531" s="289"/>
      <c r="K531" s="288"/>
      <c r="L531" s="289"/>
      <c r="M531" s="290"/>
      <c r="N531" s="290"/>
      <c r="O531" s="291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</row>
    <row r="532" ht="13.5" customHeight="1">
      <c r="A532" s="286"/>
      <c r="B532" s="286"/>
      <c r="C532" s="286"/>
      <c r="D532" s="286"/>
      <c r="E532" s="286"/>
      <c r="F532" s="287"/>
      <c r="G532" s="286"/>
      <c r="H532" s="287"/>
      <c r="I532" s="288"/>
      <c r="J532" s="289"/>
      <c r="K532" s="288"/>
      <c r="L532" s="289"/>
      <c r="M532" s="290"/>
      <c r="N532" s="290"/>
      <c r="O532" s="291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</row>
    <row r="533" ht="13.5" customHeight="1">
      <c r="A533" s="286"/>
      <c r="B533" s="286"/>
      <c r="C533" s="286"/>
      <c r="D533" s="286"/>
      <c r="E533" s="286"/>
      <c r="F533" s="287"/>
      <c r="G533" s="286"/>
      <c r="H533" s="287"/>
      <c r="I533" s="288"/>
      <c r="J533" s="289"/>
      <c r="K533" s="288"/>
      <c r="L533" s="289"/>
      <c r="M533" s="290"/>
      <c r="N533" s="290"/>
      <c r="O533" s="291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</row>
    <row r="534" ht="13.5" customHeight="1">
      <c r="A534" s="286"/>
      <c r="B534" s="286"/>
      <c r="C534" s="286"/>
      <c r="D534" s="286"/>
      <c r="E534" s="286"/>
      <c r="F534" s="287"/>
      <c r="G534" s="286"/>
      <c r="H534" s="287"/>
      <c r="I534" s="288"/>
      <c r="J534" s="289"/>
      <c r="K534" s="288"/>
      <c r="L534" s="289"/>
      <c r="M534" s="290"/>
      <c r="N534" s="290"/>
      <c r="O534" s="291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</row>
    <row r="535" ht="13.5" customHeight="1">
      <c r="A535" s="286"/>
      <c r="B535" s="286"/>
      <c r="C535" s="286"/>
      <c r="D535" s="286"/>
      <c r="E535" s="286"/>
      <c r="F535" s="287"/>
      <c r="G535" s="286"/>
      <c r="H535" s="287"/>
      <c r="I535" s="288"/>
      <c r="J535" s="289"/>
      <c r="K535" s="288"/>
      <c r="L535" s="289"/>
      <c r="M535" s="290"/>
      <c r="N535" s="290"/>
      <c r="O535" s="291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</row>
    <row r="536" ht="13.5" customHeight="1">
      <c r="A536" s="286"/>
      <c r="B536" s="286"/>
      <c r="C536" s="286"/>
      <c r="D536" s="286"/>
      <c r="E536" s="286"/>
      <c r="F536" s="287"/>
      <c r="G536" s="286"/>
      <c r="H536" s="287"/>
      <c r="I536" s="288"/>
      <c r="J536" s="289"/>
      <c r="K536" s="288"/>
      <c r="L536" s="289"/>
      <c r="M536" s="290"/>
      <c r="N536" s="290"/>
      <c r="O536" s="291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</row>
    <row r="537" ht="13.5" customHeight="1">
      <c r="A537" s="286"/>
      <c r="B537" s="286"/>
      <c r="C537" s="286"/>
      <c r="D537" s="286"/>
      <c r="E537" s="286"/>
      <c r="F537" s="287"/>
      <c r="G537" s="286"/>
      <c r="H537" s="287"/>
      <c r="I537" s="288"/>
      <c r="J537" s="289"/>
      <c r="K537" s="288"/>
      <c r="L537" s="289"/>
      <c r="M537" s="290"/>
      <c r="N537" s="290"/>
      <c r="O537" s="291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</row>
    <row r="538" ht="13.5" customHeight="1">
      <c r="A538" s="286"/>
      <c r="B538" s="286"/>
      <c r="C538" s="286"/>
      <c r="D538" s="286"/>
      <c r="E538" s="286"/>
      <c r="F538" s="287"/>
      <c r="G538" s="286"/>
      <c r="H538" s="287"/>
      <c r="I538" s="288"/>
      <c r="J538" s="289"/>
      <c r="K538" s="288"/>
      <c r="L538" s="289"/>
      <c r="M538" s="290"/>
      <c r="N538" s="290"/>
      <c r="O538" s="291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</row>
    <row r="539" ht="13.5" customHeight="1">
      <c r="A539" s="286"/>
      <c r="B539" s="286"/>
      <c r="C539" s="286"/>
      <c r="D539" s="286"/>
      <c r="E539" s="286"/>
      <c r="F539" s="287"/>
      <c r="G539" s="286"/>
      <c r="H539" s="287"/>
      <c r="I539" s="288"/>
      <c r="J539" s="289"/>
      <c r="K539" s="288"/>
      <c r="L539" s="289"/>
      <c r="M539" s="290"/>
      <c r="N539" s="290"/>
      <c r="O539" s="291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</row>
    <row r="540" ht="13.5" customHeight="1">
      <c r="A540" s="286"/>
      <c r="B540" s="286"/>
      <c r="C540" s="286"/>
      <c r="D540" s="286"/>
      <c r="E540" s="286"/>
      <c r="F540" s="287"/>
      <c r="G540" s="286"/>
      <c r="H540" s="287"/>
      <c r="I540" s="288"/>
      <c r="J540" s="289"/>
      <c r="K540" s="288"/>
      <c r="L540" s="289"/>
      <c r="M540" s="290"/>
      <c r="N540" s="290"/>
      <c r="O540" s="291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</row>
    <row r="541" ht="13.5" customHeight="1">
      <c r="A541" s="286"/>
      <c r="B541" s="286"/>
      <c r="C541" s="286"/>
      <c r="D541" s="286"/>
      <c r="E541" s="286"/>
      <c r="F541" s="287"/>
      <c r="G541" s="286"/>
      <c r="H541" s="287"/>
      <c r="I541" s="288"/>
      <c r="J541" s="289"/>
      <c r="K541" s="288"/>
      <c r="L541" s="289"/>
      <c r="M541" s="290"/>
      <c r="N541" s="290"/>
      <c r="O541" s="291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</row>
    <row r="542" ht="13.5" customHeight="1">
      <c r="A542" s="286"/>
      <c r="B542" s="286"/>
      <c r="C542" s="286"/>
      <c r="D542" s="286"/>
      <c r="E542" s="286"/>
      <c r="F542" s="287"/>
      <c r="G542" s="286"/>
      <c r="H542" s="287"/>
      <c r="I542" s="288"/>
      <c r="J542" s="289"/>
      <c r="K542" s="288"/>
      <c r="L542" s="289"/>
      <c r="M542" s="290"/>
      <c r="N542" s="290"/>
      <c r="O542" s="291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</row>
    <row r="543" ht="13.5" customHeight="1">
      <c r="A543" s="286"/>
      <c r="B543" s="286"/>
      <c r="C543" s="286"/>
      <c r="D543" s="286"/>
      <c r="E543" s="286"/>
      <c r="F543" s="287"/>
      <c r="G543" s="286"/>
      <c r="H543" s="287"/>
      <c r="I543" s="288"/>
      <c r="J543" s="289"/>
      <c r="K543" s="288"/>
      <c r="L543" s="289"/>
      <c r="M543" s="290"/>
      <c r="N543" s="290"/>
      <c r="O543" s="291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</row>
    <row r="544" ht="13.5" customHeight="1">
      <c r="A544" s="286"/>
      <c r="B544" s="286"/>
      <c r="C544" s="286"/>
      <c r="D544" s="286"/>
      <c r="E544" s="286"/>
      <c r="F544" s="287"/>
      <c r="G544" s="286"/>
      <c r="H544" s="287"/>
      <c r="I544" s="288"/>
      <c r="J544" s="289"/>
      <c r="K544" s="288"/>
      <c r="L544" s="289"/>
      <c r="M544" s="290"/>
      <c r="N544" s="290"/>
      <c r="O544" s="291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</row>
    <row r="545" ht="13.5" customHeight="1">
      <c r="A545" s="286"/>
      <c r="B545" s="286"/>
      <c r="C545" s="286"/>
      <c r="D545" s="286"/>
      <c r="E545" s="286"/>
      <c r="F545" s="287"/>
      <c r="G545" s="286"/>
      <c r="H545" s="287"/>
      <c r="I545" s="288"/>
      <c r="J545" s="289"/>
      <c r="K545" s="288"/>
      <c r="L545" s="289"/>
      <c r="M545" s="290"/>
      <c r="N545" s="290"/>
      <c r="O545" s="291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</row>
    <row r="546" ht="13.5" customHeight="1">
      <c r="A546" s="286"/>
      <c r="B546" s="286"/>
      <c r="C546" s="286"/>
      <c r="D546" s="286"/>
      <c r="E546" s="286"/>
      <c r="F546" s="287"/>
      <c r="G546" s="286"/>
      <c r="H546" s="287"/>
      <c r="I546" s="288"/>
      <c r="J546" s="289"/>
      <c r="K546" s="288"/>
      <c r="L546" s="289"/>
      <c r="M546" s="290"/>
      <c r="N546" s="290"/>
      <c r="O546" s="291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</row>
    <row r="547" ht="13.5" customHeight="1">
      <c r="A547" s="286"/>
      <c r="B547" s="286"/>
      <c r="C547" s="286"/>
      <c r="D547" s="286"/>
      <c r="E547" s="286"/>
      <c r="F547" s="287"/>
      <c r="G547" s="286"/>
      <c r="H547" s="287"/>
      <c r="I547" s="288"/>
      <c r="J547" s="289"/>
      <c r="K547" s="288"/>
      <c r="L547" s="289"/>
      <c r="M547" s="290"/>
      <c r="N547" s="290"/>
      <c r="O547" s="291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</row>
    <row r="548" ht="13.5" customHeight="1">
      <c r="A548" s="286"/>
      <c r="B548" s="286"/>
      <c r="C548" s="286"/>
      <c r="D548" s="286"/>
      <c r="E548" s="286"/>
      <c r="F548" s="287"/>
      <c r="G548" s="286"/>
      <c r="H548" s="287"/>
      <c r="I548" s="288"/>
      <c r="J548" s="289"/>
      <c r="K548" s="288"/>
      <c r="L548" s="289"/>
      <c r="M548" s="290"/>
      <c r="N548" s="290"/>
      <c r="O548" s="291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</row>
    <row r="549" ht="13.5" customHeight="1">
      <c r="A549" s="286"/>
      <c r="B549" s="286"/>
      <c r="C549" s="286"/>
      <c r="D549" s="286"/>
      <c r="E549" s="286"/>
      <c r="F549" s="287"/>
      <c r="G549" s="286"/>
      <c r="H549" s="287"/>
      <c r="I549" s="288"/>
      <c r="J549" s="289"/>
      <c r="K549" s="288"/>
      <c r="L549" s="289"/>
      <c r="M549" s="290"/>
      <c r="N549" s="290"/>
      <c r="O549" s="291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</row>
    <row r="550" ht="13.5" customHeight="1">
      <c r="A550" s="286"/>
      <c r="B550" s="286"/>
      <c r="C550" s="286"/>
      <c r="D550" s="286"/>
      <c r="E550" s="286"/>
      <c r="F550" s="287"/>
      <c r="G550" s="286"/>
      <c r="H550" s="287"/>
      <c r="I550" s="288"/>
      <c r="J550" s="289"/>
      <c r="K550" s="288"/>
      <c r="L550" s="289"/>
      <c r="M550" s="290"/>
      <c r="N550" s="290"/>
      <c r="O550" s="291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</row>
    <row r="551" ht="13.5" customHeight="1">
      <c r="A551" s="286"/>
      <c r="B551" s="286"/>
      <c r="C551" s="286"/>
      <c r="D551" s="286"/>
      <c r="E551" s="286"/>
      <c r="F551" s="287"/>
      <c r="G551" s="286"/>
      <c r="H551" s="287"/>
      <c r="I551" s="288"/>
      <c r="J551" s="289"/>
      <c r="K551" s="288"/>
      <c r="L551" s="289"/>
      <c r="M551" s="290"/>
      <c r="N551" s="290"/>
      <c r="O551" s="291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</row>
    <row r="552" ht="13.5" customHeight="1">
      <c r="A552" s="286"/>
      <c r="B552" s="286"/>
      <c r="C552" s="286"/>
      <c r="D552" s="286"/>
      <c r="E552" s="286"/>
      <c r="F552" s="287"/>
      <c r="G552" s="286"/>
      <c r="H552" s="287"/>
      <c r="I552" s="288"/>
      <c r="J552" s="289"/>
      <c r="K552" s="288"/>
      <c r="L552" s="289"/>
      <c r="M552" s="290"/>
      <c r="N552" s="290"/>
      <c r="O552" s="291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</row>
    <row r="553" ht="13.5" customHeight="1">
      <c r="A553" s="286"/>
      <c r="B553" s="286"/>
      <c r="C553" s="286"/>
      <c r="D553" s="286"/>
      <c r="E553" s="286"/>
      <c r="F553" s="287"/>
      <c r="G553" s="286"/>
      <c r="H553" s="287"/>
      <c r="I553" s="288"/>
      <c r="J553" s="289"/>
      <c r="K553" s="288"/>
      <c r="L553" s="289"/>
      <c r="M553" s="290"/>
      <c r="N553" s="290"/>
      <c r="O553" s="291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</row>
    <row r="554" ht="13.5" customHeight="1">
      <c r="A554" s="286"/>
      <c r="B554" s="286"/>
      <c r="C554" s="286"/>
      <c r="D554" s="286"/>
      <c r="E554" s="286"/>
      <c r="F554" s="287"/>
      <c r="G554" s="286"/>
      <c r="H554" s="287"/>
      <c r="I554" s="288"/>
      <c r="J554" s="289"/>
      <c r="K554" s="288"/>
      <c r="L554" s="289"/>
      <c r="M554" s="290"/>
      <c r="N554" s="290"/>
      <c r="O554" s="291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</row>
    <row r="555" ht="13.5" customHeight="1">
      <c r="A555" s="286"/>
      <c r="B555" s="286"/>
      <c r="C555" s="286"/>
      <c r="D555" s="286"/>
      <c r="E555" s="286"/>
      <c r="F555" s="287"/>
      <c r="G555" s="286"/>
      <c r="H555" s="287"/>
      <c r="I555" s="288"/>
      <c r="J555" s="289"/>
      <c r="K555" s="288"/>
      <c r="L555" s="289"/>
      <c r="M555" s="290"/>
      <c r="N555" s="290"/>
      <c r="O555" s="291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</row>
    <row r="556" ht="13.5" customHeight="1">
      <c r="A556" s="286"/>
      <c r="B556" s="286"/>
      <c r="C556" s="286"/>
      <c r="D556" s="286"/>
      <c r="E556" s="286"/>
      <c r="F556" s="287"/>
      <c r="G556" s="286"/>
      <c r="H556" s="287"/>
      <c r="I556" s="288"/>
      <c r="J556" s="289"/>
      <c r="K556" s="288"/>
      <c r="L556" s="289"/>
      <c r="M556" s="290"/>
      <c r="N556" s="290"/>
      <c r="O556" s="291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</row>
    <row r="557" ht="13.5" customHeight="1">
      <c r="A557" s="286"/>
      <c r="B557" s="286"/>
      <c r="C557" s="286"/>
      <c r="D557" s="286"/>
      <c r="E557" s="286"/>
      <c r="F557" s="287"/>
      <c r="G557" s="286"/>
      <c r="H557" s="287"/>
      <c r="I557" s="288"/>
      <c r="J557" s="289"/>
      <c r="K557" s="288"/>
      <c r="L557" s="289"/>
      <c r="M557" s="290"/>
      <c r="N557" s="290"/>
      <c r="O557" s="291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</row>
    <row r="558" ht="13.5" customHeight="1">
      <c r="A558" s="286"/>
      <c r="B558" s="286"/>
      <c r="C558" s="286"/>
      <c r="D558" s="286"/>
      <c r="E558" s="286"/>
      <c r="F558" s="287"/>
      <c r="G558" s="286"/>
      <c r="H558" s="287"/>
      <c r="I558" s="288"/>
      <c r="J558" s="289"/>
      <c r="K558" s="288"/>
      <c r="L558" s="289"/>
      <c r="M558" s="290"/>
      <c r="N558" s="290"/>
      <c r="O558" s="291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</row>
    <row r="559" ht="13.5" customHeight="1">
      <c r="A559" s="286"/>
      <c r="B559" s="286"/>
      <c r="C559" s="286"/>
      <c r="D559" s="286"/>
      <c r="E559" s="286"/>
      <c r="F559" s="287"/>
      <c r="G559" s="286"/>
      <c r="H559" s="287"/>
      <c r="I559" s="288"/>
      <c r="J559" s="289"/>
      <c r="K559" s="288"/>
      <c r="L559" s="289"/>
      <c r="M559" s="290"/>
      <c r="N559" s="290"/>
      <c r="O559" s="291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</row>
    <row r="560" ht="13.5" customHeight="1">
      <c r="A560" s="286"/>
      <c r="B560" s="286"/>
      <c r="C560" s="286"/>
      <c r="D560" s="286"/>
      <c r="E560" s="286"/>
      <c r="F560" s="287"/>
      <c r="G560" s="286"/>
      <c r="H560" s="287"/>
      <c r="I560" s="288"/>
      <c r="J560" s="289"/>
      <c r="K560" s="288"/>
      <c r="L560" s="289"/>
      <c r="M560" s="290"/>
      <c r="N560" s="290"/>
      <c r="O560" s="291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</row>
    <row r="561" ht="13.5" customHeight="1">
      <c r="A561" s="286"/>
      <c r="B561" s="286"/>
      <c r="C561" s="286"/>
      <c r="D561" s="286"/>
      <c r="E561" s="286"/>
      <c r="F561" s="287"/>
      <c r="G561" s="286"/>
      <c r="H561" s="287"/>
      <c r="I561" s="288"/>
      <c r="J561" s="289"/>
      <c r="K561" s="288"/>
      <c r="L561" s="289"/>
      <c r="M561" s="290"/>
      <c r="N561" s="290"/>
      <c r="O561" s="291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</row>
    <row r="562" ht="13.5" customHeight="1">
      <c r="A562" s="286"/>
      <c r="B562" s="286"/>
      <c r="C562" s="286"/>
      <c r="D562" s="286"/>
      <c r="E562" s="286"/>
      <c r="F562" s="287"/>
      <c r="G562" s="286"/>
      <c r="H562" s="287"/>
      <c r="I562" s="288"/>
      <c r="J562" s="289"/>
      <c r="K562" s="288"/>
      <c r="L562" s="289"/>
      <c r="M562" s="290"/>
      <c r="N562" s="290"/>
      <c r="O562" s="291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</row>
    <row r="563" ht="13.5" customHeight="1">
      <c r="A563" s="286"/>
      <c r="B563" s="286"/>
      <c r="C563" s="286"/>
      <c r="D563" s="286"/>
      <c r="E563" s="286"/>
      <c r="F563" s="287"/>
      <c r="G563" s="286"/>
      <c r="H563" s="287"/>
      <c r="I563" s="288"/>
      <c r="J563" s="289"/>
      <c r="K563" s="288"/>
      <c r="L563" s="289"/>
      <c r="M563" s="290"/>
      <c r="N563" s="290"/>
      <c r="O563" s="291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</row>
    <row r="564" ht="13.5" customHeight="1">
      <c r="A564" s="286"/>
      <c r="B564" s="286"/>
      <c r="C564" s="286"/>
      <c r="D564" s="286"/>
      <c r="E564" s="286"/>
      <c r="F564" s="287"/>
      <c r="G564" s="286"/>
      <c r="H564" s="287"/>
      <c r="I564" s="288"/>
      <c r="J564" s="289"/>
      <c r="K564" s="288"/>
      <c r="L564" s="289"/>
      <c r="M564" s="290"/>
      <c r="N564" s="290"/>
      <c r="O564" s="291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</row>
    <row r="565" ht="13.5" customHeight="1">
      <c r="A565" s="286"/>
      <c r="B565" s="286"/>
      <c r="C565" s="286"/>
      <c r="D565" s="286"/>
      <c r="E565" s="286"/>
      <c r="F565" s="287"/>
      <c r="G565" s="286"/>
      <c r="H565" s="287"/>
      <c r="I565" s="288"/>
      <c r="J565" s="289"/>
      <c r="K565" s="288"/>
      <c r="L565" s="289"/>
      <c r="M565" s="290"/>
      <c r="N565" s="290"/>
      <c r="O565" s="291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</row>
    <row r="566" ht="13.5" customHeight="1">
      <c r="A566" s="286"/>
      <c r="B566" s="286"/>
      <c r="C566" s="286"/>
      <c r="D566" s="286"/>
      <c r="E566" s="286"/>
      <c r="F566" s="287"/>
      <c r="G566" s="286"/>
      <c r="H566" s="287"/>
      <c r="I566" s="288"/>
      <c r="J566" s="289"/>
      <c r="K566" s="288"/>
      <c r="L566" s="289"/>
      <c r="M566" s="290"/>
      <c r="N566" s="290"/>
      <c r="O566" s="291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</row>
    <row r="567" ht="13.5" customHeight="1">
      <c r="A567" s="286"/>
      <c r="B567" s="286"/>
      <c r="C567" s="286"/>
      <c r="D567" s="286"/>
      <c r="E567" s="286"/>
      <c r="F567" s="287"/>
      <c r="G567" s="286"/>
      <c r="H567" s="287"/>
      <c r="I567" s="288"/>
      <c r="J567" s="289"/>
      <c r="K567" s="288"/>
      <c r="L567" s="289"/>
      <c r="M567" s="290"/>
      <c r="N567" s="290"/>
      <c r="O567" s="291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</row>
    <row r="568" ht="13.5" customHeight="1">
      <c r="A568" s="286"/>
      <c r="B568" s="286"/>
      <c r="C568" s="286"/>
      <c r="D568" s="286"/>
      <c r="E568" s="286"/>
      <c r="F568" s="287"/>
      <c r="G568" s="286"/>
      <c r="H568" s="287"/>
      <c r="I568" s="288"/>
      <c r="J568" s="289"/>
      <c r="K568" s="288"/>
      <c r="L568" s="289"/>
      <c r="M568" s="290"/>
      <c r="N568" s="290"/>
      <c r="O568" s="291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</row>
    <row r="569" ht="13.5" customHeight="1">
      <c r="A569" s="286"/>
      <c r="B569" s="286"/>
      <c r="C569" s="286"/>
      <c r="D569" s="286"/>
      <c r="E569" s="286"/>
      <c r="F569" s="287"/>
      <c r="G569" s="286"/>
      <c r="H569" s="287"/>
      <c r="I569" s="288"/>
      <c r="J569" s="289"/>
      <c r="K569" s="288"/>
      <c r="L569" s="289"/>
      <c r="M569" s="290"/>
      <c r="N569" s="290"/>
      <c r="O569" s="291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</row>
    <row r="570" ht="13.5" customHeight="1">
      <c r="A570" s="286"/>
      <c r="B570" s="286"/>
      <c r="C570" s="286"/>
      <c r="D570" s="286"/>
      <c r="E570" s="286"/>
      <c r="F570" s="287"/>
      <c r="G570" s="286"/>
      <c r="H570" s="287"/>
      <c r="I570" s="288"/>
      <c r="J570" s="289"/>
      <c r="K570" s="288"/>
      <c r="L570" s="289"/>
      <c r="M570" s="290"/>
      <c r="N570" s="290"/>
      <c r="O570" s="291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</row>
    <row r="571" ht="13.5" customHeight="1">
      <c r="A571" s="286"/>
      <c r="B571" s="286"/>
      <c r="C571" s="286"/>
      <c r="D571" s="286"/>
      <c r="E571" s="286"/>
      <c r="F571" s="287"/>
      <c r="G571" s="286"/>
      <c r="H571" s="287"/>
      <c r="I571" s="288"/>
      <c r="J571" s="289"/>
      <c r="K571" s="288"/>
      <c r="L571" s="289"/>
      <c r="M571" s="290"/>
      <c r="N571" s="290"/>
      <c r="O571" s="291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</row>
    <row r="572" ht="13.5" customHeight="1">
      <c r="A572" s="286"/>
      <c r="B572" s="286"/>
      <c r="C572" s="286"/>
      <c r="D572" s="286"/>
      <c r="E572" s="286"/>
      <c r="F572" s="287"/>
      <c r="G572" s="286"/>
      <c r="H572" s="287"/>
      <c r="I572" s="288"/>
      <c r="J572" s="289"/>
      <c r="K572" s="288"/>
      <c r="L572" s="289"/>
      <c r="M572" s="290"/>
      <c r="N572" s="290"/>
      <c r="O572" s="291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</row>
    <row r="573" ht="13.5" customHeight="1">
      <c r="A573" s="286"/>
      <c r="B573" s="286"/>
      <c r="C573" s="286"/>
      <c r="D573" s="286"/>
      <c r="E573" s="286"/>
      <c r="F573" s="287"/>
      <c r="G573" s="286"/>
      <c r="H573" s="287"/>
      <c r="I573" s="288"/>
      <c r="J573" s="289"/>
      <c r="K573" s="288"/>
      <c r="L573" s="289"/>
      <c r="M573" s="290"/>
      <c r="N573" s="290"/>
      <c r="O573" s="291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</row>
    <row r="574" ht="13.5" customHeight="1">
      <c r="A574" s="286"/>
      <c r="B574" s="286"/>
      <c r="C574" s="286"/>
      <c r="D574" s="286"/>
      <c r="E574" s="286"/>
      <c r="F574" s="287"/>
      <c r="G574" s="286"/>
      <c r="H574" s="287"/>
      <c r="I574" s="288"/>
      <c r="J574" s="289"/>
      <c r="K574" s="288"/>
      <c r="L574" s="289"/>
      <c r="M574" s="290"/>
      <c r="N574" s="290"/>
      <c r="O574" s="291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</row>
    <row r="575" ht="13.5" customHeight="1">
      <c r="A575" s="286"/>
      <c r="B575" s="286"/>
      <c r="C575" s="286"/>
      <c r="D575" s="286"/>
      <c r="E575" s="286"/>
      <c r="F575" s="287"/>
      <c r="G575" s="286"/>
      <c r="H575" s="287"/>
      <c r="I575" s="288"/>
      <c r="J575" s="289"/>
      <c r="K575" s="288"/>
      <c r="L575" s="289"/>
      <c r="M575" s="290"/>
      <c r="N575" s="290"/>
      <c r="O575" s="291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</row>
    <row r="576" ht="13.5" customHeight="1">
      <c r="A576" s="286"/>
      <c r="B576" s="286"/>
      <c r="C576" s="286"/>
      <c r="D576" s="286"/>
      <c r="E576" s="286"/>
      <c r="F576" s="287"/>
      <c r="G576" s="286"/>
      <c r="H576" s="287"/>
      <c r="I576" s="288"/>
      <c r="J576" s="289"/>
      <c r="K576" s="288"/>
      <c r="L576" s="289"/>
      <c r="M576" s="290"/>
      <c r="N576" s="290"/>
      <c r="O576" s="291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</row>
    <row r="577" ht="13.5" customHeight="1">
      <c r="A577" s="286"/>
      <c r="B577" s="286"/>
      <c r="C577" s="286"/>
      <c r="D577" s="286"/>
      <c r="E577" s="286"/>
      <c r="F577" s="287"/>
      <c r="G577" s="286"/>
      <c r="H577" s="287"/>
      <c r="I577" s="288"/>
      <c r="J577" s="289"/>
      <c r="K577" s="288"/>
      <c r="L577" s="289"/>
      <c r="M577" s="290"/>
      <c r="N577" s="290"/>
      <c r="O577" s="291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</row>
    <row r="578" ht="13.5" customHeight="1">
      <c r="A578" s="286"/>
      <c r="B578" s="286"/>
      <c r="C578" s="286"/>
      <c r="D578" s="286"/>
      <c r="E578" s="286"/>
      <c r="F578" s="287"/>
      <c r="G578" s="286"/>
      <c r="H578" s="287"/>
      <c r="I578" s="288"/>
      <c r="J578" s="289"/>
      <c r="K578" s="288"/>
      <c r="L578" s="289"/>
      <c r="M578" s="290"/>
      <c r="N578" s="290"/>
      <c r="O578" s="291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</row>
    <row r="579" ht="13.5" customHeight="1">
      <c r="A579" s="286"/>
      <c r="B579" s="286"/>
      <c r="C579" s="286"/>
      <c r="D579" s="286"/>
      <c r="E579" s="286"/>
      <c r="F579" s="287"/>
      <c r="G579" s="286"/>
      <c r="H579" s="287"/>
      <c r="I579" s="288"/>
      <c r="J579" s="289"/>
      <c r="K579" s="288"/>
      <c r="L579" s="289"/>
      <c r="M579" s="290"/>
      <c r="N579" s="290"/>
      <c r="O579" s="291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</row>
    <row r="580" ht="13.5" customHeight="1">
      <c r="A580" s="286"/>
      <c r="B580" s="286"/>
      <c r="C580" s="286"/>
      <c r="D580" s="286"/>
      <c r="E580" s="286"/>
      <c r="F580" s="287"/>
      <c r="G580" s="286"/>
      <c r="H580" s="287"/>
      <c r="I580" s="288"/>
      <c r="J580" s="289"/>
      <c r="K580" s="288"/>
      <c r="L580" s="289"/>
      <c r="M580" s="290"/>
      <c r="N580" s="290"/>
      <c r="O580" s="291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</row>
    <row r="581" ht="13.5" customHeight="1">
      <c r="A581" s="286"/>
      <c r="B581" s="286"/>
      <c r="C581" s="286"/>
      <c r="D581" s="286"/>
      <c r="E581" s="286"/>
      <c r="F581" s="287"/>
      <c r="G581" s="286"/>
      <c r="H581" s="287"/>
      <c r="I581" s="288"/>
      <c r="J581" s="289"/>
      <c r="K581" s="288"/>
      <c r="L581" s="289"/>
      <c r="M581" s="290"/>
      <c r="N581" s="290"/>
      <c r="O581" s="291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</row>
    <row r="582" ht="13.5" customHeight="1">
      <c r="A582" s="286"/>
      <c r="B582" s="286"/>
      <c r="C582" s="286"/>
      <c r="D582" s="286"/>
      <c r="E582" s="286"/>
      <c r="F582" s="287"/>
      <c r="G582" s="286"/>
      <c r="H582" s="287"/>
      <c r="I582" s="288"/>
      <c r="J582" s="289"/>
      <c r="K582" s="288"/>
      <c r="L582" s="289"/>
      <c r="M582" s="290"/>
      <c r="N582" s="290"/>
      <c r="O582" s="291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</row>
    <row r="583" ht="13.5" customHeight="1">
      <c r="A583" s="286"/>
      <c r="B583" s="286"/>
      <c r="C583" s="286"/>
      <c r="D583" s="286"/>
      <c r="E583" s="286"/>
      <c r="F583" s="287"/>
      <c r="G583" s="286"/>
      <c r="H583" s="287"/>
      <c r="I583" s="288"/>
      <c r="J583" s="289"/>
      <c r="K583" s="288"/>
      <c r="L583" s="289"/>
      <c r="M583" s="290"/>
      <c r="N583" s="290"/>
      <c r="O583" s="291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</row>
    <row r="584" ht="13.5" customHeight="1">
      <c r="A584" s="286"/>
      <c r="B584" s="286"/>
      <c r="C584" s="286"/>
      <c r="D584" s="286"/>
      <c r="E584" s="286"/>
      <c r="F584" s="287"/>
      <c r="G584" s="286"/>
      <c r="H584" s="287"/>
      <c r="I584" s="288"/>
      <c r="J584" s="289"/>
      <c r="K584" s="288"/>
      <c r="L584" s="289"/>
      <c r="M584" s="290"/>
      <c r="N584" s="290"/>
      <c r="O584" s="291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</row>
    <row r="585" ht="13.5" customHeight="1">
      <c r="A585" s="286"/>
      <c r="B585" s="286"/>
      <c r="C585" s="286"/>
      <c r="D585" s="286"/>
      <c r="E585" s="286"/>
      <c r="F585" s="287"/>
      <c r="G585" s="286"/>
      <c r="H585" s="287"/>
      <c r="I585" s="288"/>
      <c r="J585" s="289"/>
      <c r="K585" s="288"/>
      <c r="L585" s="289"/>
      <c r="M585" s="290"/>
      <c r="N585" s="290"/>
      <c r="O585" s="291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</row>
    <row r="586" ht="13.5" customHeight="1">
      <c r="A586" s="286"/>
      <c r="B586" s="286"/>
      <c r="C586" s="286"/>
      <c r="D586" s="286"/>
      <c r="E586" s="286"/>
      <c r="F586" s="287"/>
      <c r="G586" s="286"/>
      <c r="H586" s="287"/>
      <c r="I586" s="288"/>
      <c r="J586" s="289"/>
      <c r="K586" s="288"/>
      <c r="L586" s="289"/>
      <c r="M586" s="290"/>
      <c r="N586" s="290"/>
      <c r="O586" s="291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</row>
    <row r="587" ht="13.5" customHeight="1">
      <c r="A587" s="286"/>
      <c r="B587" s="286"/>
      <c r="C587" s="286"/>
      <c r="D587" s="286"/>
      <c r="E587" s="286"/>
      <c r="F587" s="287"/>
      <c r="G587" s="286"/>
      <c r="H587" s="287"/>
      <c r="I587" s="288"/>
      <c r="J587" s="289"/>
      <c r="K587" s="288"/>
      <c r="L587" s="289"/>
      <c r="M587" s="290"/>
      <c r="N587" s="290"/>
      <c r="O587" s="291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</row>
    <row r="588" ht="13.5" customHeight="1">
      <c r="A588" s="286"/>
      <c r="B588" s="286"/>
      <c r="C588" s="286"/>
      <c r="D588" s="286"/>
      <c r="E588" s="286"/>
      <c r="F588" s="287"/>
      <c r="G588" s="286"/>
      <c r="H588" s="287"/>
      <c r="I588" s="288"/>
      <c r="J588" s="289"/>
      <c r="K588" s="288"/>
      <c r="L588" s="289"/>
      <c r="M588" s="290"/>
      <c r="N588" s="290"/>
      <c r="O588" s="291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</row>
    <row r="589" ht="13.5" customHeight="1">
      <c r="A589" s="286"/>
      <c r="B589" s="286"/>
      <c r="C589" s="286"/>
      <c r="D589" s="286"/>
      <c r="E589" s="286"/>
      <c r="F589" s="287"/>
      <c r="G589" s="286"/>
      <c r="H589" s="287"/>
      <c r="I589" s="288"/>
      <c r="J589" s="289"/>
      <c r="K589" s="288"/>
      <c r="L589" s="289"/>
      <c r="M589" s="290"/>
      <c r="N589" s="290"/>
      <c r="O589" s="291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</row>
    <row r="590" ht="13.5" customHeight="1">
      <c r="A590" s="286"/>
      <c r="B590" s="286"/>
      <c r="C590" s="286"/>
      <c r="D590" s="286"/>
      <c r="E590" s="286"/>
      <c r="F590" s="287"/>
      <c r="G590" s="286"/>
      <c r="H590" s="287"/>
      <c r="I590" s="288"/>
      <c r="J590" s="289"/>
      <c r="K590" s="288"/>
      <c r="L590" s="289"/>
      <c r="M590" s="290"/>
      <c r="N590" s="290"/>
      <c r="O590" s="291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</row>
    <row r="591" ht="13.5" customHeight="1">
      <c r="A591" s="286"/>
      <c r="B591" s="286"/>
      <c r="C591" s="286"/>
      <c r="D591" s="286"/>
      <c r="E591" s="286"/>
      <c r="F591" s="287"/>
      <c r="G591" s="286"/>
      <c r="H591" s="287"/>
      <c r="I591" s="288"/>
      <c r="J591" s="289"/>
      <c r="K591" s="288"/>
      <c r="L591" s="289"/>
      <c r="M591" s="290"/>
      <c r="N591" s="290"/>
      <c r="O591" s="291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</row>
    <row r="592" ht="13.5" customHeight="1">
      <c r="A592" s="286"/>
      <c r="B592" s="286"/>
      <c r="C592" s="286"/>
      <c r="D592" s="286"/>
      <c r="E592" s="286"/>
      <c r="F592" s="287"/>
      <c r="G592" s="286"/>
      <c r="H592" s="287"/>
      <c r="I592" s="288"/>
      <c r="J592" s="289"/>
      <c r="K592" s="288"/>
      <c r="L592" s="289"/>
      <c r="M592" s="290"/>
      <c r="N592" s="290"/>
      <c r="O592" s="291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</row>
    <row r="593" ht="13.5" customHeight="1">
      <c r="A593" s="286"/>
      <c r="B593" s="286"/>
      <c r="C593" s="286"/>
      <c r="D593" s="286"/>
      <c r="E593" s="286"/>
      <c r="F593" s="287"/>
      <c r="G593" s="286"/>
      <c r="H593" s="287"/>
      <c r="I593" s="288"/>
      <c r="J593" s="289"/>
      <c r="K593" s="288"/>
      <c r="L593" s="289"/>
      <c r="M593" s="290"/>
      <c r="N593" s="290"/>
      <c r="O593" s="291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</row>
    <row r="594" ht="13.5" customHeight="1">
      <c r="A594" s="286"/>
      <c r="B594" s="286"/>
      <c r="C594" s="286"/>
      <c r="D594" s="286"/>
      <c r="E594" s="286"/>
      <c r="F594" s="287"/>
      <c r="G594" s="286"/>
      <c r="H594" s="287"/>
      <c r="I594" s="288"/>
      <c r="J594" s="289"/>
      <c r="K594" s="288"/>
      <c r="L594" s="289"/>
      <c r="M594" s="290"/>
      <c r="N594" s="290"/>
      <c r="O594" s="291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</row>
    <row r="595" ht="13.5" customHeight="1">
      <c r="A595" s="286"/>
      <c r="B595" s="286"/>
      <c r="C595" s="286"/>
      <c r="D595" s="286"/>
      <c r="E595" s="286"/>
      <c r="F595" s="287"/>
      <c r="G595" s="286"/>
      <c r="H595" s="287"/>
      <c r="I595" s="288"/>
      <c r="J595" s="289"/>
      <c r="K595" s="288"/>
      <c r="L595" s="289"/>
      <c r="M595" s="290"/>
      <c r="N595" s="290"/>
      <c r="O595" s="291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</row>
    <row r="596" ht="13.5" customHeight="1">
      <c r="A596" s="286"/>
      <c r="B596" s="286"/>
      <c r="C596" s="286"/>
      <c r="D596" s="286"/>
      <c r="E596" s="286"/>
      <c r="F596" s="287"/>
      <c r="G596" s="286"/>
      <c r="H596" s="287"/>
      <c r="I596" s="288"/>
      <c r="J596" s="289"/>
      <c r="K596" s="288"/>
      <c r="L596" s="289"/>
      <c r="M596" s="290"/>
      <c r="N596" s="290"/>
      <c r="O596" s="291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</row>
    <row r="597" ht="13.5" customHeight="1">
      <c r="A597" s="286"/>
      <c r="B597" s="286"/>
      <c r="C597" s="286"/>
      <c r="D597" s="286"/>
      <c r="E597" s="286"/>
      <c r="F597" s="287"/>
      <c r="G597" s="286"/>
      <c r="H597" s="287"/>
      <c r="I597" s="288"/>
      <c r="J597" s="289"/>
      <c r="K597" s="288"/>
      <c r="L597" s="289"/>
      <c r="M597" s="290"/>
      <c r="N597" s="290"/>
      <c r="O597" s="291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</row>
    <row r="598" ht="13.5" customHeight="1">
      <c r="A598" s="286"/>
      <c r="B598" s="286"/>
      <c r="C598" s="286"/>
      <c r="D598" s="286"/>
      <c r="E598" s="286"/>
      <c r="F598" s="287"/>
      <c r="G598" s="286"/>
      <c r="H598" s="287"/>
      <c r="I598" s="288"/>
      <c r="J598" s="289"/>
      <c r="K598" s="288"/>
      <c r="L598" s="289"/>
      <c r="M598" s="290"/>
      <c r="N598" s="290"/>
      <c r="O598" s="291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</row>
    <row r="599" ht="13.5" customHeight="1">
      <c r="A599" s="286"/>
      <c r="B599" s="286"/>
      <c r="C599" s="286"/>
      <c r="D599" s="286"/>
      <c r="E599" s="286"/>
      <c r="F599" s="287"/>
      <c r="G599" s="286"/>
      <c r="H599" s="287"/>
      <c r="I599" s="288"/>
      <c r="J599" s="289"/>
      <c r="K599" s="288"/>
      <c r="L599" s="289"/>
      <c r="M599" s="290"/>
      <c r="N599" s="290"/>
      <c r="O599" s="291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</row>
    <row r="600" ht="13.5" customHeight="1">
      <c r="A600" s="286"/>
      <c r="B600" s="286"/>
      <c r="C600" s="286"/>
      <c r="D600" s="286"/>
      <c r="E600" s="286"/>
      <c r="F600" s="287"/>
      <c r="G600" s="286"/>
      <c r="H600" s="287"/>
      <c r="I600" s="288"/>
      <c r="J600" s="289"/>
      <c r="K600" s="288"/>
      <c r="L600" s="289"/>
      <c r="M600" s="290"/>
      <c r="N600" s="290"/>
      <c r="O600" s="291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</row>
    <row r="601" ht="13.5" customHeight="1">
      <c r="A601" s="286"/>
      <c r="B601" s="286"/>
      <c r="C601" s="286"/>
      <c r="D601" s="286"/>
      <c r="E601" s="286"/>
      <c r="F601" s="287"/>
      <c r="G601" s="286"/>
      <c r="H601" s="287"/>
      <c r="I601" s="288"/>
      <c r="J601" s="289"/>
      <c r="K601" s="288"/>
      <c r="L601" s="289"/>
      <c r="M601" s="290"/>
      <c r="N601" s="290"/>
      <c r="O601" s="291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</row>
    <row r="602" ht="13.5" customHeight="1">
      <c r="A602" s="286"/>
      <c r="B602" s="286"/>
      <c r="C602" s="286"/>
      <c r="D602" s="286"/>
      <c r="E602" s="286"/>
      <c r="F602" s="287"/>
      <c r="G602" s="286"/>
      <c r="H602" s="287"/>
      <c r="I602" s="288"/>
      <c r="J602" s="289"/>
      <c r="K602" s="288"/>
      <c r="L602" s="289"/>
      <c r="M602" s="290"/>
      <c r="N602" s="290"/>
      <c r="O602" s="291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</row>
    <row r="603" ht="13.5" customHeight="1">
      <c r="A603" s="286"/>
      <c r="B603" s="286"/>
      <c r="C603" s="286"/>
      <c r="D603" s="286"/>
      <c r="E603" s="286"/>
      <c r="F603" s="287"/>
      <c r="G603" s="286"/>
      <c r="H603" s="287"/>
      <c r="I603" s="288"/>
      <c r="J603" s="289"/>
      <c r="K603" s="288"/>
      <c r="L603" s="289"/>
      <c r="M603" s="290"/>
      <c r="N603" s="290"/>
      <c r="O603" s="291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</row>
    <row r="604" ht="13.5" customHeight="1">
      <c r="A604" s="286"/>
      <c r="B604" s="286"/>
      <c r="C604" s="286"/>
      <c r="D604" s="286"/>
      <c r="E604" s="286"/>
      <c r="F604" s="287"/>
      <c r="G604" s="286"/>
      <c r="H604" s="287"/>
      <c r="I604" s="288"/>
      <c r="J604" s="289"/>
      <c r="K604" s="288"/>
      <c r="L604" s="289"/>
      <c r="M604" s="290"/>
      <c r="N604" s="290"/>
      <c r="O604" s="291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</row>
    <row r="605" ht="13.5" customHeight="1">
      <c r="A605" s="286"/>
      <c r="B605" s="286"/>
      <c r="C605" s="286"/>
      <c r="D605" s="286"/>
      <c r="E605" s="286"/>
      <c r="F605" s="287"/>
      <c r="G605" s="286"/>
      <c r="H605" s="287"/>
      <c r="I605" s="288"/>
      <c r="J605" s="289"/>
      <c r="K605" s="288"/>
      <c r="L605" s="289"/>
      <c r="M605" s="290"/>
      <c r="N605" s="290"/>
      <c r="O605" s="291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</row>
    <row r="606" ht="13.5" customHeight="1">
      <c r="A606" s="286"/>
      <c r="B606" s="286"/>
      <c r="C606" s="286"/>
      <c r="D606" s="286"/>
      <c r="E606" s="286"/>
      <c r="F606" s="287"/>
      <c r="G606" s="286"/>
      <c r="H606" s="287"/>
      <c r="I606" s="288"/>
      <c r="J606" s="289"/>
      <c r="K606" s="288"/>
      <c r="L606" s="289"/>
      <c r="M606" s="290"/>
      <c r="N606" s="290"/>
      <c r="O606" s="291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</row>
    <row r="607" ht="13.5" customHeight="1">
      <c r="A607" s="286"/>
      <c r="B607" s="286"/>
      <c r="C607" s="286"/>
      <c r="D607" s="286"/>
      <c r="E607" s="286"/>
      <c r="F607" s="287"/>
      <c r="G607" s="286"/>
      <c r="H607" s="287"/>
      <c r="I607" s="288"/>
      <c r="J607" s="289"/>
      <c r="K607" s="288"/>
      <c r="L607" s="289"/>
      <c r="M607" s="290"/>
      <c r="N607" s="290"/>
      <c r="O607" s="291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</row>
    <row r="608" ht="13.5" customHeight="1">
      <c r="A608" s="286"/>
      <c r="B608" s="286"/>
      <c r="C608" s="286"/>
      <c r="D608" s="286"/>
      <c r="E608" s="286"/>
      <c r="F608" s="287"/>
      <c r="G608" s="286"/>
      <c r="H608" s="287"/>
      <c r="I608" s="288"/>
      <c r="J608" s="289"/>
      <c r="K608" s="288"/>
      <c r="L608" s="289"/>
      <c r="M608" s="290"/>
      <c r="N608" s="290"/>
      <c r="O608" s="291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</row>
    <row r="609" ht="13.5" customHeight="1">
      <c r="A609" s="286"/>
      <c r="B609" s="286"/>
      <c r="C609" s="286"/>
      <c r="D609" s="286"/>
      <c r="E609" s="286"/>
      <c r="F609" s="287"/>
      <c r="G609" s="286"/>
      <c r="H609" s="287"/>
      <c r="I609" s="288"/>
      <c r="J609" s="289"/>
      <c r="K609" s="288"/>
      <c r="L609" s="289"/>
      <c r="M609" s="290"/>
      <c r="N609" s="290"/>
      <c r="O609" s="291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</row>
    <row r="610" ht="13.5" customHeight="1">
      <c r="A610" s="286"/>
      <c r="B610" s="286"/>
      <c r="C610" s="286"/>
      <c r="D610" s="286"/>
      <c r="E610" s="286"/>
      <c r="F610" s="287"/>
      <c r="G610" s="286"/>
      <c r="H610" s="287"/>
      <c r="I610" s="288"/>
      <c r="J610" s="289"/>
      <c r="K610" s="288"/>
      <c r="L610" s="289"/>
      <c r="M610" s="290"/>
      <c r="N610" s="290"/>
      <c r="O610" s="291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</row>
    <row r="611" ht="13.5" customHeight="1">
      <c r="A611" s="286"/>
      <c r="B611" s="286"/>
      <c r="C611" s="286"/>
      <c r="D611" s="286"/>
      <c r="E611" s="286"/>
      <c r="F611" s="287"/>
      <c r="G611" s="286"/>
      <c r="H611" s="287"/>
      <c r="I611" s="288"/>
      <c r="J611" s="289"/>
      <c r="K611" s="288"/>
      <c r="L611" s="289"/>
      <c r="M611" s="290"/>
      <c r="N611" s="290"/>
      <c r="O611" s="291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</row>
    <row r="612" ht="13.5" customHeight="1">
      <c r="A612" s="286"/>
      <c r="B612" s="286"/>
      <c r="C612" s="286"/>
      <c r="D612" s="286"/>
      <c r="E612" s="286"/>
      <c r="F612" s="287"/>
      <c r="G612" s="286"/>
      <c r="H612" s="287"/>
      <c r="I612" s="288"/>
      <c r="J612" s="289"/>
      <c r="K612" s="288"/>
      <c r="L612" s="289"/>
      <c r="M612" s="290"/>
      <c r="N612" s="290"/>
      <c r="O612" s="291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</row>
    <row r="613" ht="13.5" customHeight="1">
      <c r="A613" s="286"/>
      <c r="B613" s="286"/>
      <c r="C613" s="286"/>
      <c r="D613" s="286"/>
      <c r="E613" s="286"/>
      <c r="F613" s="287"/>
      <c r="G613" s="286"/>
      <c r="H613" s="287"/>
      <c r="I613" s="288"/>
      <c r="J613" s="289"/>
      <c r="K613" s="288"/>
      <c r="L613" s="289"/>
      <c r="M613" s="290"/>
      <c r="N613" s="290"/>
      <c r="O613" s="291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</row>
    <row r="614" ht="13.5" customHeight="1">
      <c r="A614" s="286"/>
      <c r="B614" s="286"/>
      <c r="C614" s="286"/>
      <c r="D614" s="286"/>
      <c r="E614" s="286"/>
      <c r="F614" s="287"/>
      <c r="G614" s="286"/>
      <c r="H614" s="287"/>
      <c r="I614" s="288"/>
      <c r="J614" s="289"/>
      <c r="K614" s="288"/>
      <c r="L614" s="289"/>
      <c r="M614" s="290"/>
      <c r="N614" s="290"/>
      <c r="O614" s="291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</row>
    <row r="615" ht="13.5" customHeight="1">
      <c r="A615" s="286"/>
      <c r="B615" s="286"/>
      <c r="C615" s="286"/>
      <c r="D615" s="286"/>
      <c r="E615" s="286"/>
      <c r="F615" s="287"/>
      <c r="G615" s="286"/>
      <c r="H615" s="287"/>
      <c r="I615" s="288"/>
      <c r="J615" s="289"/>
      <c r="K615" s="288"/>
      <c r="L615" s="289"/>
      <c r="M615" s="290"/>
      <c r="N615" s="290"/>
      <c r="O615" s="291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</row>
    <row r="616" ht="13.5" customHeight="1">
      <c r="A616" s="286"/>
      <c r="B616" s="286"/>
      <c r="C616" s="286"/>
      <c r="D616" s="286"/>
      <c r="E616" s="286"/>
      <c r="F616" s="287"/>
      <c r="G616" s="286"/>
      <c r="H616" s="287"/>
      <c r="I616" s="288"/>
      <c r="J616" s="289"/>
      <c r="K616" s="288"/>
      <c r="L616" s="289"/>
      <c r="M616" s="290"/>
      <c r="N616" s="290"/>
      <c r="O616" s="291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</row>
    <row r="617" ht="13.5" customHeight="1">
      <c r="A617" s="286"/>
      <c r="B617" s="286"/>
      <c r="C617" s="286"/>
      <c r="D617" s="286"/>
      <c r="E617" s="286"/>
      <c r="F617" s="287"/>
      <c r="G617" s="286"/>
      <c r="H617" s="287"/>
      <c r="I617" s="288"/>
      <c r="J617" s="289"/>
      <c r="K617" s="288"/>
      <c r="L617" s="289"/>
      <c r="M617" s="290"/>
      <c r="N617" s="290"/>
      <c r="O617" s="291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</row>
    <row r="618" ht="13.5" customHeight="1">
      <c r="A618" s="286"/>
      <c r="B618" s="286"/>
      <c r="C618" s="286"/>
      <c r="D618" s="286"/>
      <c r="E618" s="286"/>
      <c r="F618" s="287"/>
      <c r="G618" s="286"/>
      <c r="H618" s="287"/>
      <c r="I618" s="288"/>
      <c r="J618" s="289"/>
      <c r="K618" s="288"/>
      <c r="L618" s="289"/>
      <c r="M618" s="290"/>
      <c r="N618" s="290"/>
      <c r="O618" s="291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</row>
    <row r="619" ht="13.5" customHeight="1">
      <c r="A619" s="286"/>
      <c r="B619" s="286"/>
      <c r="C619" s="286"/>
      <c r="D619" s="286"/>
      <c r="E619" s="286"/>
      <c r="F619" s="287"/>
      <c r="G619" s="286"/>
      <c r="H619" s="287"/>
      <c r="I619" s="288"/>
      <c r="J619" s="289"/>
      <c r="K619" s="288"/>
      <c r="L619" s="289"/>
      <c r="M619" s="290"/>
      <c r="N619" s="290"/>
      <c r="O619" s="291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</row>
    <row r="620" ht="13.5" customHeight="1">
      <c r="A620" s="286"/>
      <c r="B620" s="286"/>
      <c r="C620" s="286"/>
      <c r="D620" s="286"/>
      <c r="E620" s="286"/>
      <c r="F620" s="287"/>
      <c r="G620" s="286"/>
      <c r="H620" s="287"/>
      <c r="I620" s="288"/>
      <c r="J620" s="289"/>
      <c r="K620" s="288"/>
      <c r="L620" s="289"/>
      <c r="M620" s="290"/>
      <c r="N620" s="290"/>
      <c r="O620" s="291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</row>
    <row r="621" ht="13.5" customHeight="1">
      <c r="A621" s="286"/>
      <c r="B621" s="286"/>
      <c r="C621" s="286"/>
      <c r="D621" s="286"/>
      <c r="E621" s="286"/>
      <c r="F621" s="287"/>
      <c r="G621" s="286"/>
      <c r="H621" s="287"/>
      <c r="I621" s="288"/>
      <c r="J621" s="289"/>
      <c r="K621" s="288"/>
      <c r="L621" s="289"/>
      <c r="M621" s="290"/>
      <c r="N621" s="290"/>
      <c r="O621" s="291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</row>
    <row r="622" ht="13.5" customHeight="1">
      <c r="A622" s="286"/>
      <c r="B622" s="286"/>
      <c r="C622" s="286"/>
      <c r="D622" s="286"/>
      <c r="E622" s="286"/>
      <c r="F622" s="287"/>
      <c r="G622" s="286"/>
      <c r="H622" s="287"/>
      <c r="I622" s="288"/>
      <c r="J622" s="289"/>
      <c r="K622" s="288"/>
      <c r="L622" s="289"/>
      <c r="M622" s="290"/>
      <c r="N622" s="290"/>
      <c r="O622" s="291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</row>
    <row r="623" ht="13.5" customHeight="1">
      <c r="A623" s="286"/>
      <c r="B623" s="286"/>
      <c r="C623" s="286"/>
      <c r="D623" s="286"/>
      <c r="E623" s="286"/>
      <c r="F623" s="287"/>
      <c r="G623" s="286"/>
      <c r="H623" s="287"/>
      <c r="I623" s="288"/>
      <c r="J623" s="289"/>
      <c r="K623" s="288"/>
      <c r="L623" s="289"/>
      <c r="M623" s="290"/>
      <c r="N623" s="290"/>
      <c r="O623" s="291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</row>
    <row r="624" ht="13.5" customHeight="1">
      <c r="A624" s="286"/>
      <c r="B624" s="286"/>
      <c r="C624" s="286"/>
      <c r="D624" s="286"/>
      <c r="E624" s="286"/>
      <c r="F624" s="287"/>
      <c r="G624" s="286"/>
      <c r="H624" s="287"/>
      <c r="I624" s="288"/>
      <c r="J624" s="289"/>
      <c r="K624" s="288"/>
      <c r="L624" s="289"/>
      <c r="M624" s="290"/>
      <c r="N624" s="290"/>
      <c r="O624" s="291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</row>
    <row r="625" ht="13.5" customHeight="1">
      <c r="A625" s="286"/>
      <c r="B625" s="286"/>
      <c r="C625" s="286"/>
      <c r="D625" s="286"/>
      <c r="E625" s="286"/>
      <c r="F625" s="287"/>
      <c r="G625" s="286"/>
      <c r="H625" s="287"/>
      <c r="I625" s="288"/>
      <c r="J625" s="289"/>
      <c r="K625" s="288"/>
      <c r="L625" s="289"/>
      <c r="M625" s="290"/>
      <c r="N625" s="290"/>
      <c r="O625" s="291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</row>
    <row r="626" ht="13.5" customHeight="1">
      <c r="A626" s="286"/>
      <c r="B626" s="286"/>
      <c r="C626" s="286"/>
      <c r="D626" s="286"/>
      <c r="E626" s="286"/>
      <c r="F626" s="287"/>
      <c r="G626" s="286"/>
      <c r="H626" s="287"/>
      <c r="I626" s="288"/>
      <c r="J626" s="289"/>
      <c r="K626" s="288"/>
      <c r="L626" s="289"/>
      <c r="M626" s="290"/>
      <c r="N626" s="290"/>
      <c r="O626" s="291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</row>
    <row r="627" ht="13.5" customHeight="1">
      <c r="A627" s="286"/>
      <c r="B627" s="286"/>
      <c r="C627" s="286"/>
      <c r="D627" s="286"/>
      <c r="E627" s="286"/>
      <c r="F627" s="287"/>
      <c r="G627" s="286"/>
      <c r="H627" s="287"/>
      <c r="I627" s="288"/>
      <c r="J627" s="289"/>
      <c r="K627" s="288"/>
      <c r="L627" s="289"/>
      <c r="M627" s="290"/>
      <c r="N627" s="290"/>
      <c r="O627" s="291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</row>
    <row r="628" ht="13.5" customHeight="1">
      <c r="A628" s="286"/>
      <c r="B628" s="286"/>
      <c r="C628" s="286"/>
      <c r="D628" s="286"/>
      <c r="E628" s="286"/>
      <c r="F628" s="287"/>
      <c r="G628" s="286"/>
      <c r="H628" s="287"/>
      <c r="I628" s="288"/>
      <c r="J628" s="289"/>
      <c r="K628" s="288"/>
      <c r="L628" s="289"/>
      <c r="M628" s="290"/>
      <c r="N628" s="290"/>
      <c r="O628" s="291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</row>
    <row r="629" ht="13.5" customHeight="1">
      <c r="A629" s="286"/>
      <c r="B629" s="286"/>
      <c r="C629" s="286"/>
      <c r="D629" s="286"/>
      <c r="E629" s="286"/>
      <c r="F629" s="287"/>
      <c r="G629" s="286"/>
      <c r="H629" s="287"/>
      <c r="I629" s="288"/>
      <c r="J629" s="289"/>
      <c r="K629" s="288"/>
      <c r="L629" s="289"/>
      <c r="M629" s="290"/>
      <c r="N629" s="290"/>
      <c r="O629" s="291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</row>
    <row r="630" ht="13.5" customHeight="1">
      <c r="A630" s="286"/>
      <c r="B630" s="286"/>
      <c r="C630" s="286"/>
      <c r="D630" s="286"/>
      <c r="E630" s="286"/>
      <c r="F630" s="287"/>
      <c r="G630" s="286"/>
      <c r="H630" s="287"/>
      <c r="I630" s="288"/>
      <c r="J630" s="289"/>
      <c r="K630" s="288"/>
      <c r="L630" s="289"/>
      <c r="M630" s="290"/>
      <c r="N630" s="290"/>
      <c r="O630" s="291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</row>
    <row r="631" ht="13.5" customHeight="1">
      <c r="A631" s="286"/>
      <c r="B631" s="286"/>
      <c r="C631" s="286"/>
      <c r="D631" s="286"/>
      <c r="E631" s="286"/>
      <c r="F631" s="287"/>
      <c r="G631" s="286"/>
      <c r="H631" s="287"/>
      <c r="I631" s="288"/>
      <c r="J631" s="289"/>
      <c r="K631" s="288"/>
      <c r="L631" s="289"/>
      <c r="M631" s="290"/>
      <c r="N631" s="290"/>
      <c r="O631" s="291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</row>
    <row r="632" ht="13.5" customHeight="1">
      <c r="A632" s="286"/>
      <c r="B632" s="286"/>
      <c r="C632" s="286"/>
      <c r="D632" s="286"/>
      <c r="E632" s="286"/>
      <c r="F632" s="287"/>
      <c r="G632" s="286"/>
      <c r="H632" s="287"/>
      <c r="I632" s="288"/>
      <c r="J632" s="289"/>
      <c r="K632" s="288"/>
      <c r="L632" s="289"/>
      <c r="M632" s="290"/>
      <c r="N632" s="290"/>
      <c r="O632" s="291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</row>
    <row r="633" ht="13.5" customHeight="1">
      <c r="A633" s="286"/>
      <c r="B633" s="286"/>
      <c r="C633" s="286"/>
      <c r="D633" s="286"/>
      <c r="E633" s="286"/>
      <c r="F633" s="287"/>
      <c r="G633" s="286"/>
      <c r="H633" s="287"/>
      <c r="I633" s="288"/>
      <c r="J633" s="289"/>
      <c r="K633" s="288"/>
      <c r="L633" s="289"/>
      <c r="M633" s="290"/>
      <c r="N633" s="290"/>
      <c r="O633" s="291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</row>
    <row r="634" ht="13.5" customHeight="1">
      <c r="A634" s="286"/>
      <c r="B634" s="286"/>
      <c r="C634" s="286"/>
      <c r="D634" s="286"/>
      <c r="E634" s="286"/>
      <c r="F634" s="287"/>
      <c r="G634" s="286"/>
      <c r="H634" s="287"/>
      <c r="I634" s="288"/>
      <c r="J634" s="289"/>
      <c r="K634" s="288"/>
      <c r="L634" s="289"/>
      <c r="M634" s="290"/>
      <c r="N634" s="290"/>
      <c r="O634" s="291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</row>
    <row r="635" ht="13.5" customHeight="1">
      <c r="A635" s="286"/>
      <c r="B635" s="286"/>
      <c r="C635" s="286"/>
      <c r="D635" s="286"/>
      <c r="E635" s="286"/>
      <c r="F635" s="287"/>
      <c r="G635" s="286"/>
      <c r="H635" s="287"/>
      <c r="I635" s="288"/>
      <c r="J635" s="289"/>
      <c r="K635" s="288"/>
      <c r="L635" s="289"/>
      <c r="M635" s="290"/>
      <c r="N635" s="290"/>
      <c r="O635" s="291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</row>
    <row r="636" ht="13.5" customHeight="1">
      <c r="A636" s="286"/>
      <c r="B636" s="286"/>
      <c r="C636" s="286"/>
      <c r="D636" s="286"/>
      <c r="E636" s="286"/>
      <c r="F636" s="287"/>
      <c r="G636" s="286"/>
      <c r="H636" s="287"/>
      <c r="I636" s="288"/>
      <c r="J636" s="289"/>
      <c r="K636" s="288"/>
      <c r="L636" s="289"/>
      <c r="M636" s="290"/>
      <c r="N636" s="290"/>
      <c r="O636" s="291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</row>
    <row r="637" ht="13.5" customHeight="1">
      <c r="A637" s="286"/>
      <c r="B637" s="286"/>
      <c r="C637" s="286"/>
      <c r="D637" s="286"/>
      <c r="E637" s="286"/>
      <c r="F637" s="287"/>
      <c r="G637" s="286"/>
      <c r="H637" s="287"/>
      <c r="I637" s="288"/>
      <c r="J637" s="289"/>
      <c r="K637" s="288"/>
      <c r="L637" s="289"/>
      <c r="M637" s="290"/>
      <c r="N637" s="290"/>
      <c r="O637" s="291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</row>
    <row r="638" ht="13.5" customHeight="1">
      <c r="A638" s="286"/>
      <c r="B638" s="286"/>
      <c r="C638" s="286"/>
      <c r="D638" s="286"/>
      <c r="E638" s="286"/>
      <c r="F638" s="287"/>
      <c r="G638" s="286"/>
      <c r="H638" s="287"/>
      <c r="I638" s="288"/>
      <c r="J638" s="289"/>
      <c r="K638" s="288"/>
      <c r="L638" s="289"/>
      <c r="M638" s="290"/>
      <c r="N638" s="290"/>
      <c r="O638" s="291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</row>
    <row r="639" ht="13.5" customHeight="1">
      <c r="A639" s="286"/>
      <c r="B639" s="286"/>
      <c r="C639" s="286"/>
      <c r="D639" s="286"/>
      <c r="E639" s="286"/>
      <c r="F639" s="287"/>
      <c r="G639" s="286"/>
      <c r="H639" s="287"/>
      <c r="I639" s="288"/>
      <c r="J639" s="289"/>
      <c r="K639" s="288"/>
      <c r="L639" s="289"/>
      <c r="M639" s="290"/>
      <c r="N639" s="290"/>
      <c r="O639" s="291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</row>
    <row r="640" ht="13.5" customHeight="1">
      <c r="A640" s="286"/>
      <c r="B640" s="286"/>
      <c r="C640" s="286"/>
      <c r="D640" s="286"/>
      <c r="E640" s="286"/>
      <c r="F640" s="287"/>
      <c r="G640" s="286"/>
      <c r="H640" s="287"/>
      <c r="I640" s="288"/>
      <c r="J640" s="289"/>
      <c r="K640" s="288"/>
      <c r="L640" s="289"/>
      <c r="M640" s="290"/>
      <c r="N640" s="290"/>
      <c r="O640" s="291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</row>
    <row r="641" ht="13.5" customHeight="1">
      <c r="A641" s="286"/>
      <c r="B641" s="286"/>
      <c r="C641" s="286"/>
      <c r="D641" s="286"/>
      <c r="E641" s="286"/>
      <c r="F641" s="287"/>
      <c r="G641" s="286"/>
      <c r="H641" s="287"/>
      <c r="I641" s="288"/>
      <c r="J641" s="289"/>
      <c r="K641" s="288"/>
      <c r="L641" s="289"/>
      <c r="M641" s="290"/>
      <c r="N641" s="290"/>
      <c r="O641" s="291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</row>
    <row r="642" ht="13.5" customHeight="1">
      <c r="A642" s="286"/>
      <c r="B642" s="286"/>
      <c r="C642" s="286"/>
      <c r="D642" s="286"/>
      <c r="E642" s="286"/>
      <c r="F642" s="287"/>
      <c r="G642" s="286"/>
      <c r="H642" s="287"/>
      <c r="I642" s="288"/>
      <c r="J642" s="289"/>
      <c r="K642" s="288"/>
      <c r="L642" s="289"/>
      <c r="M642" s="290"/>
      <c r="N642" s="290"/>
      <c r="O642" s="291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</row>
    <row r="643" ht="13.5" customHeight="1">
      <c r="A643" s="286"/>
      <c r="B643" s="286"/>
      <c r="C643" s="286"/>
      <c r="D643" s="286"/>
      <c r="E643" s="286"/>
      <c r="F643" s="287"/>
      <c r="G643" s="286"/>
      <c r="H643" s="287"/>
      <c r="I643" s="288"/>
      <c r="J643" s="289"/>
      <c r="K643" s="288"/>
      <c r="L643" s="289"/>
      <c r="M643" s="290"/>
      <c r="N643" s="290"/>
      <c r="O643" s="291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</row>
    <row r="644" ht="13.5" customHeight="1">
      <c r="A644" s="286"/>
      <c r="B644" s="286"/>
      <c r="C644" s="286"/>
      <c r="D644" s="286"/>
      <c r="E644" s="286"/>
      <c r="F644" s="287"/>
      <c r="G644" s="286"/>
      <c r="H644" s="287"/>
      <c r="I644" s="288"/>
      <c r="J644" s="289"/>
      <c r="K644" s="288"/>
      <c r="L644" s="289"/>
      <c r="M644" s="290"/>
      <c r="N644" s="290"/>
      <c r="O644" s="291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</row>
    <row r="645" ht="13.5" customHeight="1">
      <c r="A645" s="286"/>
      <c r="B645" s="286"/>
      <c r="C645" s="286"/>
      <c r="D645" s="286"/>
      <c r="E645" s="286"/>
      <c r="F645" s="287"/>
      <c r="G645" s="286"/>
      <c r="H645" s="287"/>
      <c r="I645" s="288"/>
      <c r="J645" s="289"/>
      <c r="K645" s="288"/>
      <c r="L645" s="289"/>
      <c r="M645" s="290"/>
      <c r="N645" s="290"/>
      <c r="O645" s="291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</row>
    <row r="646" ht="13.5" customHeight="1">
      <c r="A646" s="286"/>
      <c r="B646" s="286"/>
      <c r="C646" s="286"/>
      <c r="D646" s="286"/>
      <c r="E646" s="286"/>
      <c r="F646" s="287"/>
      <c r="G646" s="286"/>
      <c r="H646" s="287"/>
      <c r="I646" s="288"/>
      <c r="J646" s="289"/>
      <c r="K646" s="288"/>
      <c r="L646" s="289"/>
      <c r="M646" s="290"/>
      <c r="N646" s="290"/>
      <c r="O646" s="291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</row>
    <row r="647" ht="13.5" customHeight="1">
      <c r="A647" s="286"/>
      <c r="B647" s="286"/>
      <c r="C647" s="286"/>
      <c r="D647" s="286"/>
      <c r="E647" s="286"/>
      <c r="F647" s="287"/>
      <c r="G647" s="286"/>
      <c r="H647" s="287"/>
      <c r="I647" s="288"/>
      <c r="J647" s="289"/>
      <c r="K647" s="288"/>
      <c r="L647" s="289"/>
      <c r="M647" s="290"/>
      <c r="N647" s="290"/>
      <c r="O647" s="291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</row>
    <row r="648" ht="13.5" customHeight="1">
      <c r="A648" s="286"/>
      <c r="B648" s="286"/>
      <c r="C648" s="286"/>
      <c r="D648" s="286"/>
      <c r="E648" s="286"/>
      <c r="F648" s="287"/>
      <c r="G648" s="286"/>
      <c r="H648" s="287"/>
      <c r="I648" s="288"/>
      <c r="J648" s="289"/>
      <c r="K648" s="288"/>
      <c r="L648" s="289"/>
      <c r="M648" s="290"/>
      <c r="N648" s="290"/>
      <c r="O648" s="291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</row>
    <row r="649" ht="13.5" customHeight="1">
      <c r="A649" s="286"/>
      <c r="B649" s="286"/>
      <c r="C649" s="286"/>
      <c r="D649" s="286"/>
      <c r="E649" s="286"/>
      <c r="F649" s="287"/>
      <c r="G649" s="286"/>
      <c r="H649" s="287"/>
      <c r="I649" s="288"/>
      <c r="J649" s="289"/>
      <c r="K649" s="288"/>
      <c r="L649" s="289"/>
      <c r="M649" s="290"/>
      <c r="N649" s="290"/>
      <c r="O649" s="291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</row>
    <row r="650" ht="13.5" customHeight="1">
      <c r="A650" s="286"/>
      <c r="B650" s="286"/>
      <c r="C650" s="286"/>
      <c r="D650" s="286"/>
      <c r="E650" s="286"/>
      <c r="F650" s="287"/>
      <c r="G650" s="286"/>
      <c r="H650" s="287"/>
      <c r="I650" s="288"/>
      <c r="J650" s="289"/>
      <c r="K650" s="288"/>
      <c r="L650" s="289"/>
      <c r="M650" s="290"/>
      <c r="N650" s="290"/>
      <c r="O650" s="291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</row>
    <row r="651" ht="13.5" customHeight="1">
      <c r="A651" s="286"/>
      <c r="B651" s="286"/>
      <c r="C651" s="286"/>
      <c r="D651" s="286"/>
      <c r="E651" s="286"/>
      <c r="F651" s="287"/>
      <c r="G651" s="286"/>
      <c r="H651" s="287"/>
      <c r="I651" s="288"/>
      <c r="J651" s="289"/>
      <c r="K651" s="288"/>
      <c r="L651" s="289"/>
      <c r="M651" s="290"/>
      <c r="N651" s="290"/>
      <c r="O651" s="291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</row>
    <row r="652" ht="13.5" customHeight="1">
      <c r="A652" s="286"/>
      <c r="B652" s="286"/>
      <c r="C652" s="286"/>
      <c r="D652" s="286"/>
      <c r="E652" s="286"/>
      <c r="F652" s="287"/>
      <c r="G652" s="286"/>
      <c r="H652" s="287"/>
      <c r="I652" s="288"/>
      <c r="J652" s="289"/>
      <c r="K652" s="288"/>
      <c r="L652" s="289"/>
      <c r="M652" s="290"/>
      <c r="N652" s="290"/>
      <c r="O652" s="291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</row>
    <row r="653" ht="13.5" customHeight="1">
      <c r="A653" s="286"/>
      <c r="B653" s="286"/>
      <c r="C653" s="286"/>
      <c r="D653" s="286"/>
      <c r="E653" s="286"/>
      <c r="F653" s="287"/>
      <c r="G653" s="286"/>
      <c r="H653" s="287"/>
      <c r="I653" s="288"/>
      <c r="J653" s="289"/>
      <c r="K653" s="288"/>
      <c r="L653" s="289"/>
      <c r="M653" s="290"/>
      <c r="N653" s="290"/>
      <c r="O653" s="291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</row>
    <row r="654" ht="13.5" customHeight="1">
      <c r="A654" s="286"/>
      <c r="B654" s="286"/>
      <c r="C654" s="286"/>
      <c r="D654" s="286"/>
      <c r="E654" s="286"/>
      <c r="F654" s="287"/>
      <c r="G654" s="286"/>
      <c r="H654" s="287"/>
      <c r="I654" s="288"/>
      <c r="J654" s="289"/>
      <c r="K654" s="288"/>
      <c r="L654" s="289"/>
      <c r="M654" s="290"/>
      <c r="N654" s="290"/>
      <c r="O654" s="291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</row>
    <row r="655" ht="13.5" customHeight="1">
      <c r="A655" s="286"/>
      <c r="B655" s="286"/>
      <c r="C655" s="286"/>
      <c r="D655" s="286"/>
      <c r="E655" s="286"/>
      <c r="F655" s="287"/>
      <c r="G655" s="286"/>
      <c r="H655" s="287"/>
      <c r="I655" s="288"/>
      <c r="J655" s="289"/>
      <c r="K655" s="288"/>
      <c r="L655" s="289"/>
      <c r="M655" s="290"/>
      <c r="N655" s="290"/>
      <c r="O655" s="291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</row>
    <row r="656" ht="13.5" customHeight="1">
      <c r="A656" s="286"/>
      <c r="B656" s="286"/>
      <c r="C656" s="286"/>
      <c r="D656" s="286"/>
      <c r="E656" s="286"/>
      <c r="F656" s="287"/>
      <c r="G656" s="286"/>
      <c r="H656" s="287"/>
      <c r="I656" s="288"/>
      <c r="J656" s="289"/>
      <c r="K656" s="288"/>
      <c r="L656" s="289"/>
      <c r="M656" s="290"/>
      <c r="N656" s="290"/>
      <c r="O656" s="291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</row>
    <row r="657" ht="13.5" customHeight="1">
      <c r="A657" s="286"/>
      <c r="B657" s="286"/>
      <c r="C657" s="286"/>
      <c r="D657" s="286"/>
      <c r="E657" s="286"/>
      <c r="F657" s="287"/>
      <c r="G657" s="286"/>
      <c r="H657" s="287"/>
      <c r="I657" s="288"/>
      <c r="J657" s="289"/>
      <c r="K657" s="288"/>
      <c r="L657" s="289"/>
      <c r="M657" s="290"/>
      <c r="N657" s="290"/>
      <c r="O657" s="291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</row>
    <row r="658" ht="13.5" customHeight="1">
      <c r="A658" s="286"/>
      <c r="B658" s="286"/>
      <c r="C658" s="286"/>
      <c r="D658" s="286"/>
      <c r="E658" s="286"/>
      <c r="F658" s="287"/>
      <c r="G658" s="286"/>
      <c r="H658" s="287"/>
      <c r="I658" s="288"/>
      <c r="J658" s="289"/>
      <c r="K658" s="288"/>
      <c r="L658" s="289"/>
      <c r="M658" s="290"/>
      <c r="N658" s="290"/>
      <c r="O658" s="291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</row>
    <row r="659" ht="13.5" customHeight="1">
      <c r="A659" s="286"/>
      <c r="B659" s="286"/>
      <c r="C659" s="286"/>
      <c r="D659" s="286"/>
      <c r="E659" s="286"/>
      <c r="F659" s="287"/>
      <c r="G659" s="286"/>
      <c r="H659" s="287"/>
      <c r="I659" s="288"/>
      <c r="J659" s="289"/>
      <c r="K659" s="288"/>
      <c r="L659" s="289"/>
      <c r="M659" s="290"/>
      <c r="N659" s="290"/>
      <c r="O659" s="291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</row>
    <row r="660" ht="13.5" customHeight="1">
      <c r="A660" s="286"/>
      <c r="B660" s="286"/>
      <c r="C660" s="286"/>
      <c r="D660" s="286"/>
      <c r="E660" s="286"/>
      <c r="F660" s="287"/>
      <c r="G660" s="286"/>
      <c r="H660" s="287"/>
      <c r="I660" s="288"/>
      <c r="J660" s="289"/>
      <c r="K660" s="288"/>
      <c r="L660" s="289"/>
      <c r="M660" s="290"/>
      <c r="N660" s="290"/>
      <c r="O660" s="291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</row>
    <row r="661" ht="13.5" customHeight="1">
      <c r="A661" s="286"/>
      <c r="B661" s="286"/>
      <c r="C661" s="286"/>
      <c r="D661" s="286"/>
      <c r="E661" s="286"/>
      <c r="F661" s="287"/>
      <c r="G661" s="286"/>
      <c r="H661" s="287"/>
      <c r="I661" s="288"/>
      <c r="J661" s="289"/>
      <c r="K661" s="288"/>
      <c r="L661" s="289"/>
      <c r="M661" s="290"/>
      <c r="N661" s="290"/>
      <c r="O661" s="291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</row>
    <row r="662" ht="13.5" customHeight="1">
      <c r="A662" s="286"/>
      <c r="B662" s="286"/>
      <c r="C662" s="286"/>
      <c r="D662" s="286"/>
      <c r="E662" s="286"/>
      <c r="F662" s="287"/>
      <c r="G662" s="286"/>
      <c r="H662" s="287"/>
      <c r="I662" s="288"/>
      <c r="J662" s="289"/>
      <c r="K662" s="288"/>
      <c r="L662" s="289"/>
      <c r="M662" s="290"/>
      <c r="N662" s="290"/>
      <c r="O662" s="291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</row>
    <row r="663" ht="13.5" customHeight="1">
      <c r="A663" s="286"/>
      <c r="B663" s="286"/>
      <c r="C663" s="286"/>
      <c r="D663" s="286"/>
      <c r="E663" s="286"/>
      <c r="F663" s="287"/>
      <c r="G663" s="286"/>
      <c r="H663" s="287"/>
      <c r="I663" s="288"/>
      <c r="J663" s="289"/>
      <c r="K663" s="288"/>
      <c r="L663" s="289"/>
      <c r="M663" s="290"/>
      <c r="N663" s="290"/>
      <c r="O663" s="291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</row>
    <row r="664" ht="13.5" customHeight="1">
      <c r="A664" s="286"/>
      <c r="B664" s="286"/>
      <c r="C664" s="286"/>
      <c r="D664" s="286"/>
      <c r="E664" s="286"/>
      <c r="F664" s="287"/>
      <c r="G664" s="286"/>
      <c r="H664" s="287"/>
      <c r="I664" s="288"/>
      <c r="J664" s="289"/>
      <c r="K664" s="288"/>
      <c r="L664" s="289"/>
      <c r="M664" s="290"/>
      <c r="N664" s="290"/>
      <c r="O664" s="291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</row>
    <row r="665" ht="13.5" customHeight="1">
      <c r="A665" s="286"/>
      <c r="B665" s="286"/>
      <c r="C665" s="286"/>
      <c r="D665" s="286"/>
      <c r="E665" s="286"/>
      <c r="F665" s="287"/>
      <c r="G665" s="286"/>
      <c r="H665" s="287"/>
      <c r="I665" s="288"/>
      <c r="J665" s="289"/>
      <c r="K665" s="288"/>
      <c r="L665" s="289"/>
      <c r="M665" s="290"/>
      <c r="N665" s="290"/>
      <c r="O665" s="291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</row>
    <row r="666" ht="13.5" customHeight="1">
      <c r="A666" s="286"/>
      <c r="B666" s="286"/>
      <c r="C666" s="286"/>
      <c r="D666" s="286"/>
      <c r="E666" s="286"/>
      <c r="F666" s="287"/>
      <c r="G666" s="286"/>
      <c r="H666" s="287"/>
      <c r="I666" s="288"/>
      <c r="J666" s="289"/>
      <c r="K666" s="288"/>
      <c r="L666" s="289"/>
      <c r="M666" s="290"/>
      <c r="N666" s="290"/>
      <c r="O666" s="291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</row>
    <row r="667" ht="13.5" customHeight="1">
      <c r="A667" s="286"/>
      <c r="B667" s="286"/>
      <c r="C667" s="286"/>
      <c r="D667" s="286"/>
      <c r="E667" s="286"/>
      <c r="F667" s="287"/>
      <c r="G667" s="286"/>
      <c r="H667" s="287"/>
      <c r="I667" s="288"/>
      <c r="J667" s="289"/>
      <c r="K667" s="288"/>
      <c r="L667" s="289"/>
      <c r="M667" s="290"/>
      <c r="N667" s="290"/>
      <c r="O667" s="291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</row>
    <row r="668" ht="13.5" customHeight="1">
      <c r="A668" s="286"/>
      <c r="B668" s="286"/>
      <c r="C668" s="286"/>
      <c r="D668" s="286"/>
      <c r="E668" s="286"/>
      <c r="F668" s="287"/>
      <c r="G668" s="286"/>
      <c r="H668" s="287"/>
      <c r="I668" s="288"/>
      <c r="J668" s="289"/>
      <c r="K668" s="288"/>
      <c r="L668" s="289"/>
      <c r="M668" s="290"/>
      <c r="N668" s="290"/>
      <c r="O668" s="291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</row>
    <row r="669" ht="13.5" customHeight="1">
      <c r="A669" s="286"/>
      <c r="B669" s="286"/>
      <c r="C669" s="286"/>
      <c r="D669" s="286"/>
      <c r="E669" s="286"/>
      <c r="F669" s="287"/>
      <c r="G669" s="286"/>
      <c r="H669" s="287"/>
      <c r="I669" s="288"/>
      <c r="J669" s="289"/>
      <c r="K669" s="288"/>
      <c r="L669" s="289"/>
      <c r="M669" s="290"/>
      <c r="N669" s="290"/>
      <c r="O669" s="291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</row>
    <row r="670" ht="13.5" customHeight="1">
      <c r="A670" s="286"/>
      <c r="B670" s="286"/>
      <c r="C670" s="286"/>
      <c r="D670" s="286"/>
      <c r="E670" s="286"/>
      <c r="F670" s="287"/>
      <c r="G670" s="286"/>
      <c r="H670" s="287"/>
      <c r="I670" s="288"/>
      <c r="J670" s="289"/>
      <c r="K670" s="288"/>
      <c r="L670" s="289"/>
      <c r="M670" s="290"/>
      <c r="N670" s="290"/>
      <c r="O670" s="291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</row>
    <row r="671" ht="13.5" customHeight="1">
      <c r="A671" s="286"/>
      <c r="B671" s="286"/>
      <c r="C671" s="286"/>
      <c r="D671" s="286"/>
      <c r="E671" s="286"/>
      <c r="F671" s="287"/>
      <c r="G671" s="286"/>
      <c r="H671" s="287"/>
      <c r="I671" s="288"/>
      <c r="J671" s="289"/>
      <c r="K671" s="288"/>
      <c r="L671" s="289"/>
      <c r="M671" s="290"/>
      <c r="N671" s="290"/>
      <c r="O671" s="291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</row>
    <row r="672" ht="13.5" customHeight="1">
      <c r="A672" s="286"/>
      <c r="B672" s="286"/>
      <c r="C672" s="286"/>
      <c r="D672" s="286"/>
      <c r="E672" s="286"/>
      <c r="F672" s="287"/>
      <c r="G672" s="286"/>
      <c r="H672" s="287"/>
      <c r="I672" s="288"/>
      <c r="J672" s="289"/>
      <c r="K672" s="288"/>
      <c r="L672" s="289"/>
      <c r="M672" s="290"/>
      <c r="N672" s="290"/>
      <c r="O672" s="291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</row>
    <row r="673" ht="13.5" customHeight="1">
      <c r="A673" s="286"/>
      <c r="B673" s="286"/>
      <c r="C673" s="286"/>
      <c r="D673" s="286"/>
      <c r="E673" s="286"/>
      <c r="F673" s="287"/>
      <c r="G673" s="286"/>
      <c r="H673" s="287"/>
      <c r="I673" s="288"/>
      <c r="J673" s="289"/>
      <c r="K673" s="288"/>
      <c r="L673" s="289"/>
      <c r="M673" s="290"/>
      <c r="N673" s="290"/>
      <c r="O673" s="291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</row>
    <row r="674" ht="13.5" customHeight="1">
      <c r="A674" s="286"/>
      <c r="B674" s="286"/>
      <c r="C674" s="286"/>
      <c r="D674" s="286"/>
      <c r="E674" s="286"/>
      <c r="F674" s="287"/>
      <c r="G674" s="286"/>
      <c r="H674" s="287"/>
      <c r="I674" s="288"/>
      <c r="J674" s="289"/>
      <c r="K674" s="288"/>
      <c r="L674" s="289"/>
      <c r="M674" s="290"/>
      <c r="N674" s="290"/>
      <c r="O674" s="291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</row>
    <row r="675" ht="13.5" customHeight="1">
      <c r="A675" s="286"/>
      <c r="B675" s="286"/>
      <c r="C675" s="286"/>
      <c r="D675" s="286"/>
      <c r="E675" s="286"/>
      <c r="F675" s="287"/>
      <c r="G675" s="286"/>
      <c r="H675" s="287"/>
      <c r="I675" s="288"/>
      <c r="J675" s="289"/>
      <c r="K675" s="288"/>
      <c r="L675" s="289"/>
      <c r="M675" s="290"/>
      <c r="N675" s="290"/>
      <c r="O675" s="291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</row>
    <row r="676" ht="13.5" customHeight="1">
      <c r="A676" s="286"/>
      <c r="B676" s="286"/>
      <c r="C676" s="286"/>
      <c r="D676" s="286"/>
      <c r="E676" s="286"/>
      <c r="F676" s="287"/>
      <c r="G676" s="286"/>
      <c r="H676" s="287"/>
      <c r="I676" s="288"/>
      <c r="J676" s="289"/>
      <c r="K676" s="288"/>
      <c r="L676" s="289"/>
      <c r="M676" s="290"/>
      <c r="N676" s="290"/>
      <c r="O676" s="291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</row>
    <row r="677" ht="13.5" customHeight="1">
      <c r="A677" s="286"/>
      <c r="B677" s="286"/>
      <c r="C677" s="286"/>
      <c r="D677" s="286"/>
      <c r="E677" s="286"/>
      <c r="F677" s="287"/>
      <c r="G677" s="286"/>
      <c r="H677" s="287"/>
      <c r="I677" s="288"/>
      <c r="J677" s="289"/>
      <c r="K677" s="288"/>
      <c r="L677" s="289"/>
      <c r="M677" s="290"/>
      <c r="N677" s="290"/>
      <c r="O677" s="291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</row>
    <row r="678" ht="13.5" customHeight="1">
      <c r="A678" s="286"/>
      <c r="B678" s="286"/>
      <c r="C678" s="286"/>
      <c r="D678" s="286"/>
      <c r="E678" s="286"/>
      <c r="F678" s="287"/>
      <c r="G678" s="286"/>
      <c r="H678" s="287"/>
      <c r="I678" s="288"/>
      <c r="J678" s="289"/>
      <c r="K678" s="288"/>
      <c r="L678" s="289"/>
      <c r="M678" s="290"/>
      <c r="N678" s="290"/>
      <c r="O678" s="291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</row>
    <row r="679" ht="13.5" customHeight="1">
      <c r="A679" s="286"/>
      <c r="B679" s="286"/>
      <c r="C679" s="286"/>
      <c r="D679" s="286"/>
      <c r="E679" s="286"/>
      <c r="F679" s="287"/>
      <c r="G679" s="286"/>
      <c r="H679" s="287"/>
      <c r="I679" s="288"/>
      <c r="J679" s="289"/>
      <c r="K679" s="288"/>
      <c r="L679" s="289"/>
      <c r="M679" s="290"/>
      <c r="N679" s="290"/>
      <c r="O679" s="291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</row>
    <row r="680" ht="13.5" customHeight="1">
      <c r="A680" s="286"/>
      <c r="B680" s="286"/>
      <c r="C680" s="286"/>
      <c r="D680" s="286"/>
      <c r="E680" s="286"/>
      <c r="F680" s="287"/>
      <c r="G680" s="286"/>
      <c r="H680" s="287"/>
      <c r="I680" s="288"/>
      <c r="J680" s="289"/>
      <c r="K680" s="288"/>
      <c r="L680" s="289"/>
      <c r="M680" s="290"/>
      <c r="N680" s="290"/>
      <c r="O680" s="291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</row>
    <row r="681" ht="13.5" customHeight="1">
      <c r="A681" s="286"/>
      <c r="B681" s="286"/>
      <c r="C681" s="286"/>
      <c r="D681" s="286"/>
      <c r="E681" s="286"/>
      <c r="F681" s="287"/>
      <c r="G681" s="286"/>
      <c r="H681" s="287"/>
      <c r="I681" s="288"/>
      <c r="J681" s="289"/>
      <c r="K681" s="288"/>
      <c r="L681" s="289"/>
      <c r="M681" s="290"/>
      <c r="N681" s="290"/>
      <c r="O681" s="291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</row>
    <row r="682" ht="13.5" customHeight="1">
      <c r="A682" s="286"/>
      <c r="B682" s="286"/>
      <c r="C682" s="286"/>
      <c r="D682" s="286"/>
      <c r="E682" s="286"/>
      <c r="F682" s="287"/>
      <c r="G682" s="286"/>
      <c r="H682" s="287"/>
      <c r="I682" s="288"/>
      <c r="J682" s="289"/>
      <c r="K682" s="288"/>
      <c r="L682" s="289"/>
      <c r="M682" s="290"/>
      <c r="N682" s="290"/>
      <c r="O682" s="291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</row>
    <row r="683" ht="13.5" customHeight="1">
      <c r="A683" s="286"/>
      <c r="B683" s="286"/>
      <c r="C683" s="286"/>
      <c r="D683" s="286"/>
      <c r="E683" s="286"/>
      <c r="F683" s="287"/>
      <c r="G683" s="286"/>
      <c r="H683" s="287"/>
      <c r="I683" s="288"/>
      <c r="J683" s="289"/>
      <c r="K683" s="288"/>
      <c r="L683" s="289"/>
      <c r="M683" s="290"/>
      <c r="N683" s="290"/>
      <c r="O683" s="291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</row>
    <row r="684" ht="13.5" customHeight="1">
      <c r="A684" s="286"/>
      <c r="B684" s="286"/>
      <c r="C684" s="286"/>
      <c r="D684" s="286"/>
      <c r="E684" s="286"/>
      <c r="F684" s="287"/>
      <c r="G684" s="286"/>
      <c r="H684" s="287"/>
      <c r="I684" s="288"/>
      <c r="J684" s="289"/>
      <c r="K684" s="288"/>
      <c r="L684" s="289"/>
      <c r="M684" s="290"/>
      <c r="N684" s="290"/>
      <c r="O684" s="291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</row>
    <row r="685" ht="13.5" customHeight="1">
      <c r="A685" s="286"/>
      <c r="B685" s="286"/>
      <c r="C685" s="286"/>
      <c r="D685" s="286"/>
      <c r="E685" s="286"/>
      <c r="F685" s="287"/>
      <c r="G685" s="286"/>
      <c r="H685" s="287"/>
      <c r="I685" s="288"/>
      <c r="J685" s="289"/>
      <c r="K685" s="288"/>
      <c r="L685" s="289"/>
      <c r="M685" s="290"/>
      <c r="N685" s="290"/>
      <c r="O685" s="291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</row>
    <row r="686" ht="13.5" customHeight="1">
      <c r="A686" s="286"/>
      <c r="B686" s="286"/>
      <c r="C686" s="286"/>
      <c r="D686" s="286"/>
      <c r="E686" s="286"/>
      <c r="F686" s="287"/>
      <c r="G686" s="286"/>
      <c r="H686" s="287"/>
      <c r="I686" s="288"/>
      <c r="J686" s="289"/>
      <c r="K686" s="288"/>
      <c r="L686" s="289"/>
      <c r="M686" s="290"/>
      <c r="N686" s="290"/>
      <c r="O686" s="291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</row>
    <row r="687" ht="13.5" customHeight="1">
      <c r="A687" s="286"/>
      <c r="B687" s="286"/>
      <c r="C687" s="286"/>
      <c r="D687" s="286"/>
      <c r="E687" s="286"/>
      <c r="F687" s="287"/>
      <c r="G687" s="286"/>
      <c r="H687" s="287"/>
      <c r="I687" s="288"/>
      <c r="J687" s="289"/>
      <c r="K687" s="288"/>
      <c r="L687" s="289"/>
      <c r="M687" s="290"/>
      <c r="N687" s="290"/>
      <c r="O687" s="291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</row>
    <row r="688" ht="13.5" customHeight="1">
      <c r="A688" s="286"/>
      <c r="B688" s="286"/>
      <c r="C688" s="286"/>
      <c r="D688" s="286"/>
      <c r="E688" s="286"/>
      <c r="F688" s="287"/>
      <c r="G688" s="286"/>
      <c r="H688" s="287"/>
      <c r="I688" s="288"/>
      <c r="J688" s="289"/>
      <c r="K688" s="288"/>
      <c r="L688" s="289"/>
      <c r="M688" s="290"/>
      <c r="N688" s="290"/>
      <c r="O688" s="291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</row>
    <row r="689" ht="13.5" customHeight="1">
      <c r="A689" s="286"/>
      <c r="B689" s="286"/>
      <c r="C689" s="286"/>
      <c r="D689" s="286"/>
      <c r="E689" s="286"/>
      <c r="F689" s="287"/>
      <c r="G689" s="286"/>
      <c r="H689" s="287"/>
      <c r="I689" s="288"/>
      <c r="J689" s="289"/>
      <c r="K689" s="288"/>
      <c r="L689" s="289"/>
      <c r="M689" s="290"/>
      <c r="N689" s="290"/>
      <c r="O689" s="291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</row>
    <row r="690" ht="13.5" customHeight="1">
      <c r="A690" s="286"/>
      <c r="B690" s="286"/>
      <c r="C690" s="286"/>
      <c r="D690" s="286"/>
      <c r="E690" s="286"/>
      <c r="F690" s="287"/>
      <c r="G690" s="286"/>
      <c r="H690" s="287"/>
      <c r="I690" s="288"/>
      <c r="J690" s="289"/>
      <c r="K690" s="288"/>
      <c r="L690" s="289"/>
      <c r="M690" s="290"/>
      <c r="N690" s="290"/>
      <c r="O690" s="291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</row>
    <row r="691" ht="13.5" customHeight="1">
      <c r="A691" s="286"/>
      <c r="B691" s="286"/>
      <c r="C691" s="286"/>
      <c r="D691" s="286"/>
      <c r="E691" s="286"/>
      <c r="F691" s="287"/>
      <c r="G691" s="286"/>
      <c r="H691" s="287"/>
      <c r="I691" s="288"/>
      <c r="J691" s="289"/>
      <c r="K691" s="288"/>
      <c r="L691" s="289"/>
      <c r="M691" s="290"/>
      <c r="N691" s="290"/>
      <c r="O691" s="291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</row>
    <row r="692" ht="13.5" customHeight="1">
      <c r="A692" s="286"/>
      <c r="B692" s="286"/>
      <c r="C692" s="286"/>
      <c r="D692" s="286"/>
      <c r="E692" s="286"/>
      <c r="F692" s="287"/>
      <c r="G692" s="286"/>
      <c r="H692" s="287"/>
      <c r="I692" s="288"/>
      <c r="J692" s="289"/>
      <c r="K692" s="288"/>
      <c r="L692" s="289"/>
      <c r="M692" s="290"/>
      <c r="N692" s="290"/>
      <c r="O692" s="291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</row>
    <row r="693" ht="13.5" customHeight="1">
      <c r="A693" s="286"/>
      <c r="B693" s="286"/>
      <c r="C693" s="286"/>
      <c r="D693" s="286"/>
      <c r="E693" s="286"/>
      <c r="F693" s="287"/>
      <c r="G693" s="286"/>
      <c r="H693" s="287"/>
      <c r="I693" s="288"/>
      <c r="J693" s="289"/>
      <c r="K693" s="288"/>
      <c r="L693" s="289"/>
      <c r="M693" s="290"/>
      <c r="N693" s="290"/>
      <c r="O693" s="291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</row>
    <row r="694" ht="13.5" customHeight="1">
      <c r="A694" s="286"/>
      <c r="B694" s="286"/>
      <c r="C694" s="286"/>
      <c r="D694" s="286"/>
      <c r="E694" s="286"/>
      <c r="F694" s="287"/>
      <c r="G694" s="286"/>
      <c r="H694" s="287"/>
      <c r="I694" s="288"/>
      <c r="J694" s="289"/>
      <c r="K694" s="288"/>
      <c r="L694" s="289"/>
      <c r="M694" s="290"/>
      <c r="N694" s="290"/>
      <c r="O694" s="291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</row>
    <row r="695" ht="13.5" customHeight="1">
      <c r="A695" s="286"/>
      <c r="B695" s="286"/>
      <c r="C695" s="286"/>
      <c r="D695" s="286"/>
      <c r="E695" s="286"/>
      <c r="F695" s="287"/>
      <c r="G695" s="286"/>
      <c r="H695" s="287"/>
      <c r="I695" s="288"/>
      <c r="J695" s="289"/>
      <c r="K695" s="288"/>
      <c r="L695" s="289"/>
      <c r="M695" s="290"/>
      <c r="N695" s="290"/>
      <c r="O695" s="291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</row>
    <row r="696" ht="13.5" customHeight="1">
      <c r="A696" s="286"/>
      <c r="B696" s="286"/>
      <c r="C696" s="286"/>
      <c r="D696" s="286"/>
      <c r="E696" s="286"/>
      <c r="F696" s="287"/>
      <c r="G696" s="286"/>
      <c r="H696" s="287"/>
      <c r="I696" s="288"/>
      <c r="J696" s="289"/>
      <c r="K696" s="288"/>
      <c r="L696" s="289"/>
      <c r="M696" s="290"/>
      <c r="N696" s="290"/>
      <c r="O696" s="291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</row>
    <row r="697" ht="13.5" customHeight="1">
      <c r="A697" s="286"/>
      <c r="B697" s="286"/>
      <c r="C697" s="286"/>
      <c r="D697" s="286"/>
      <c r="E697" s="286"/>
      <c r="F697" s="287"/>
      <c r="G697" s="286"/>
      <c r="H697" s="287"/>
      <c r="I697" s="288"/>
      <c r="J697" s="289"/>
      <c r="K697" s="288"/>
      <c r="L697" s="289"/>
      <c r="M697" s="290"/>
      <c r="N697" s="290"/>
      <c r="O697" s="291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</row>
    <row r="698" ht="13.5" customHeight="1">
      <c r="A698" s="286"/>
      <c r="B698" s="286"/>
      <c r="C698" s="286"/>
      <c r="D698" s="286"/>
      <c r="E698" s="286"/>
      <c r="F698" s="287"/>
      <c r="G698" s="286"/>
      <c r="H698" s="287"/>
      <c r="I698" s="288"/>
      <c r="J698" s="289"/>
      <c r="K698" s="288"/>
      <c r="L698" s="289"/>
      <c r="M698" s="290"/>
      <c r="N698" s="290"/>
      <c r="O698" s="291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</row>
    <row r="699" ht="13.5" customHeight="1">
      <c r="A699" s="286"/>
      <c r="B699" s="286"/>
      <c r="C699" s="286"/>
      <c r="D699" s="286"/>
      <c r="E699" s="286"/>
      <c r="F699" s="287"/>
      <c r="G699" s="286"/>
      <c r="H699" s="287"/>
      <c r="I699" s="288"/>
      <c r="J699" s="289"/>
      <c r="K699" s="288"/>
      <c r="L699" s="289"/>
      <c r="M699" s="290"/>
      <c r="N699" s="290"/>
      <c r="O699" s="291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</row>
    <row r="700" ht="13.5" customHeight="1">
      <c r="A700" s="286"/>
      <c r="B700" s="286"/>
      <c r="C700" s="286"/>
      <c r="D700" s="286"/>
      <c r="E700" s="286"/>
      <c r="F700" s="287"/>
      <c r="G700" s="286"/>
      <c r="H700" s="287"/>
      <c r="I700" s="288"/>
      <c r="J700" s="289"/>
      <c r="K700" s="288"/>
      <c r="L700" s="289"/>
      <c r="M700" s="290"/>
      <c r="N700" s="290"/>
      <c r="O700" s="291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</row>
    <row r="701" ht="13.5" customHeight="1">
      <c r="A701" s="286"/>
      <c r="B701" s="286"/>
      <c r="C701" s="286"/>
      <c r="D701" s="286"/>
      <c r="E701" s="286"/>
      <c r="F701" s="287"/>
      <c r="G701" s="286"/>
      <c r="H701" s="287"/>
      <c r="I701" s="288"/>
      <c r="J701" s="289"/>
      <c r="K701" s="288"/>
      <c r="L701" s="289"/>
      <c r="M701" s="290"/>
      <c r="N701" s="290"/>
      <c r="O701" s="291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</row>
    <row r="702" ht="13.5" customHeight="1">
      <c r="A702" s="286"/>
      <c r="B702" s="286"/>
      <c r="C702" s="286"/>
      <c r="D702" s="286"/>
      <c r="E702" s="286"/>
      <c r="F702" s="287"/>
      <c r="G702" s="286"/>
      <c r="H702" s="287"/>
      <c r="I702" s="288"/>
      <c r="J702" s="289"/>
      <c r="K702" s="288"/>
      <c r="L702" s="289"/>
      <c r="M702" s="290"/>
      <c r="N702" s="290"/>
      <c r="O702" s="291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</row>
    <row r="703" ht="13.5" customHeight="1">
      <c r="A703" s="286"/>
      <c r="B703" s="286"/>
      <c r="C703" s="286"/>
      <c r="D703" s="286"/>
      <c r="E703" s="286"/>
      <c r="F703" s="287"/>
      <c r="G703" s="286"/>
      <c r="H703" s="287"/>
      <c r="I703" s="288"/>
      <c r="J703" s="289"/>
      <c r="K703" s="288"/>
      <c r="L703" s="289"/>
      <c r="M703" s="290"/>
      <c r="N703" s="290"/>
      <c r="O703" s="291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</row>
    <row r="704" ht="13.5" customHeight="1">
      <c r="A704" s="286"/>
      <c r="B704" s="286"/>
      <c r="C704" s="286"/>
      <c r="D704" s="286"/>
      <c r="E704" s="286"/>
      <c r="F704" s="287"/>
      <c r="G704" s="286"/>
      <c r="H704" s="287"/>
      <c r="I704" s="288"/>
      <c r="J704" s="289"/>
      <c r="K704" s="288"/>
      <c r="L704" s="289"/>
      <c r="M704" s="290"/>
      <c r="N704" s="290"/>
      <c r="O704" s="291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</row>
    <row r="705" ht="13.5" customHeight="1">
      <c r="A705" s="286"/>
      <c r="B705" s="286"/>
      <c r="C705" s="286"/>
      <c r="D705" s="286"/>
      <c r="E705" s="286"/>
      <c r="F705" s="287"/>
      <c r="G705" s="286"/>
      <c r="H705" s="287"/>
      <c r="I705" s="288"/>
      <c r="J705" s="289"/>
      <c r="K705" s="288"/>
      <c r="L705" s="289"/>
      <c r="M705" s="290"/>
      <c r="N705" s="290"/>
      <c r="O705" s="291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</row>
    <row r="706" ht="13.5" customHeight="1">
      <c r="A706" s="286"/>
      <c r="B706" s="286"/>
      <c r="C706" s="286"/>
      <c r="D706" s="286"/>
      <c r="E706" s="286"/>
      <c r="F706" s="287"/>
      <c r="G706" s="286"/>
      <c r="H706" s="287"/>
      <c r="I706" s="288"/>
      <c r="J706" s="289"/>
      <c r="K706" s="288"/>
      <c r="L706" s="289"/>
      <c r="M706" s="290"/>
      <c r="N706" s="290"/>
      <c r="O706" s="291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</row>
    <row r="707" ht="13.5" customHeight="1">
      <c r="A707" s="286"/>
      <c r="B707" s="286"/>
      <c r="C707" s="286"/>
      <c r="D707" s="286"/>
      <c r="E707" s="286"/>
      <c r="F707" s="287"/>
      <c r="G707" s="286"/>
      <c r="H707" s="287"/>
      <c r="I707" s="288"/>
      <c r="J707" s="289"/>
      <c r="K707" s="288"/>
      <c r="L707" s="289"/>
      <c r="M707" s="290"/>
      <c r="N707" s="290"/>
      <c r="O707" s="291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</row>
    <row r="708" ht="13.5" customHeight="1">
      <c r="A708" s="286"/>
      <c r="B708" s="286"/>
      <c r="C708" s="286"/>
      <c r="D708" s="286"/>
      <c r="E708" s="286"/>
      <c r="F708" s="287"/>
      <c r="G708" s="286"/>
      <c r="H708" s="287"/>
      <c r="I708" s="288"/>
      <c r="J708" s="289"/>
      <c r="K708" s="288"/>
      <c r="L708" s="289"/>
      <c r="M708" s="290"/>
      <c r="N708" s="290"/>
      <c r="O708" s="291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</row>
    <row r="709" ht="13.5" customHeight="1">
      <c r="A709" s="286"/>
      <c r="B709" s="286"/>
      <c r="C709" s="286"/>
      <c r="D709" s="286"/>
      <c r="E709" s="286"/>
      <c r="F709" s="287"/>
      <c r="G709" s="286"/>
      <c r="H709" s="287"/>
      <c r="I709" s="288"/>
      <c r="J709" s="289"/>
      <c r="K709" s="288"/>
      <c r="L709" s="289"/>
      <c r="M709" s="290"/>
      <c r="N709" s="290"/>
      <c r="O709" s="291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</row>
    <row r="710" ht="13.5" customHeight="1">
      <c r="A710" s="286"/>
      <c r="B710" s="286"/>
      <c r="C710" s="286"/>
      <c r="D710" s="286"/>
      <c r="E710" s="286"/>
      <c r="F710" s="287"/>
      <c r="G710" s="286"/>
      <c r="H710" s="287"/>
      <c r="I710" s="288"/>
      <c r="J710" s="289"/>
      <c r="K710" s="288"/>
      <c r="L710" s="289"/>
      <c r="M710" s="290"/>
      <c r="N710" s="290"/>
      <c r="O710" s="291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</row>
    <row r="711" ht="13.5" customHeight="1">
      <c r="A711" s="286"/>
      <c r="B711" s="286"/>
      <c r="C711" s="286"/>
      <c r="D711" s="286"/>
      <c r="E711" s="286"/>
      <c r="F711" s="287"/>
      <c r="G711" s="286"/>
      <c r="H711" s="287"/>
      <c r="I711" s="288"/>
      <c r="J711" s="289"/>
      <c r="K711" s="288"/>
      <c r="L711" s="289"/>
      <c r="M711" s="290"/>
      <c r="N711" s="290"/>
      <c r="O711" s="291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</row>
    <row r="712" ht="13.5" customHeight="1">
      <c r="A712" s="286"/>
      <c r="B712" s="286"/>
      <c r="C712" s="286"/>
      <c r="D712" s="286"/>
      <c r="E712" s="286"/>
      <c r="F712" s="287"/>
      <c r="G712" s="286"/>
      <c r="H712" s="287"/>
      <c r="I712" s="288"/>
      <c r="J712" s="289"/>
      <c r="K712" s="288"/>
      <c r="L712" s="289"/>
      <c r="M712" s="290"/>
      <c r="N712" s="290"/>
      <c r="O712" s="291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</row>
    <row r="713" ht="13.5" customHeight="1">
      <c r="A713" s="286"/>
      <c r="B713" s="286"/>
      <c r="C713" s="286"/>
      <c r="D713" s="286"/>
      <c r="E713" s="286"/>
      <c r="F713" s="287"/>
      <c r="G713" s="286"/>
      <c r="H713" s="287"/>
      <c r="I713" s="288"/>
      <c r="J713" s="289"/>
      <c r="K713" s="288"/>
      <c r="L713" s="289"/>
      <c r="M713" s="290"/>
      <c r="N713" s="290"/>
      <c r="O713" s="291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</row>
    <row r="714" ht="13.5" customHeight="1">
      <c r="A714" s="286"/>
      <c r="B714" s="286"/>
      <c r="C714" s="286"/>
      <c r="D714" s="286"/>
      <c r="E714" s="286"/>
      <c r="F714" s="287"/>
      <c r="G714" s="286"/>
      <c r="H714" s="287"/>
      <c r="I714" s="288"/>
      <c r="J714" s="289"/>
      <c r="K714" s="288"/>
      <c r="L714" s="289"/>
      <c r="M714" s="290"/>
      <c r="N714" s="290"/>
      <c r="O714" s="291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</row>
    <row r="715" ht="13.5" customHeight="1">
      <c r="A715" s="286"/>
      <c r="B715" s="286"/>
      <c r="C715" s="286"/>
      <c r="D715" s="286"/>
      <c r="E715" s="286"/>
      <c r="F715" s="287"/>
      <c r="G715" s="286"/>
      <c r="H715" s="287"/>
      <c r="I715" s="288"/>
      <c r="J715" s="289"/>
      <c r="K715" s="288"/>
      <c r="L715" s="289"/>
      <c r="M715" s="290"/>
      <c r="N715" s="290"/>
      <c r="O715" s="291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</row>
    <row r="716" ht="13.5" customHeight="1">
      <c r="A716" s="286"/>
      <c r="B716" s="286"/>
      <c r="C716" s="286"/>
      <c r="D716" s="286"/>
      <c r="E716" s="286"/>
      <c r="F716" s="287"/>
      <c r="G716" s="286"/>
      <c r="H716" s="287"/>
      <c r="I716" s="288"/>
      <c r="J716" s="289"/>
      <c r="K716" s="288"/>
      <c r="L716" s="289"/>
      <c r="M716" s="290"/>
      <c r="N716" s="290"/>
      <c r="O716" s="291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</row>
    <row r="717" ht="13.5" customHeight="1">
      <c r="A717" s="286"/>
      <c r="B717" s="286"/>
      <c r="C717" s="286"/>
      <c r="D717" s="286"/>
      <c r="E717" s="286"/>
      <c r="F717" s="287"/>
      <c r="G717" s="286"/>
      <c r="H717" s="287"/>
      <c r="I717" s="288"/>
      <c r="J717" s="289"/>
      <c r="K717" s="288"/>
      <c r="L717" s="289"/>
      <c r="M717" s="290"/>
      <c r="N717" s="290"/>
      <c r="O717" s="291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</row>
    <row r="718" ht="13.5" customHeight="1">
      <c r="A718" s="286"/>
      <c r="B718" s="286"/>
      <c r="C718" s="286"/>
      <c r="D718" s="286"/>
      <c r="E718" s="286"/>
      <c r="F718" s="287"/>
      <c r="G718" s="286"/>
      <c r="H718" s="287"/>
      <c r="I718" s="288"/>
      <c r="J718" s="289"/>
      <c r="K718" s="288"/>
      <c r="L718" s="289"/>
      <c r="M718" s="290"/>
      <c r="N718" s="290"/>
      <c r="O718" s="291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</row>
    <row r="719" ht="13.5" customHeight="1">
      <c r="A719" s="286"/>
      <c r="B719" s="286"/>
      <c r="C719" s="286"/>
      <c r="D719" s="286"/>
      <c r="E719" s="286"/>
      <c r="F719" s="287"/>
      <c r="G719" s="286"/>
      <c r="H719" s="287"/>
      <c r="I719" s="288"/>
      <c r="J719" s="289"/>
      <c r="K719" s="288"/>
      <c r="L719" s="289"/>
      <c r="M719" s="290"/>
      <c r="N719" s="290"/>
      <c r="O719" s="291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</row>
    <row r="720" ht="13.5" customHeight="1">
      <c r="A720" s="286"/>
      <c r="B720" s="286"/>
      <c r="C720" s="286"/>
      <c r="D720" s="286"/>
      <c r="E720" s="286"/>
      <c r="F720" s="287"/>
      <c r="G720" s="286"/>
      <c r="H720" s="287"/>
      <c r="I720" s="288"/>
      <c r="J720" s="289"/>
      <c r="K720" s="288"/>
      <c r="L720" s="289"/>
      <c r="M720" s="290"/>
      <c r="N720" s="290"/>
      <c r="O720" s="291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</row>
    <row r="721" ht="13.5" customHeight="1">
      <c r="A721" s="286"/>
      <c r="B721" s="286"/>
      <c r="C721" s="286"/>
      <c r="D721" s="286"/>
      <c r="E721" s="286"/>
      <c r="F721" s="287"/>
      <c r="G721" s="286"/>
      <c r="H721" s="287"/>
      <c r="I721" s="288"/>
      <c r="J721" s="289"/>
      <c r="K721" s="288"/>
      <c r="L721" s="289"/>
      <c r="M721" s="290"/>
      <c r="N721" s="290"/>
      <c r="O721" s="291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</row>
    <row r="722" ht="13.5" customHeight="1">
      <c r="A722" s="286"/>
      <c r="B722" s="286"/>
      <c r="C722" s="286"/>
      <c r="D722" s="286"/>
      <c r="E722" s="286"/>
      <c r="F722" s="287"/>
      <c r="G722" s="286"/>
      <c r="H722" s="287"/>
      <c r="I722" s="288"/>
      <c r="J722" s="289"/>
      <c r="K722" s="288"/>
      <c r="L722" s="289"/>
      <c r="M722" s="290"/>
      <c r="N722" s="290"/>
      <c r="O722" s="291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</row>
    <row r="723" ht="13.5" customHeight="1">
      <c r="A723" s="286"/>
      <c r="B723" s="286"/>
      <c r="C723" s="286"/>
      <c r="D723" s="286"/>
      <c r="E723" s="286"/>
      <c r="F723" s="287"/>
      <c r="G723" s="286"/>
      <c r="H723" s="287"/>
      <c r="I723" s="288"/>
      <c r="J723" s="289"/>
      <c r="K723" s="288"/>
      <c r="L723" s="289"/>
      <c r="M723" s="290"/>
      <c r="N723" s="290"/>
      <c r="O723" s="291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</row>
    <row r="724" ht="13.5" customHeight="1">
      <c r="A724" s="286"/>
      <c r="B724" s="286"/>
      <c r="C724" s="286"/>
      <c r="D724" s="286"/>
      <c r="E724" s="286"/>
      <c r="F724" s="287"/>
      <c r="G724" s="286"/>
      <c r="H724" s="287"/>
      <c r="I724" s="288"/>
      <c r="J724" s="289"/>
      <c r="K724" s="288"/>
      <c r="L724" s="289"/>
      <c r="M724" s="290"/>
      <c r="N724" s="290"/>
      <c r="O724" s="291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</row>
    <row r="725" ht="13.5" customHeight="1">
      <c r="A725" s="286"/>
      <c r="B725" s="286"/>
      <c r="C725" s="286"/>
      <c r="D725" s="286"/>
      <c r="E725" s="286"/>
      <c r="F725" s="287"/>
      <c r="G725" s="286"/>
      <c r="H725" s="287"/>
      <c r="I725" s="288"/>
      <c r="J725" s="289"/>
      <c r="K725" s="288"/>
      <c r="L725" s="289"/>
      <c r="M725" s="290"/>
      <c r="N725" s="290"/>
      <c r="O725" s="291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</row>
    <row r="726" ht="13.5" customHeight="1">
      <c r="A726" s="286"/>
      <c r="B726" s="286"/>
      <c r="C726" s="286"/>
      <c r="D726" s="286"/>
      <c r="E726" s="286"/>
      <c r="F726" s="287"/>
      <c r="G726" s="286"/>
      <c r="H726" s="287"/>
      <c r="I726" s="288"/>
      <c r="J726" s="289"/>
      <c r="K726" s="288"/>
      <c r="L726" s="289"/>
      <c r="M726" s="290"/>
      <c r="N726" s="290"/>
      <c r="O726" s="291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</row>
    <row r="727" ht="13.5" customHeight="1">
      <c r="A727" s="286"/>
      <c r="B727" s="286"/>
      <c r="C727" s="286"/>
      <c r="D727" s="286"/>
      <c r="E727" s="286"/>
      <c r="F727" s="287"/>
      <c r="G727" s="286"/>
      <c r="H727" s="287"/>
      <c r="I727" s="288"/>
      <c r="J727" s="289"/>
      <c r="K727" s="288"/>
      <c r="L727" s="289"/>
      <c r="M727" s="290"/>
      <c r="N727" s="290"/>
      <c r="O727" s="291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</row>
    <row r="728" ht="13.5" customHeight="1">
      <c r="A728" s="286"/>
      <c r="B728" s="286"/>
      <c r="C728" s="286"/>
      <c r="D728" s="286"/>
      <c r="E728" s="286"/>
      <c r="F728" s="287"/>
      <c r="G728" s="286"/>
      <c r="H728" s="287"/>
      <c r="I728" s="288"/>
      <c r="J728" s="289"/>
      <c r="K728" s="288"/>
      <c r="L728" s="289"/>
      <c r="M728" s="290"/>
      <c r="N728" s="290"/>
      <c r="O728" s="291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</row>
    <row r="729" ht="13.5" customHeight="1">
      <c r="A729" s="286"/>
      <c r="B729" s="286"/>
      <c r="C729" s="286"/>
      <c r="D729" s="286"/>
      <c r="E729" s="286"/>
      <c r="F729" s="287"/>
      <c r="G729" s="286"/>
      <c r="H729" s="287"/>
      <c r="I729" s="288"/>
      <c r="J729" s="289"/>
      <c r="K729" s="288"/>
      <c r="L729" s="289"/>
      <c r="M729" s="290"/>
      <c r="N729" s="290"/>
      <c r="O729" s="291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</row>
    <row r="730" ht="13.5" customHeight="1">
      <c r="A730" s="286"/>
      <c r="B730" s="286"/>
      <c r="C730" s="286"/>
      <c r="D730" s="286"/>
      <c r="E730" s="286"/>
      <c r="F730" s="287"/>
      <c r="G730" s="286"/>
      <c r="H730" s="287"/>
      <c r="I730" s="288"/>
      <c r="J730" s="289"/>
      <c r="K730" s="288"/>
      <c r="L730" s="289"/>
      <c r="M730" s="290"/>
      <c r="N730" s="290"/>
      <c r="O730" s="291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</row>
    <row r="731" ht="13.5" customHeight="1">
      <c r="A731" s="286"/>
      <c r="B731" s="286"/>
      <c r="C731" s="286"/>
      <c r="D731" s="286"/>
      <c r="E731" s="286"/>
      <c r="F731" s="287"/>
      <c r="G731" s="286"/>
      <c r="H731" s="287"/>
      <c r="I731" s="288"/>
      <c r="J731" s="289"/>
      <c r="K731" s="288"/>
      <c r="L731" s="289"/>
      <c r="M731" s="290"/>
      <c r="N731" s="290"/>
      <c r="O731" s="291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</row>
    <row r="732" ht="13.5" customHeight="1">
      <c r="A732" s="286"/>
      <c r="B732" s="286"/>
      <c r="C732" s="286"/>
      <c r="D732" s="286"/>
      <c r="E732" s="286"/>
      <c r="F732" s="287"/>
      <c r="G732" s="286"/>
      <c r="H732" s="287"/>
      <c r="I732" s="288"/>
      <c r="J732" s="289"/>
      <c r="K732" s="288"/>
      <c r="L732" s="289"/>
      <c r="M732" s="290"/>
      <c r="N732" s="290"/>
      <c r="O732" s="291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</row>
    <row r="733" ht="13.5" customHeight="1">
      <c r="A733" s="286"/>
      <c r="B733" s="286"/>
      <c r="C733" s="286"/>
      <c r="D733" s="286"/>
      <c r="E733" s="286"/>
      <c r="F733" s="287"/>
      <c r="G733" s="286"/>
      <c r="H733" s="287"/>
      <c r="I733" s="288"/>
      <c r="J733" s="289"/>
      <c r="K733" s="288"/>
      <c r="L733" s="289"/>
      <c r="M733" s="290"/>
      <c r="N733" s="290"/>
      <c r="O733" s="291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</row>
    <row r="734" ht="13.5" customHeight="1">
      <c r="A734" s="286"/>
      <c r="B734" s="286"/>
      <c r="C734" s="286"/>
      <c r="D734" s="286"/>
      <c r="E734" s="286"/>
      <c r="F734" s="287"/>
      <c r="G734" s="286"/>
      <c r="H734" s="287"/>
      <c r="I734" s="288"/>
      <c r="J734" s="289"/>
      <c r="K734" s="288"/>
      <c r="L734" s="289"/>
      <c r="M734" s="290"/>
      <c r="N734" s="290"/>
      <c r="O734" s="291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</row>
    <row r="735" ht="13.5" customHeight="1">
      <c r="A735" s="286"/>
      <c r="B735" s="286"/>
      <c r="C735" s="286"/>
      <c r="D735" s="286"/>
      <c r="E735" s="286"/>
      <c r="F735" s="287"/>
      <c r="G735" s="286"/>
      <c r="H735" s="287"/>
      <c r="I735" s="288"/>
      <c r="J735" s="289"/>
      <c r="K735" s="288"/>
      <c r="L735" s="289"/>
      <c r="M735" s="290"/>
      <c r="N735" s="290"/>
      <c r="O735" s="291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</row>
    <row r="736" ht="13.5" customHeight="1">
      <c r="A736" s="286"/>
      <c r="B736" s="286"/>
      <c r="C736" s="286"/>
      <c r="D736" s="286"/>
      <c r="E736" s="286"/>
      <c r="F736" s="287"/>
      <c r="G736" s="286"/>
      <c r="H736" s="287"/>
      <c r="I736" s="288"/>
      <c r="J736" s="289"/>
      <c r="K736" s="288"/>
      <c r="L736" s="289"/>
      <c r="M736" s="290"/>
      <c r="N736" s="290"/>
      <c r="O736" s="291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</row>
    <row r="737" ht="13.5" customHeight="1">
      <c r="A737" s="286"/>
      <c r="B737" s="286"/>
      <c r="C737" s="286"/>
      <c r="D737" s="286"/>
      <c r="E737" s="286"/>
      <c r="F737" s="287"/>
      <c r="G737" s="286"/>
      <c r="H737" s="287"/>
      <c r="I737" s="288"/>
      <c r="J737" s="289"/>
      <c r="K737" s="288"/>
      <c r="L737" s="289"/>
      <c r="M737" s="290"/>
      <c r="N737" s="290"/>
      <c r="O737" s="291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</row>
    <row r="738" ht="13.5" customHeight="1">
      <c r="A738" s="286"/>
      <c r="B738" s="286"/>
      <c r="C738" s="286"/>
      <c r="D738" s="286"/>
      <c r="E738" s="286"/>
      <c r="F738" s="287"/>
      <c r="G738" s="286"/>
      <c r="H738" s="287"/>
      <c r="I738" s="288"/>
      <c r="J738" s="289"/>
      <c r="K738" s="288"/>
      <c r="L738" s="289"/>
      <c r="M738" s="290"/>
      <c r="N738" s="290"/>
      <c r="O738" s="291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</row>
    <row r="739" ht="13.5" customHeight="1">
      <c r="A739" s="286"/>
      <c r="B739" s="286"/>
      <c r="C739" s="286"/>
      <c r="D739" s="286"/>
      <c r="E739" s="286"/>
      <c r="F739" s="287"/>
      <c r="G739" s="286"/>
      <c r="H739" s="287"/>
      <c r="I739" s="288"/>
      <c r="J739" s="289"/>
      <c r="K739" s="288"/>
      <c r="L739" s="289"/>
      <c r="M739" s="290"/>
      <c r="N739" s="290"/>
      <c r="O739" s="291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</row>
    <row r="740" ht="13.5" customHeight="1">
      <c r="A740" s="286"/>
      <c r="B740" s="286"/>
      <c r="C740" s="286"/>
      <c r="D740" s="286"/>
      <c r="E740" s="286"/>
      <c r="F740" s="287"/>
      <c r="G740" s="286"/>
      <c r="H740" s="287"/>
      <c r="I740" s="288"/>
      <c r="J740" s="289"/>
      <c r="K740" s="288"/>
      <c r="L740" s="289"/>
      <c r="M740" s="290"/>
      <c r="N740" s="290"/>
      <c r="O740" s="291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</row>
    <row r="741" ht="13.5" customHeight="1">
      <c r="A741" s="286"/>
      <c r="B741" s="286"/>
      <c r="C741" s="286"/>
      <c r="D741" s="286"/>
      <c r="E741" s="286"/>
      <c r="F741" s="287"/>
      <c r="G741" s="286"/>
      <c r="H741" s="287"/>
      <c r="I741" s="288"/>
      <c r="J741" s="289"/>
      <c r="K741" s="288"/>
      <c r="L741" s="289"/>
      <c r="M741" s="290"/>
      <c r="N741" s="290"/>
      <c r="O741" s="291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</row>
    <row r="742" ht="13.5" customHeight="1">
      <c r="A742" s="286"/>
      <c r="B742" s="286"/>
      <c r="C742" s="286"/>
      <c r="D742" s="286"/>
      <c r="E742" s="286"/>
      <c r="F742" s="287"/>
      <c r="G742" s="286"/>
      <c r="H742" s="287"/>
      <c r="I742" s="288"/>
      <c r="J742" s="289"/>
      <c r="K742" s="288"/>
      <c r="L742" s="289"/>
      <c r="M742" s="290"/>
      <c r="N742" s="290"/>
      <c r="O742" s="291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</row>
    <row r="743" ht="13.5" customHeight="1">
      <c r="A743" s="286"/>
      <c r="B743" s="286"/>
      <c r="C743" s="286"/>
      <c r="D743" s="286"/>
      <c r="E743" s="286"/>
      <c r="F743" s="287"/>
      <c r="G743" s="286"/>
      <c r="H743" s="287"/>
      <c r="I743" s="288"/>
      <c r="J743" s="289"/>
      <c r="K743" s="288"/>
      <c r="L743" s="289"/>
      <c r="M743" s="290"/>
      <c r="N743" s="290"/>
      <c r="O743" s="291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</row>
    <row r="744" ht="13.5" customHeight="1">
      <c r="A744" s="286"/>
      <c r="B744" s="286"/>
      <c r="C744" s="286"/>
      <c r="D744" s="286"/>
      <c r="E744" s="286"/>
      <c r="F744" s="287"/>
      <c r="G744" s="286"/>
      <c r="H744" s="287"/>
      <c r="I744" s="288"/>
      <c r="J744" s="289"/>
      <c r="K744" s="288"/>
      <c r="L744" s="289"/>
      <c r="M744" s="290"/>
      <c r="N744" s="290"/>
      <c r="O744" s="291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</row>
    <row r="745" ht="13.5" customHeight="1">
      <c r="A745" s="286"/>
      <c r="B745" s="286"/>
      <c r="C745" s="286"/>
      <c r="D745" s="286"/>
      <c r="E745" s="286"/>
      <c r="F745" s="287"/>
      <c r="G745" s="286"/>
      <c r="H745" s="287"/>
      <c r="I745" s="288"/>
      <c r="J745" s="289"/>
      <c r="K745" s="288"/>
      <c r="L745" s="289"/>
      <c r="M745" s="290"/>
      <c r="N745" s="290"/>
      <c r="O745" s="291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</row>
    <row r="746" ht="13.5" customHeight="1">
      <c r="A746" s="286"/>
      <c r="B746" s="286"/>
      <c r="C746" s="286"/>
      <c r="D746" s="286"/>
      <c r="E746" s="286"/>
      <c r="F746" s="287"/>
      <c r="G746" s="286"/>
      <c r="H746" s="287"/>
      <c r="I746" s="288"/>
      <c r="J746" s="289"/>
      <c r="K746" s="288"/>
      <c r="L746" s="289"/>
      <c r="M746" s="290"/>
      <c r="N746" s="290"/>
      <c r="O746" s="291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</row>
    <row r="747" ht="13.5" customHeight="1">
      <c r="A747" s="286"/>
      <c r="B747" s="286"/>
      <c r="C747" s="286"/>
      <c r="D747" s="286"/>
      <c r="E747" s="286"/>
      <c r="F747" s="287"/>
      <c r="G747" s="286"/>
      <c r="H747" s="287"/>
      <c r="I747" s="288"/>
      <c r="J747" s="289"/>
      <c r="K747" s="288"/>
      <c r="L747" s="289"/>
      <c r="M747" s="290"/>
      <c r="N747" s="290"/>
      <c r="O747" s="291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</row>
    <row r="748" ht="13.5" customHeight="1">
      <c r="A748" s="286"/>
      <c r="B748" s="286"/>
      <c r="C748" s="286"/>
      <c r="D748" s="286"/>
      <c r="E748" s="286"/>
      <c r="F748" s="287"/>
      <c r="G748" s="286"/>
      <c r="H748" s="287"/>
      <c r="I748" s="288"/>
      <c r="J748" s="289"/>
      <c r="K748" s="288"/>
      <c r="L748" s="289"/>
      <c r="M748" s="290"/>
      <c r="N748" s="290"/>
      <c r="O748" s="291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</row>
    <row r="749" ht="13.5" customHeight="1">
      <c r="A749" s="286"/>
      <c r="B749" s="286"/>
      <c r="C749" s="286"/>
      <c r="D749" s="286"/>
      <c r="E749" s="286"/>
      <c r="F749" s="287"/>
      <c r="G749" s="286"/>
      <c r="H749" s="287"/>
      <c r="I749" s="288"/>
      <c r="J749" s="289"/>
      <c r="K749" s="288"/>
      <c r="L749" s="289"/>
      <c r="M749" s="290"/>
      <c r="N749" s="290"/>
      <c r="O749" s="291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</row>
    <row r="750" ht="13.5" customHeight="1">
      <c r="A750" s="286"/>
      <c r="B750" s="286"/>
      <c r="C750" s="286"/>
      <c r="D750" s="286"/>
      <c r="E750" s="286"/>
      <c r="F750" s="287"/>
      <c r="G750" s="286"/>
      <c r="H750" s="287"/>
      <c r="I750" s="288"/>
      <c r="J750" s="289"/>
      <c r="K750" s="288"/>
      <c r="L750" s="289"/>
      <c r="M750" s="290"/>
      <c r="N750" s="290"/>
      <c r="O750" s="291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</row>
    <row r="751" ht="13.5" customHeight="1">
      <c r="A751" s="286"/>
      <c r="B751" s="286"/>
      <c r="C751" s="286"/>
      <c r="D751" s="286"/>
      <c r="E751" s="286"/>
      <c r="F751" s="287"/>
      <c r="G751" s="286"/>
      <c r="H751" s="287"/>
      <c r="I751" s="288"/>
      <c r="J751" s="289"/>
      <c r="K751" s="288"/>
      <c r="L751" s="289"/>
      <c r="M751" s="290"/>
      <c r="N751" s="290"/>
      <c r="O751" s="291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</row>
    <row r="752" ht="13.5" customHeight="1">
      <c r="A752" s="286"/>
      <c r="B752" s="286"/>
      <c r="C752" s="286"/>
      <c r="D752" s="286"/>
      <c r="E752" s="286"/>
      <c r="F752" s="287"/>
      <c r="G752" s="286"/>
      <c r="H752" s="287"/>
      <c r="I752" s="288"/>
      <c r="J752" s="289"/>
      <c r="K752" s="288"/>
      <c r="L752" s="289"/>
      <c r="M752" s="290"/>
      <c r="N752" s="290"/>
      <c r="O752" s="291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</row>
    <row r="753" ht="13.5" customHeight="1">
      <c r="A753" s="286"/>
      <c r="B753" s="286"/>
      <c r="C753" s="286"/>
      <c r="D753" s="286"/>
      <c r="E753" s="286"/>
      <c r="F753" s="287"/>
      <c r="G753" s="286"/>
      <c r="H753" s="287"/>
      <c r="I753" s="288"/>
      <c r="J753" s="289"/>
      <c r="K753" s="288"/>
      <c r="L753" s="289"/>
      <c r="M753" s="290"/>
      <c r="N753" s="290"/>
      <c r="O753" s="291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</row>
    <row r="754" ht="13.5" customHeight="1">
      <c r="A754" s="286"/>
      <c r="B754" s="286"/>
      <c r="C754" s="286"/>
      <c r="D754" s="286"/>
      <c r="E754" s="286"/>
      <c r="F754" s="287"/>
      <c r="G754" s="286"/>
      <c r="H754" s="287"/>
      <c r="I754" s="288"/>
      <c r="J754" s="289"/>
      <c r="K754" s="288"/>
      <c r="L754" s="289"/>
      <c r="M754" s="290"/>
      <c r="N754" s="290"/>
      <c r="O754" s="291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</row>
    <row r="755" ht="13.5" customHeight="1">
      <c r="A755" s="286"/>
      <c r="B755" s="286"/>
      <c r="C755" s="286"/>
      <c r="D755" s="286"/>
      <c r="E755" s="286"/>
      <c r="F755" s="287"/>
      <c r="G755" s="286"/>
      <c r="H755" s="287"/>
      <c r="I755" s="288"/>
      <c r="J755" s="289"/>
      <c r="K755" s="288"/>
      <c r="L755" s="289"/>
      <c r="M755" s="290"/>
      <c r="N755" s="290"/>
      <c r="O755" s="291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</row>
    <row r="756" ht="13.5" customHeight="1">
      <c r="A756" s="286"/>
      <c r="B756" s="286"/>
      <c r="C756" s="286"/>
      <c r="D756" s="286"/>
      <c r="E756" s="286"/>
      <c r="F756" s="287"/>
      <c r="G756" s="286"/>
      <c r="H756" s="287"/>
      <c r="I756" s="288"/>
      <c r="J756" s="289"/>
      <c r="K756" s="288"/>
      <c r="L756" s="289"/>
      <c r="M756" s="290"/>
      <c r="N756" s="290"/>
      <c r="O756" s="291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</row>
    <row r="757" ht="13.5" customHeight="1">
      <c r="A757" s="286"/>
      <c r="B757" s="286"/>
      <c r="C757" s="286"/>
      <c r="D757" s="286"/>
      <c r="E757" s="286"/>
      <c r="F757" s="287"/>
      <c r="G757" s="286"/>
      <c r="H757" s="287"/>
      <c r="I757" s="288"/>
      <c r="J757" s="289"/>
      <c r="K757" s="288"/>
      <c r="L757" s="289"/>
      <c r="M757" s="290"/>
      <c r="N757" s="290"/>
      <c r="O757" s="291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</row>
    <row r="758" ht="13.5" customHeight="1">
      <c r="A758" s="286"/>
      <c r="B758" s="286"/>
      <c r="C758" s="286"/>
      <c r="D758" s="286"/>
      <c r="E758" s="286"/>
      <c r="F758" s="287"/>
      <c r="G758" s="286"/>
      <c r="H758" s="287"/>
      <c r="I758" s="288"/>
      <c r="J758" s="289"/>
      <c r="K758" s="288"/>
      <c r="L758" s="289"/>
      <c r="M758" s="290"/>
      <c r="N758" s="290"/>
      <c r="O758" s="291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</row>
    <row r="759" ht="13.5" customHeight="1">
      <c r="A759" s="286"/>
      <c r="B759" s="286"/>
      <c r="C759" s="286"/>
      <c r="D759" s="286"/>
      <c r="E759" s="286"/>
      <c r="F759" s="287"/>
      <c r="G759" s="286"/>
      <c r="H759" s="287"/>
      <c r="I759" s="288"/>
      <c r="J759" s="289"/>
      <c r="K759" s="288"/>
      <c r="L759" s="289"/>
      <c r="M759" s="290"/>
      <c r="N759" s="290"/>
      <c r="O759" s="291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</row>
    <row r="760" ht="13.5" customHeight="1">
      <c r="A760" s="286"/>
      <c r="B760" s="286"/>
      <c r="C760" s="286"/>
      <c r="D760" s="286"/>
      <c r="E760" s="286"/>
      <c r="F760" s="287"/>
      <c r="G760" s="286"/>
      <c r="H760" s="287"/>
      <c r="I760" s="288"/>
      <c r="J760" s="289"/>
      <c r="K760" s="288"/>
      <c r="L760" s="289"/>
      <c r="M760" s="290"/>
      <c r="N760" s="290"/>
      <c r="O760" s="291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</row>
    <row r="761" ht="13.5" customHeight="1">
      <c r="A761" s="286"/>
      <c r="B761" s="286"/>
      <c r="C761" s="286"/>
      <c r="D761" s="286"/>
      <c r="E761" s="286"/>
      <c r="F761" s="287"/>
      <c r="G761" s="286"/>
      <c r="H761" s="287"/>
      <c r="I761" s="288"/>
      <c r="J761" s="289"/>
      <c r="K761" s="288"/>
      <c r="L761" s="289"/>
      <c r="M761" s="290"/>
      <c r="N761" s="290"/>
      <c r="O761" s="291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</row>
    <row r="762" ht="13.5" customHeight="1">
      <c r="A762" s="286"/>
      <c r="B762" s="286"/>
      <c r="C762" s="286"/>
      <c r="D762" s="286"/>
      <c r="E762" s="286"/>
      <c r="F762" s="287"/>
      <c r="G762" s="286"/>
      <c r="H762" s="287"/>
      <c r="I762" s="288"/>
      <c r="J762" s="289"/>
      <c r="K762" s="288"/>
      <c r="L762" s="289"/>
      <c r="M762" s="290"/>
      <c r="N762" s="290"/>
      <c r="O762" s="291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</row>
    <row r="763" ht="13.5" customHeight="1">
      <c r="A763" s="286"/>
      <c r="B763" s="286"/>
      <c r="C763" s="286"/>
      <c r="D763" s="286"/>
      <c r="E763" s="286"/>
      <c r="F763" s="287"/>
      <c r="G763" s="286"/>
      <c r="H763" s="287"/>
      <c r="I763" s="288"/>
      <c r="J763" s="289"/>
      <c r="K763" s="288"/>
      <c r="L763" s="289"/>
      <c r="M763" s="290"/>
      <c r="N763" s="290"/>
      <c r="O763" s="291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</row>
    <row r="764" ht="13.5" customHeight="1">
      <c r="A764" s="286"/>
      <c r="B764" s="286"/>
      <c r="C764" s="286"/>
      <c r="D764" s="286"/>
      <c r="E764" s="286"/>
      <c r="F764" s="287"/>
      <c r="G764" s="286"/>
      <c r="H764" s="287"/>
      <c r="I764" s="288"/>
      <c r="J764" s="289"/>
      <c r="K764" s="288"/>
      <c r="L764" s="289"/>
      <c r="M764" s="290"/>
      <c r="N764" s="290"/>
      <c r="O764" s="291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</row>
    <row r="765" ht="13.5" customHeight="1">
      <c r="A765" s="286"/>
      <c r="B765" s="286"/>
      <c r="C765" s="286"/>
      <c r="D765" s="286"/>
      <c r="E765" s="286"/>
      <c r="F765" s="287"/>
      <c r="G765" s="286"/>
      <c r="H765" s="287"/>
      <c r="I765" s="288"/>
      <c r="J765" s="289"/>
      <c r="K765" s="288"/>
      <c r="L765" s="289"/>
      <c r="M765" s="290"/>
      <c r="N765" s="290"/>
      <c r="O765" s="291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</row>
    <row r="766" ht="13.5" customHeight="1">
      <c r="A766" s="286"/>
      <c r="B766" s="286"/>
      <c r="C766" s="286"/>
      <c r="D766" s="286"/>
      <c r="E766" s="286"/>
      <c r="F766" s="287"/>
      <c r="G766" s="286"/>
      <c r="H766" s="287"/>
      <c r="I766" s="288"/>
      <c r="J766" s="289"/>
      <c r="K766" s="288"/>
      <c r="L766" s="289"/>
      <c r="M766" s="290"/>
      <c r="N766" s="290"/>
      <c r="O766" s="291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</row>
    <row r="767" ht="13.5" customHeight="1">
      <c r="A767" s="286"/>
      <c r="B767" s="286"/>
      <c r="C767" s="286"/>
      <c r="D767" s="286"/>
      <c r="E767" s="286"/>
      <c r="F767" s="287"/>
      <c r="G767" s="286"/>
      <c r="H767" s="287"/>
      <c r="I767" s="288"/>
      <c r="J767" s="289"/>
      <c r="K767" s="288"/>
      <c r="L767" s="289"/>
      <c r="M767" s="290"/>
      <c r="N767" s="290"/>
      <c r="O767" s="291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</row>
    <row r="768" ht="13.5" customHeight="1">
      <c r="A768" s="286"/>
      <c r="B768" s="286"/>
      <c r="C768" s="286"/>
      <c r="D768" s="286"/>
      <c r="E768" s="286"/>
      <c r="F768" s="287"/>
      <c r="G768" s="286"/>
      <c r="H768" s="287"/>
      <c r="I768" s="288"/>
      <c r="J768" s="289"/>
      <c r="K768" s="288"/>
      <c r="L768" s="289"/>
      <c r="M768" s="290"/>
      <c r="N768" s="290"/>
      <c r="O768" s="291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</row>
    <row r="769" ht="13.5" customHeight="1">
      <c r="A769" s="286"/>
      <c r="B769" s="286"/>
      <c r="C769" s="286"/>
      <c r="D769" s="286"/>
      <c r="E769" s="286"/>
      <c r="F769" s="287"/>
      <c r="G769" s="286"/>
      <c r="H769" s="287"/>
      <c r="I769" s="288"/>
      <c r="J769" s="289"/>
      <c r="K769" s="288"/>
      <c r="L769" s="289"/>
      <c r="M769" s="290"/>
      <c r="N769" s="290"/>
      <c r="O769" s="291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</row>
    <row r="770" ht="13.5" customHeight="1">
      <c r="A770" s="286"/>
      <c r="B770" s="286"/>
      <c r="C770" s="286"/>
      <c r="D770" s="286"/>
      <c r="E770" s="286"/>
      <c r="F770" s="287"/>
      <c r="G770" s="286"/>
      <c r="H770" s="287"/>
      <c r="I770" s="288"/>
      <c r="J770" s="289"/>
      <c r="K770" s="288"/>
      <c r="L770" s="289"/>
      <c r="M770" s="290"/>
      <c r="N770" s="290"/>
      <c r="O770" s="291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</row>
    <row r="771" ht="13.5" customHeight="1">
      <c r="A771" s="286"/>
      <c r="B771" s="286"/>
      <c r="C771" s="286"/>
      <c r="D771" s="286"/>
      <c r="E771" s="286"/>
      <c r="F771" s="287"/>
      <c r="G771" s="286"/>
      <c r="H771" s="287"/>
      <c r="I771" s="288"/>
      <c r="J771" s="289"/>
      <c r="K771" s="288"/>
      <c r="L771" s="289"/>
      <c r="M771" s="290"/>
      <c r="N771" s="290"/>
      <c r="O771" s="291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</row>
    <row r="772" ht="13.5" customHeight="1">
      <c r="A772" s="286"/>
      <c r="B772" s="286"/>
      <c r="C772" s="286"/>
      <c r="D772" s="286"/>
      <c r="E772" s="286"/>
      <c r="F772" s="287"/>
      <c r="G772" s="286"/>
      <c r="H772" s="287"/>
      <c r="I772" s="288"/>
      <c r="J772" s="289"/>
      <c r="K772" s="288"/>
      <c r="L772" s="289"/>
      <c r="M772" s="290"/>
      <c r="N772" s="290"/>
      <c r="O772" s="291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</row>
    <row r="773" ht="13.5" customHeight="1">
      <c r="A773" s="286"/>
      <c r="B773" s="286"/>
      <c r="C773" s="286"/>
      <c r="D773" s="286"/>
      <c r="E773" s="286"/>
      <c r="F773" s="287"/>
      <c r="G773" s="286"/>
      <c r="H773" s="287"/>
      <c r="I773" s="288"/>
      <c r="J773" s="289"/>
      <c r="K773" s="288"/>
      <c r="L773" s="289"/>
      <c r="M773" s="290"/>
      <c r="N773" s="290"/>
      <c r="O773" s="291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</row>
    <row r="774" ht="13.5" customHeight="1">
      <c r="A774" s="286"/>
      <c r="B774" s="286"/>
      <c r="C774" s="286"/>
      <c r="D774" s="286"/>
      <c r="E774" s="286"/>
      <c r="F774" s="287"/>
      <c r="G774" s="286"/>
      <c r="H774" s="287"/>
      <c r="I774" s="288"/>
      <c r="J774" s="289"/>
      <c r="K774" s="288"/>
      <c r="L774" s="289"/>
      <c r="M774" s="290"/>
      <c r="N774" s="290"/>
      <c r="O774" s="291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</row>
    <row r="775" ht="13.5" customHeight="1">
      <c r="A775" s="286"/>
      <c r="B775" s="286"/>
      <c r="C775" s="286"/>
      <c r="D775" s="286"/>
      <c r="E775" s="286"/>
      <c r="F775" s="287"/>
      <c r="G775" s="286"/>
      <c r="H775" s="287"/>
      <c r="I775" s="288"/>
      <c r="J775" s="289"/>
      <c r="K775" s="288"/>
      <c r="L775" s="289"/>
      <c r="M775" s="290"/>
      <c r="N775" s="290"/>
      <c r="O775" s="291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</row>
    <row r="776" ht="13.5" customHeight="1">
      <c r="A776" s="286"/>
      <c r="B776" s="286"/>
      <c r="C776" s="286"/>
      <c r="D776" s="286"/>
      <c r="E776" s="286"/>
      <c r="F776" s="287"/>
      <c r="G776" s="286"/>
      <c r="H776" s="287"/>
      <c r="I776" s="288"/>
      <c r="J776" s="289"/>
      <c r="K776" s="288"/>
      <c r="L776" s="289"/>
      <c r="M776" s="290"/>
      <c r="N776" s="290"/>
      <c r="O776" s="291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</row>
    <row r="777" ht="13.5" customHeight="1">
      <c r="A777" s="286"/>
      <c r="B777" s="286"/>
      <c r="C777" s="286"/>
      <c r="D777" s="286"/>
      <c r="E777" s="286"/>
      <c r="F777" s="287"/>
      <c r="G777" s="286"/>
      <c r="H777" s="287"/>
      <c r="I777" s="288"/>
      <c r="J777" s="289"/>
      <c r="K777" s="288"/>
      <c r="L777" s="289"/>
      <c r="M777" s="290"/>
      <c r="N777" s="290"/>
      <c r="O777" s="291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</row>
    <row r="778" ht="13.5" customHeight="1">
      <c r="A778" s="286"/>
      <c r="B778" s="286"/>
      <c r="C778" s="286"/>
      <c r="D778" s="286"/>
      <c r="E778" s="286"/>
      <c r="F778" s="287"/>
      <c r="G778" s="286"/>
      <c r="H778" s="287"/>
      <c r="I778" s="288"/>
      <c r="J778" s="289"/>
      <c r="K778" s="288"/>
      <c r="L778" s="289"/>
      <c r="M778" s="290"/>
      <c r="N778" s="290"/>
      <c r="O778" s="291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</row>
    <row r="779" ht="13.5" customHeight="1">
      <c r="A779" s="286"/>
      <c r="B779" s="286"/>
      <c r="C779" s="286"/>
      <c r="D779" s="286"/>
      <c r="E779" s="286"/>
      <c r="F779" s="287"/>
      <c r="G779" s="286"/>
      <c r="H779" s="287"/>
      <c r="I779" s="288"/>
      <c r="J779" s="289"/>
      <c r="K779" s="288"/>
      <c r="L779" s="289"/>
      <c r="M779" s="290"/>
      <c r="N779" s="290"/>
      <c r="O779" s="291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</row>
    <row r="780" ht="13.5" customHeight="1">
      <c r="A780" s="286"/>
      <c r="B780" s="286"/>
      <c r="C780" s="286"/>
      <c r="D780" s="286"/>
      <c r="E780" s="286"/>
      <c r="F780" s="287"/>
      <c r="G780" s="286"/>
      <c r="H780" s="287"/>
      <c r="I780" s="288"/>
      <c r="J780" s="289"/>
      <c r="K780" s="288"/>
      <c r="L780" s="289"/>
      <c r="M780" s="290"/>
      <c r="N780" s="290"/>
      <c r="O780" s="291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</row>
    <row r="781" ht="13.5" customHeight="1">
      <c r="A781" s="286"/>
      <c r="B781" s="286"/>
      <c r="C781" s="286"/>
      <c r="D781" s="286"/>
      <c r="E781" s="286"/>
      <c r="F781" s="287"/>
      <c r="G781" s="286"/>
      <c r="H781" s="287"/>
      <c r="I781" s="288"/>
      <c r="J781" s="289"/>
      <c r="K781" s="288"/>
      <c r="L781" s="289"/>
      <c r="M781" s="290"/>
      <c r="N781" s="290"/>
      <c r="O781" s="291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</row>
    <row r="782" ht="13.5" customHeight="1">
      <c r="A782" s="286"/>
      <c r="B782" s="286"/>
      <c r="C782" s="286"/>
      <c r="D782" s="286"/>
      <c r="E782" s="286"/>
      <c r="F782" s="287"/>
      <c r="G782" s="286"/>
      <c r="H782" s="287"/>
      <c r="I782" s="288"/>
      <c r="J782" s="289"/>
      <c r="K782" s="288"/>
      <c r="L782" s="289"/>
      <c r="M782" s="290"/>
      <c r="N782" s="290"/>
      <c r="O782" s="291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</row>
    <row r="783" ht="13.5" customHeight="1">
      <c r="A783" s="286"/>
      <c r="B783" s="286"/>
      <c r="C783" s="286"/>
      <c r="D783" s="286"/>
      <c r="E783" s="286"/>
      <c r="F783" s="287"/>
      <c r="G783" s="286"/>
      <c r="H783" s="287"/>
      <c r="I783" s="288"/>
      <c r="J783" s="289"/>
      <c r="K783" s="288"/>
      <c r="L783" s="289"/>
      <c r="M783" s="290"/>
      <c r="N783" s="290"/>
      <c r="O783" s="291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</row>
    <row r="784" ht="13.5" customHeight="1">
      <c r="A784" s="286"/>
      <c r="B784" s="286"/>
      <c r="C784" s="286"/>
      <c r="D784" s="286"/>
      <c r="E784" s="286"/>
      <c r="F784" s="287"/>
      <c r="G784" s="286"/>
      <c r="H784" s="287"/>
      <c r="I784" s="288"/>
      <c r="J784" s="289"/>
      <c r="K784" s="288"/>
      <c r="L784" s="289"/>
      <c r="M784" s="290"/>
      <c r="N784" s="290"/>
      <c r="O784" s="291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</row>
    <row r="785" ht="13.5" customHeight="1">
      <c r="A785" s="286"/>
      <c r="B785" s="286"/>
      <c r="C785" s="286"/>
      <c r="D785" s="286"/>
      <c r="E785" s="286"/>
      <c r="F785" s="287"/>
      <c r="G785" s="286"/>
      <c r="H785" s="287"/>
      <c r="I785" s="288"/>
      <c r="J785" s="289"/>
      <c r="K785" s="288"/>
      <c r="L785" s="289"/>
      <c r="M785" s="290"/>
      <c r="N785" s="290"/>
      <c r="O785" s="291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</row>
    <row r="786" ht="13.5" customHeight="1">
      <c r="A786" s="286"/>
      <c r="B786" s="286"/>
      <c r="C786" s="286"/>
      <c r="D786" s="286"/>
      <c r="E786" s="286"/>
      <c r="F786" s="287"/>
      <c r="G786" s="286"/>
      <c r="H786" s="287"/>
      <c r="I786" s="288"/>
      <c r="J786" s="289"/>
      <c r="K786" s="288"/>
      <c r="L786" s="289"/>
      <c r="M786" s="290"/>
      <c r="N786" s="290"/>
      <c r="O786" s="291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</row>
    <row r="787" ht="13.5" customHeight="1">
      <c r="A787" s="286"/>
      <c r="B787" s="286"/>
      <c r="C787" s="286"/>
      <c r="D787" s="286"/>
      <c r="E787" s="286"/>
      <c r="F787" s="287"/>
      <c r="G787" s="286"/>
      <c r="H787" s="287"/>
      <c r="I787" s="288"/>
      <c r="J787" s="289"/>
      <c r="K787" s="288"/>
      <c r="L787" s="289"/>
      <c r="M787" s="290"/>
      <c r="N787" s="290"/>
      <c r="O787" s="291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</row>
    <row r="788" ht="13.5" customHeight="1">
      <c r="A788" s="286"/>
      <c r="B788" s="286"/>
      <c r="C788" s="286"/>
      <c r="D788" s="286"/>
      <c r="E788" s="286"/>
      <c r="F788" s="287"/>
      <c r="G788" s="286"/>
      <c r="H788" s="287"/>
      <c r="I788" s="288"/>
      <c r="J788" s="289"/>
      <c r="K788" s="288"/>
      <c r="L788" s="289"/>
      <c r="M788" s="290"/>
      <c r="N788" s="290"/>
      <c r="O788" s="291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</row>
    <row r="789" ht="13.5" customHeight="1">
      <c r="A789" s="286"/>
      <c r="B789" s="286"/>
      <c r="C789" s="286"/>
      <c r="D789" s="286"/>
      <c r="E789" s="286"/>
      <c r="F789" s="287"/>
      <c r="G789" s="286"/>
      <c r="H789" s="287"/>
      <c r="I789" s="288"/>
      <c r="J789" s="289"/>
      <c r="K789" s="288"/>
      <c r="L789" s="289"/>
      <c r="M789" s="290"/>
      <c r="N789" s="290"/>
      <c r="O789" s="291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</row>
    <row r="790" ht="13.5" customHeight="1">
      <c r="A790" s="286"/>
      <c r="B790" s="286"/>
      <c r="C790" s="286"/>
      <c r="D790" s="286"/>
      <c r="E790" s="286"/>
      <c r="F790" s="287"/>
      <c r="G790" s="286"/>
      <c r="H790" s="287"/>
      <c r="I790" s="288"/>
      <c r="J790" s="289"/>
      <c r="K790" s="288"/>
      <c r="L790" s="289"/>
      <c r="M790" s="290"/>
      <c r="N790" s="290"/>
      <c r="O790" s="291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</row>
    <row r="791" ht="13.5" customHeight="1">
      <c r="A791" s="286"/>
      <c r="B791" s="286"/>
      <c r="C791" s="286"/>
      <c r="D791" s="286"/>
      <c r="E791" s="286"/>
      <c r="F791" s="287"/>
      <c r="G791" s="286"/>
      <c r="H791" s="287"/>
      <c r="I791" s="288"/>
      <c r="J791" s="289"/>
      <c r="K791" s="288"/>
      <c r="L791" s="289"/>
      <c r="M791" s="290"/>
      <c r="N791" s="290"/>
      <c r="O791" s="291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</row>
    <row r="792" ht="13.5" customHeight="1">
      <c r="A792" s="286"/>
      <c r="B792" s="286"/>
      <c r="C792" s="286"/>
      <c r="D792" s="286"/>
      <c r="E792" s="286"/>
      <c r="F792" s="287"/>
      <c r="G792" s="286"/>
      <c r="H792" s="287"/>
      <c r="I792" s="288"/>
      <c r="J792" s="289"/>
      <c r="K792" s="288"/>
      <c r="L792" s="289"/>
      <c r="M792" s="290"/>
      <c r="N792" s="290"/>
      <c r="O792" s="291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</row>
    <row r="793" ht="13.5" customHeight="1">
      <c r="A793" s="286"/>
      <c r="B793" s="286"/>
      <c r="C793" s="286"/>
      <c r="D793" s="286"/>
      <c r="E793" s="286"/>
      <c r="F793" s="287"/>
      <c r="G793" s="286"/>
      <c r="H793" s="287"/>
      <c r="I793" s="288"/>
      <c r="J793" s="289"/>
      <c r="K793" s="288"/>
      <c r="L793" s="289"/>
      <c r="M793" s="290"/>
      <c r="N793" s="290"/>
      <c r="O793" s="291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</row>
    <row r="794" ht="13.5" customHeight="1">
      <c r="A794" s="286"/>
      <c r="B794" s="286"/>
      <c r="C794" s="286"/>
      <c r="D794" s="286"/>
      <c r="E794" s="286"/>
      <c r="F794" s="287"/>
      <c r="G794" s="286"/>
      <c r="H794" s="287"/>
      <c r="I794" s="288"/>
      <c r="J794" s="289"/>
      <c r="K794" s="288"/>
      <c r="L794" s="289"/>
      <c r="M794" s="290"/>
      <c r="N794" s="290"/>
      <c r="O794" s="291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</row>
    <row r="795" ht="13.5" customHeight="1">
      <c r="A795" s="286"/>
      <c r="B795" s="286"/>
      <c r="C795" s="286"/>
      <c r="D795" s="286"/>
      <c r="E795" s="286"/>
      <c r="F795" s="287"/>
      <c r="G795" s="286"/>
      <c r="H795" s="287"/>
      <c r="I795" s="288"/>
      <c r="J795" s="289"/>
      <c r="K795" s="288"/>
      <c r="L795" s="289"/>
      <c r="M795" s="290"/>
      <c r="N795" s="290"/>
      <c r="O795" s="291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</row>
    <row r="796" ht="13.5" customHeight="1">
      <c r="A796" s="286"/>
      <c r="B796" s="286"/>
      <c r="C796" s="286"/>
      <c r="D796" s="286"/>
      <c r="E796" s="286"/>
      <c r="F796" s="287"/>
      <c r="G796" s="286"/>
      <c r="H796" s="287"/>
      <c r="I796" s="288"/>
      <c r="J796" s="289"/>
      <c r="K796" s="288"/>
      <c r="L796" s="289"/>
      <c r="M796" s="290"/>
      <c r="N796" s="290"/>
      <c r="O796" s="291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</row>
    <row r="797" ht="13.5" customHeight="1">
      <c r="A797" s="286"/>
      <c r="B797" s="286"/>
      <c r="C797" s="286"/>
      <c r="D797" s="286"/>
      <c r="E797" s="286"/>
      <c r="F797" s="287"/>
      <c r="G797" s="286"/>
      <c r="H797" s="287"/>
      <c r="I797" s="288"/>
      <c r="J797" s="289"/>
      <c r="K797" s="288"/>
      <c r="L797" s="289"/>
      <c r="M797" s="290"/>
      <c r="N797" s="290"/>
      <c r="O797" s="291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</row>
    <row r="798" ht="13.5" customHeight="1">
      <c r="A798" s="286"/>
      <c r="B798" s="286"/>
      <c r="C798" s="286"/>
      <c r="D798" s="286"/>
      <c r="E798" s="286"/>
      <c r="F798" s="287"/>
      <c r="G798" s="286"/>
      <c r="H798" s="287"/>
      <c r="I798" s="288"/>
      <c r="J798" s="289"/>
      <c r="K798" s="288"/>
      <c r="L798" s="289"/>
      <c r="M798" s="290"/>
      <c r="N798" s="290"/>
      <c r="O798" s="291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</row>
    <row r="799" ht="13.5" customHeight="1">
      <c r="A799" s="286"/>
      <c r="B799" s="286"/>
      <c r="C799" s="286"/>
      <c r="D799" s="286"/>
      <c r="E799" s="286"/>
      <c r="F799" s="287"/>
      <c r="G799" s="286"/>
      <c r="H799" s="287"/>
      <c r="I799" s="288"/>
      <c r="J799" s="289"/>
      <c r="K799" s="288"/>
      <c r="L799" s="289"/>
      <c r="M799" s="290"/>
      <c r="N799" s="290"/>
      <c r="O799" s="291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</row>
    <row r="800" ht="13.5" customHeight="1">
      <c r="A800" s="286"/>
      <c r="B800" s="286"/>
      <c r="C800" s="286"/>
      <c r="D800" s="286"/>
      <c r="E800" s="286"/>
      <c r="F800" s="287"/>
      <c r="G800" s="286"/>
      <c r="H800" s="287"/>
      <c r="I800" s="288"/>
      <c r="J800" s="289"/>
      <c r="K800" s="288"/>
      <c r="L800" s="289"/>
      <c r="M800" s="290"/>
      <c r="N800" s="290"/>
      <c r="O800" s="291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</row>
    <row r="801" ht="13.5" customHeight="1">
      <c r="A801" s="286"/>
      <c r="B801" s="286"/>
      <c r="C801" s="286"/>
      <c r="D801" s="286"/>
      <c r="E801" s="286"/>
      <c r="F801" s="287"/>
      <c r="G801" s="286"/>
      <c r="H801" s="287"/>
      <c r="I801" s="288"/>
      <c r="J801" s="289"/>
      <c r="K801" s="288"/>
      <c r="L801" s="289"/>
      <c r="M801" s="290"/>
      <c r="N801" s="290"/>
      <c r="O801" s="291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</row>
    <row r="802" ht="13.5" customHeight="1">
      <c r="A802" s="286"/>
      <c r="B802" s="286"/>
      <c r="C802" s="286"/>
      <c r="D802" s="286"/>
      <c r="E802" s="286"/>
      <c r="F802" s="287"/>
      <c r="G802" s="286"/>
      <c r="H802" s="287"/>
      <c r="I802" s="288"/>
      <c r="J802" s="289"/>
      <c r="K802" s="288"/>
      <c r="L802" s="289"/>
      <c r="M802" s="290"/>
      <c r="N802" s="290"/>
      <c r="O802" s="291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</row>
    <row r="803" ht="13.5" customHeight="1">
      <c r="A803" s="286"/>
      <c r="B803" s="286"/>
      <c r="C803" s="286"/>
      <c r="D803" s="286"/>
      <c r="E803" s="286"/>
      <c r="F803" s="287"/>
      <c r="G803" s="286"/>
      <c r="H803" s="287"/>
      <c r="I803" s="288"/>
      <c r="J803" s="289"/>
      <c r="K803" s="288"/>
      <c r="L803" s="289"/>
      <c r="M803" s="290"/>
      <c r="N803" s="290"/>
      <c r="O803" s="291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</row>
    <row r="804" ht="13.5" customHeight="1">
      <c r="A804" s="286"/>
      <c r="B804" s="286"/>
      <c r="C804" s="286"/>
      <c r="D804" s="286"/>
      <c r="E804" s="286"/>
      <c r="F804" s="287"/>
      <c r="G804" s="286"/>
      <c r="H804" s="287"/>
      <c r="I804" s="288"/>
      <c r="J804" s="289"/>
      <c r="K804" s="288"/>
      <c r="L804" s="289"/>
      <c r="M804" s="290"/>
      <c r="N804" s="290"/>
      <c r="O804" s="291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</row>
    <row r="805" ht="13.5" customHeight="1">
      <c r="A805" s="286"/>
      <c r="B805" s="286"/>
      <c r="C805" s="286"/>
      <c r="D805" s="286"/>
      <c r="E805" s="286"/>
      <c r="F805" s="287"/>
      <c r="G805" s="286"/>
      <c r="H805" s="287"/>
      <c r="I805" s="288"/>
      <c r="J805" s="289"/>
      <c r="K805" s="288"/>
      <c r="L805" s="289"/>
      <c r="M805" s="290"/>
      <c r="N805" s="290"/>
      <c r="O805" s="291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</row>
    <row r="806" ht="13.5" customHeight="1">
      <c r="A806" s="286"/>
      <c r="B806" s="286"/>
      <c r="C806" s="286"/>
      <c r="D806" s="286"/>
      <c r="E806" s="286"/>
      <c r="F806" s="287"/>
      <c r="G806" s="286"/>
      <c r="H806" s="287"/>
      <c r="I806" s="288"/>
      <c r="J806" s="289"/>
      <c r="K806" s="288"/>
      <c r="L806" s="289"/>
      <c r="M806" s="290"/>
      <c r="N806" s="290"/>
      <c r="O806" s="291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</row>
    <row r="807" ht="13.5" customHeight="1">
      <c r="A807" s="286"/>
      <c r="B807" s="286"/>
      <c r="C807" s="286"/>
      <c r="D807" s="286"/>
      <c r="E807" s="286"/>
      <c r="F807" s="287"/>
      <c r="G807" s="286"/>
      <c r="H807" s="287"/>
      <c r="I807" s="288"/>
      <c r="J807" s="289"/>
      <c r="K807" s="288"/>
      <c r="L807" s="289"/>
      <c r="M807" s="290"/>
      <c r="N807" s="290"/>
      <c r="O807" s="291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</row>
    <row r="808" ht="13.5" customHeight="1">
      <c r="A808" s="286"/>
      <c r="B808" s="286"/>
      <c r="C808" s="286"/>
      <c r="D808" s="286"/>
      <c r="E808" s="286"/>
      <c r="F808" s="287"/>
      <c r="G808" s="286"/>
      <c r="H808" s="287"/>
      <c r="I808" s="288"/>
      <c r="J808" s="289"/>
      <c r="K808" s="288"/>
      <c r="L808" s="289"/>
      <c r="M808" s="290"/>
      <c r="N808" s="290"/>
      <c r="O808" s="291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</row>
    <row r="809" ht="13.5" customHeight="1">
      <c r="A809" s="286"/>
      <c r="B809" s="286"/>
      <c r="C809" s="286"/>
      <c r="D809" s="286"/>
      <c r="E809" s="286"/>
      <c r="F809" s="287"/>
      <c r="G809" s="286"/>
      <c r="H809" s="287"/>
      <c r="I809" s="288"/>
      <c r="J809" s="289"/>
      <c r="K809" s="288"/>
      <c r="L809" s="289"/>
      <c r="M809" s="290"/>
      <c r="N809" s="290"/>
      <c r="O809" s="291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</row>
    <row r="810" ht="13.5" customHeight="1">
      <c r="A810" s="286"/>
      <c r="B810" s="286"/>
      <c r="C810" s="286"/>
      <c r="D810" s="286"/>
      <c r="E810" s="286"/>
      <c r="F810" s="287"/>
      <c r="G810" s="286"/>
      <c r="H810" s="287"/>
      <c r="I810" s="288"/>
      <c r="J810" s="289"/>
      <c r="K810" s="288"/>
      <c r="L810" s="289"/>
      <c r="M810" s="290"/>
      <c r="N810" s="290"/>
      <c r="O810" s="291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</row>
    <row r="811" ht="13.5" customHeight="1">
      <c r="A811" s="286"/>
      <c r="B811" s="286"/>
      <c r="C811" s="286"/>
      <c r="D811" s="286"/>
      <c r="E811" s="286"/>
      <c r="F811" s="287"/>
      <c r="G811" s="286"/>
      <c r="H811" s="287"/>
      <c r="I811" s="288"/>
      <c r="J811" s="289"/>
      <c r="K811" s="288"/>
      <c r="L811" s="289"/>
      <c r="M811" s="290"/>
      <c r="N811" s="290"/>
      <c r="O811" s="291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</row>
    <row r="812" ht="13.5" customHeight="1">
      <c r="A812" s="286"/>
      <c r="B812" s="286"/>
      <c r="C812" s="286"/>
      <c r="D812" s="286"/>
      <c r="E812" s="286"/>
      <c r="F812" s="287"/>
      <c r="G812" s="286"/>
      <c r="H812" s="287"/>
      <c r="I812" s="288"/>
      <c r="J812" s="289"/>
      <c r="K812" s="288"/>
      <c r="L812" s="289"/>
      <c r="M812" s="290"/>
      <c r="N812" s="290"/>
      <c r="O812" s="291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</row>
    <row r="813" ht="13.5" customHeight="1">
      <c r="A813" s="286"/>
      <c r="B813" s="286"/>
      <c r="C813" s="286"/>
      <c r="D813" s="286"/>
      <c r="E813" s="286"/>
      <c r="F813" s="287"/>
      <c r="G813" s="286"/>
      <c r="H813" s="287"/>
      <c r="I813" s="288"/>
      <c r="J813" s="289"/>
      <c r="K813" s="288"/>
      <c r="L813" s="289"/>
      <c r="M813" s="290"/>
      <c r="N813" s="290"/>
      <c r="O813" s="291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</row>
    <row r="814" ht="13.5" customHeight="1">
      <c r="A814" s="286"/>
      <c r="B814" s="286"/>
      <c r="C814" s="286"/>
      <c r="D814" s="286"/>
      <c r="E814" s="286"/>
      <c r="F814" s="287"/>
      <c r="G814" s="286"/>
      <c r="H814" s="287"/>
      <c r="I814" s="288"/>
      <c r="J814" s="289"/>
      <c r="K814" s="288"/>
      <c r="L814" s="289"/>
      <c r="M814" s="290"/>
      <c r="N814" s="290"/>
      <c r="O814" s="291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</row>
    <row r="815" ht="13.5" customHeight="1">
      <c r="A815" s="286"/>
      <c r="B815" s="286"/>
      <c r="C815" s="286"/>
      <c r="D815" s="286"/>
      <c r="E815" s="286"/>
      <c r="F815" s="287"/>
      <c r="G815" s="286"/>
      <c r="H815" s="287"/>
      <c r="I815" s="288"/>
      <c r="J815" s="289"/>
      <c r="K815" s="288"/>
      <c r="L815" s="289"/>
      <c r="M815" s="290"/>
      <c r="N815" s="290"/>
      <c r="O815" s="291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</row>
    <row r="816" ht="13.5" customHeight="1">
      <c r="A816" s="286"/>
      <c r="B816" s="286"/>
      <c r="C816" s="286"/>
      <c r="D816" s="286"/>
      <c r="E816" s="286"/>
      <c r="F816" s="287"/>
      <c r="G816" s="286"/>
      <c r="H816" s="287"/>
      <c r="I816" s="288"/>
      <c r="J816" s="289"/>
      <c r="K816" s="288"/>
      <c r="L816" s="289"/>
      <c r="M816" s="290"/>
      <c r="N816" s="290"/>
      <c r="O816" s="291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</row>
    <row r="817" ht="13.5" customHeight="1">
      <c r="A817" s="286"/>
      <c r="B817" s="286"/>
      <c r="C817" s="286"/>
      <c r="D817" s="286"/>
      <c r="E817" s="286"/>
      <c r="F817" s="287"/>
      <c r="G817" s="286"/>
      <c r="H817" s="287"/>
      <c r="I817" s="288"/>
      <c r="J817" s="289"/>
      <c r="K817" s="288"/>
      <c r="L817" s="289"/>
      <c r="M817" s="290"/>
      <c r="N817" s="290"/>
      <c r="O817" s="291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</row>
    <row r="818" ht="13.5" customHeight="1">
      <c r="A818" s="286"/>
      <c r="B818" s="286"/>
      <c r="C818" s="286"/>
      <c r="D818" s="286"/>
      <c r="E818" s="286"/>
      <c r="F818" s="287"/>
      <c r="G818" s="286"/>
      <c r="H818" s="287"/>
      <c r="I818" s="288"/>
      <c r="J818" s="289"/>
      <c r="K818" s="288"/>
      <c r="L818" s="289"/>
      <c r="M818" s="290"/>
      <c r="N818" s="290"/>
      <c r="O818" s="291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</row>
    <row r="819" ht="13.5" customHeight="1">
      <c r="A819" s="286"/>
      <c r="B819" s="286"/>
      <c r="C819" s="286"/>
      <c r="D819" s="286"/>
      <c r="E819" s="286"/>
      <c r="F819" s="287"/>
      <c r="G819" s="286"/>
      <c r="H819" s="287"/>
      <c r="I819" s="288"/>
      <c r="J819" s="289"/>
      <c r="K819" s="288"/>
      <c r="L819" s="289"/>
      <c r="M819" s="290"/>
      <c r="N819" s="290"/>
      <c r="O819" s="291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</row>
    <row r="820" ht="13.5" customHeight="1">
      <c r="A820" s="286"/>
      <c r="B820" s="286"/>
      <c r="C820" s="286"/>
      <c r="D820" s="286"/>
      <c r="E820" s="286"/>
      <c r="F820" s="287"/>
      <c r="G820" s="286"/>
      <c r="H820" s="287"/>
      <c r="I820" s="288"/>
      <c r="J820" s="289"/>
      <c r="K820" s="288"/>
      <c r="L820" s="289"/>
      <c r="M820" s="290"/>
      <c r="N820" s="290"/>
      <c r="O820" s="291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</row>
    <row r="821" ht="13.5" customHeight="1">
      <c r="A821" s="286"/>
      <c r="B821" s="286"/>
      <c r="C821" s="286"/>
      <c r="D821" s="286"/>
      <c r="E821" s="286"/>
      <c r="F821" s="287"/>
      <c r="G821" s="286"/>
      <c r="H821" s="287"/>
      <c r="I821" s="288"/>
      <c r="J821" s="289"/>
      <c r="K821" s="288"/>
      <c r="L821" s="289"/>
      <c r="M821" s="290"/>
      <c r="N821" s="290"/>
      <c r="O821" s="291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</row>
    <row r="822" ht="13.5" customHeight="1">
      <c r="A822" s="286"/>
      <c r="B822" s="286"/>
      <c r="C822" s="286"/>
      <c r="D822" s="286"/>
      <c r="E822" s="286"/>
      <c r="F822" s="287"/>
      <c r="G822" s="286"/>
      <c r="H822" s="287"/>
      <c r="I822" s="288"/>
      <c r="J822" s="289"/>
      <c r="K822" s="288"/>
      <c r="L822" s="289"/>
      <c r="M822" s="290"/>
      <c r="N822" s="290"/>
      <c r="O822" s="291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</row>
    <row r="823" ht="13.5" customHeight="1">
      <c r="A823" s="286"/>
      <c r="B823" s="286"/>
      <c r="C823" s="286"/>
      <c r="D823" s="286"/>
      <c r="E823" s="286"/>
      <c r="F823" s="287"/>
      <c r="G823" s="286"/>
      <c r="H823" s="287"/>
      <c r="I823" s="288"/>
      <c r="J823" s="289"/>
      <c r="K823" s="288"/>
      <c r="L823" s="289"/>
      <c r="M823" s="290"/>
      <c r="N823" s="290"/>
      <c r="O823" s="291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</row>
    <row r="824" ht="13.5" customHeight="1">
      <c r="A824" s="286"/>
      <c r="B824" s="286"/>
      <c r="C824" s="286"/>
      <c r="D824" s="286"/>
      <c r="E824" s="286"/>
      <c r="F824" s="287"/>
      <c r="G824" s="286"/>
      <c r="H824" s="287"/>
      <c r="I824" s="288"/>
      <c r="J824" s="289"/>
      <c r="K824" s="288"/>
      <c r="L824" s="289"/>
      <c r="M824" s="290"/>
      <c r="N824" s="290"/>
      <c r="O824" s="291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</row>
    <row r="825" ht="13.5" customHeight="1">
      <c r="A825" s="286"/>
      <c r="B825" s="286"/>
      <c r="C825" s="286"/>
      <c r="D825" s="286"/>
      <c r="E825" s="286"/>
      <c r="F825" s="287"/>
      <c r="G825" s="286"/>
      <c r="H825" s="287"/>
      <c r="I825" s="288"/>
      <c r="J825" s="289"/>
      <c r="K825" s="288"/>
      <c r="L825" s="289"/>
      <c r="M825" s="290"/>
      <c r="N825" s="290"/>
      <c r="O825" s="291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</row>
    <row r="826" ht="13.5" customHeight="1">
      <c r="A826" s="286"/>
      <c r="B826" s="286"/>
      <c r="C826" s="286"/>
      <c r="D826" s="286"/>
      <c r="E826" s="286"/>
      <c r="F826" s="287"/>
      <c r="G826" s="286"/>
      <c r="H826" s="287"/>
      <c r="I826" s="288"/>
      <c r="J826" s="289"/>
      <c r="K826" s="288"/>
      <c r="L826" s="289"/>
      <c r="M826" s="290"/>
      <c r="N826" s="290"/>
      <c r="O826" s="291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</row>
    <row r="827" ht="13.5" customHeight="1">
      <c r="A827" s="286"/>
      <c r="B827" s="286"/>
      <c r="C827" s="286"/>
      <c r="D827" s="286"/>
      <c r="E827" s="286"/>
      <c r="F827" s="287"/>
      <c r="G827" s="286"/>
      <c r="H827" s="287"/>
      <c r="I827" s="288"/>
      <c r="J827" s="289"/>
      <c r="K827" s="288"/>
      <c r="L827" s="289"/>
      <c r="M827" s="290"/>
      <c r="N827" s="290"/>
      <c r="O827" s="291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</row>
    <row r="828" ht="13.5" customHeight="1">
      <c r="A828" s="286"/>
      <c r="B828" s="286"/>
      <c r="C828" s="286"/>
      <c r="D828" s="286"/>
      <c r="E828" s="286"/>
      <c r="F828" s="287"/>
      <c r="G828" s="286"/>
      <c r="H828" s="287"/>
      <c r="I828" s="288"/>
      <c r="J828" s="289"/>
      <c r="K828" s="288"/>
      <c r="L828" s="289"/>
      <c r="M828" s="290"/>
      <c r="N828" s="290"/>
      <c r="O828" s="291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</row>
    <row r="829" ht="13.5" customHeight="1">
      <c r="A829" s="286"/>
      <c r="B829" s="286"/>
      <c r="C829" s="286"/>
      <c r="D829" s="286"/>
      <c r="E829" s="286"/>
      <c r="F829" s="287"/>
      <c r="G829" s="286"/>
      <c r="H829" s="287"/>
      <c r="I829" s="288"/>
      <c r="J829" s="289"/>
      <c r="K829" s="288"/>
      <c r="L829" s="289"/>
      <c r="M829" s="290"/>
      <c r="N829" s="290"/>
      <c r="O829" s="291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</row>
    <row r="830" ht="13.5" customHeight="1">
      <c r="A830" s="286"/>
      <c r="B830" s="286"/>
      <c r="C830" s="286"/>
      <c r="D830" s="286"/>
      <c r="E830" s="286"/>
      <c r="F830" s="287"/>
      <c r="G830" s="286"/>
      <c r="H830" s="287"/>
      <c r="I830" s="288"/>
      <c r="J830" s="289"/>
      <c r="K830" s="288"/>
      <c r="L830" s="289"/>
      <c r="M830" s="290"/>
      <c r="N830" s="290"/>
      <c r="O830" s="291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</row>
    <row r="831" ht="13.5" customHeight="1">
      <c r="A831" s="286"/>
      <c r="B831" s="286"/>
      <c r="C831" s="286"/>
      <c r="D831" s="286"/>
      <c r="E831" s="286"/>
      <c r="F831" s="287"/>
      <c r="G831" s="286"/>
      <c r="H831" s="287"/>
      <c r="I831" s="288"/>
      <c r="J831" s="289"/>
      <c r="K831" s="288"/>
      <c r="L831" s="289"/>
      <c r="M831" s="290"/>
      <c r="N831" s="290"/>
      <c r="O831" s="291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</row>
    <row r="832" ht="13.5" customHeight="1">
      <c r="A832" s="286"/>
      <c r="B832" s="286"/>
      <c r="C832" s="286"/>
      <c r="D832" s="286"/>
      <c r="E832" s="286"/>
      <c r="F832" s="287"/>
      <c r="G832" s="286"/>
      <c r="H832" s="287"/>
      <c r="I832" s="288"/>
      <c r="J832" s="289"/>
      <c r="K832" s="288"/>
      <c r="L832" s="289"/>
      <c r="M832" s="290"/>
      <c r="N832" s="290"/>
      <c r="O832" s="291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</row>
    <row r="833" ht="13.5" customHeight="1">
      <c r="A833" s="286"/>
      <c r="B833" s="286"/>
      <c r="C833" s="286"/>
      <c r="D833" s="286"/>
      <c r="E833" s="286"/>
      <c r="F833" s="287"/>
      <c r="G833" s="286"/>
      <c r="H833" s="287"/>
      <c r="I833" s="288"/>
      <c r="J833" s="289"/>
      <c r="K833" s="288"/>
      <c r="L833" s="289"/>
      <c r="M833" s="290"/>
      <c r="N833" s="290"/>
      <c r="O833" s="291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</row>
    <row r="834" ht="13.5" customHeight="1">
      <c r="A834" s="286"/>
      <c r="B834" s="286"/>
      <c r="C834" s="286"/>
      <c r="D834" s="286"/>
      <c r="E834" s="286"/>
      <c r="F834" s="287"/>
      <c r="G834" s="286"/>
      <c r="H834" s="287"/>
      <c r="I834" s="288"/>
      <c r="J834" s="289"/>
      <c r="K834" s="288"/>
      <c r="L834" s="289"/>
      <c r="M834" s="290"/>
      <c r="N834" s="290"/>
      <c r="O834" s="291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</row>
    <row r="835" ht="13.5" customHeight="1">
      <c r="A835" s="286"/>
      <c r="B835" s="286"/>
      <c r="C835" s="286"/>
      <c r="D835" s="286"/>
      <c r="E835" s="286"/>
      <c r="F835" s="287"/>
      <c r="G835" s="286"/>
      <c r="H835" s="287"/>
      <c r="I835" s="288"/>
      <c r="J835" s="289"/>
      <c r="K835" s="288"/>
      <c r="L835" s="289"/>
      <c r="M835" s="290"/>
      <c r="N835" s="290"/>
      <c r="O835" s="291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</row>
    <row r="836" ht="13.5" customHeight="1">
      <c r="A836" s="286"/>
      <c r="B836" s="286"/>
      <c r="C836" s="286"/>
      <c r="D836" s="286"/>
      <c r="E836" s="286"/>
      <c r="F836" s="287"/>
      <c r="G836" s="286"/>
      <c r="H836" s="287"/>
      <c r="I836" s="288"/>
      <c r="J836" s="289"/>
      <c r="K836" s="288"/>
      <c r="L836" s="289"/>
      <c r="M836" s="290"/>
      <c r="N836" s="290"/>
      <c r="O836" s="291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</row>
    <row r="837" ht="13.5" customHeight="1">
      <c r="A837" s="286"/>
      <c r="B837" s="286"/>
      <c r="C837" s="286"/>
      <c r="D837" s="286"/>
      <c r="E837" s="286"/>
      <c r="F837" s="287"/>
      <c r="G837" s="286"/>
      <c r="H837" s="287"/>
      <c r="I837" s="288"/>
      <c r="J837" s="289"/>
      <c r="K837" s="288"/>
      <c r="L837" s="289"/>
      <c r="M837" s="290"/>
      <c r="N837" s="290"/>
      <c r="O837" s="291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</row>
    <row r="838" ht="13.5" customHeight="1">
      <c r="A838" s="286"/>
      <c r="B838" s="286"/>
      <c r="C838" s="286"/>
      <c r="D838" s="286"/>
      <c r="E838" s="286"/>
      <c r="F838" s="287"/>
      <c r="G838" s="286"/>
      <c r="H838" s="287"/>
      <c r="I838" s="288"/>
      <c r="J838" s="289"/>
      <c r="K838" s="288"/>
      <c r="L838" s="289"/>
      <c r="M838" s="290"/>
      <c r="N838" s="290"/>
      <c r="O838" s="291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</row>
    <row r="839" ht="13.5" customHeight="1">
      <c r="A839" s="286"/>
      <c r="B839" s="286"/>
      <c r="C839" s="286"/>
      <c r="D839" s="286"/>
      <c r="E839" s="286"/>
      <c r="F839" s="287"/>
      <c r="G839" s="286"/>
      <c r="H839" s="287"/>
      <c r="I839" s="288"/>
      <c r="J839" s="289"/>
      <c r="K839" s="288"/>
      <c r="L839" s="289"/>
      <c r="M839" s="290"/>
      <c r="N839" s="290"/>
      <c r="O839" s="291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</row>
    <row r="840" ht="13.5" customHeight="1">
      <c r="A840" s="286"/>
      <c r="B840" s="286"/>
      <c r="C840" s="286"/>
      <c r="D840" s="286"/>
      <c r="E840" s="286"/>
      <c r="F840" s="287"/>
      <c r="G840" s="286"/>
      <c r="H840" s="287"/>
      <c r="I840" s="288"/>
      <c r="J840" s="289"/>
      <c r="K840" s="288"/>
      <c r="L840" s="289"/>
      <c r="M840" s="290"/>
      <c r="N840" s="290"/>
      <c r="O840" s="291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</row>
    <row r="841" ht="13.5" customHeight="1">
      <c r="A841" s="286"/>
      <c r="B841" s="286"/>
      <c r="C841" s="286"/>
      <c r="D841" s="286"/>
      <c r="E841" s="286"/>
      <c r="F841" s="287"/>
      <c r="G841" s="286"/>
      <c r="H841" s="287"/>
      <c r="I841" s="288"/>
      <c r="J841" s="289"/>
      <c r="K841" s="288"/>
      <c r="L841" s="289"/>
      <c r="M841" s="290"/>
      <c r="N841" s="290"/>
      <c r="O841" s="291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</row>
    <row r="842" ht="13.5" customHeight="1">
      <c r="A842" s="286"/>
      <c r="B842" s="286"/>
      <c r="C842" s="286"/>
      <c r="D842" s="286"/>
      <c r="E842" s="286"/>
      <c r="F842" s="287"/>
      <c r="G842" s="286"/>
      <c r="H842" s="287"/>
      <c r="I842" s="288"/>
      <c r="J842" s="289"/>
      <c r="K842" s="288"/>
      <c r="L842" s="289"/>
      <c r="M842" s="290"/>
      <c r="N842" s="290"/>
      <c r="O842" s="291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</row>
    <row r="843" ht="13.5" customHeight="1">
      <c r="A843" s="286"/>
      <c r="B843" s="286"/>
      <c r="C843" s="286"/>
      <c r="D843" s="286"/>
      <c r="E843" s="286"/>
      <c r="F843" s="287"/>
      <c r="G843" s="286"/>
      <c r="H843" s="287"/>
      <c r="I843" s="288"/>
      <c r="J843" s="289"/>
      <c r="K843" s="288"/>
      <c r="L843" s="289"/>
      <c r="M843" s="290"/>
      <c r="N843" s="290"/>
      <c r="O843" s="291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</row>
    <row r="844" ht="13.5" customHeight="1">
      <c r="A844" s="286"/>
      <c r="B844" s="286"/>
      <c r="C844" s="286"/>
      <c r="D844" s="286"/>
      <c r="E844" s="286"/>
      <c r="F844" s="287"/>
      <c r="G844" s="286"/>
      <c r="H844" s="287"/>
      <c r="I844" s="288"/>
      <c r="J844" s="289"/>
      <c r="K844" s="288"/>
      <c r="L844" s="289"/>
      <c r="M844" s="290"/>
      <c r="N844" s="290"/>
      <c r="O844" s="291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</row>
    <row r="845" ht="13.5" customHeight="1">
      <c r="A845" s="286"/>
      <c r="B845" s="286"/>
      <c r="C845" s="286"/>
      <c r="D845" s="286"/>
      <c r="E845" s="286"/>
      <c r="F845" s="287"/>
      <c r="G845" s="286"/>
      <c r="H845" s="287"/>
      <c r="I845" s="288"/>
      <c r="J845" s="289"/>
      <c r="K845" s="288"/>
      <c r="L845" s="289"/>
      <c r="M845" s="290"/>
      <c r="N845" s="290"/>
      <c r="O845" s="291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</row>
    <row r="846" ht="13.5" customHeight="1">
      <c r="A846" s="286"/>
      <c r="B846" s="286"/>
      <c r="C846" s="286"/>
      <c r="D846" s="286"/>
      <c r="E846" s="286"/>
      <c r="F846" s="287"/>
      <c r="G846" s="286"/>
      <c r="H846" s="287"/>
      <c r="I846" s="288"/>
      <c r="J846" s="289"/>
      <c r="K846" s="288"/>
      <c r="L846" s="289"/>
      <c r="M846" s="290"/>
      <c r="N846" s="290"/>
      <c r="O846" s="291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</row>
    <row r="847" ht="13.5" customHeight="1">
      <c r="A847" s="286"/>
      <c r="B847" s="286"/>
      <c r="C847" s="286"/>
      <c r="D847" s="286"/>
      <c r="E847" s="286"/>
      <c r="F847" s="287"/>
      <c r="G847" s="286"/>
      <c r="H847" s="287"/>
      <c r="I847" s="288"/>
      <c r="J847" s="289"/>
      <c r="K847" s="288"/>
      <c r="L847" s="289"/>
      <c r="M847" s="290"/>
      <c r="N847" s="290"/>
      <c r="O847" s="291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</row>
    <row r="848" ht="13.5" customHeight="1">
      <c r="A848" s="286"/>
      <c r="B848" s="286"/>
      <c r="C848" s="286"/>
      <c r="D848" s="286"/>
      <c r="E848" s="286"/>
      <c r="F848" s="287"/>
      <c r="G848" s="286"/>
      <c r="H848" s="287"/>
      <c r="I848" s="288"/>
      <c r="J848" s="289"/>
      <c r="K848" s="288"/>
      <c r="L848" s="289"/>
      <c r="M848" s="290"/>
      <c r="N848" s="290"/>
      <c r="O848" s="291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</row>
    <row r="849" ht="13.5" customHeight="1">
      <c r="A849" s="286"/>
      <c r="B849" s="286"/>
      <c r="C849" s="286"/>
      <c r="D849" s="286"/>
      <c r="E849" s="286"/>
      <c r="F849" s="287"/>
      <c r="G849" s="286"/>
      <c r="H849" s="287"/>
      <c r="I849" s="288"/>
      <c r="J849" s="289"/>
      <c r="K849" s="288"/>
      <c r="L849" s="289"/>
      <c r="M849" s="290"/>
      <c r="N849" s="290"/>
      <c r="O849" s="291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</row>
    <row r="850" ht="13.5" customHeight="1">
      <c r="A850" s="286"/>
      <c r="B850" s="286"/>
      <c r="C850" s="286"/>
      <c r="D850" s="286"/>
      <c r="E850" s="286"/>
      <c r="F850" s="287"/>
      <c r="G850" s="286"/>
      <c r="H850" s="287"/>
      <c r="I850" s="288"/>
      <c r="J850" s="289"/>
      <c r="K850" s="288"/>
      <c r="L850" s="289"/>
      <c r="M850" s="290"/>
      <c r="N850" s="290"/>
      <c r="O850" s="291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</row>
    <row r="851" ht="13.5" customHeight="1">
      <c r="A851" s="286"/>
      <c r="B851" s="286"/>
      <c r="C851" s="286"/>
      <c r="D851" s="286"/>
      <c r="E851" s="286"/>
      <c r="F851" s="287"/>
      <c r="G851" s="286"/>
      <c r="H851" s="287"/>
      <c r="I851" s="288"/>
      <c r="J851" s="289"/>
      <c r="K851" s="288"/>
      <c r="L851" s="289"/>
      <c r="M851" s="290"/>
      <c r="N851" s="290"/>
      <c r="O851" s="291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</row>
    <row r="852" ht="13.5" customHeight="1">
      <c r="A852" s="286"/>
      <c r="B852" s="286"/>
      <c r="C852" s="286"/>
      <c r="D852" s="286"/>
      <c r="E852" s="286"/>
      <c r="F852" s="287"/>
      <c r="G852" s="286"/>
      <c r="H852" s="287"/>
      <c r="I852" s="288"/>
      <c r="J852" s="289"/>
      <c r="K852" s="288"/>
      <c r="L852" s="289"/>
      <c r="M852" s="290"/>
      <c r="N852" s="290"/>
      <c r="O852" s="291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</row>
    <row r="853" ht="13.5" customHeight="1">
      <c r="A853" s="286"/>
      <c r="B853" s="286"/>
      <c r="C853" s="286"/>
      <c r="D853" s="286"/>
      <c r="E853" s="286"/>
      <c r="F853" s="287"/>
      <c r="G853" s="286"/>
      <c r="H853" s="287"/>
      <c r="I853" s="288"/>
      <c r="J853" s="289"/>
      <c r="K853" s="288"/>
      <c r="L853" s="289"/>
      <c r="M853" s="290"/>
      <c r="N853" s="290"/>
      <c r="O853" s="291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</row>
    <row r="854" ht="13.5" customHeight="1">
      <c r="A854" s="286"/>
      <c r="B854" s="286"/>
      <c r="C854" s="286"/>
      <c r="D854" s="286"/>
      <c r="E854" s="286"/>
      <c r="F854" s="287"/>
      <c r="G854" s="286"/>
      <c r="H854" s="287"/>
      <c r="I854" s="288"/>
      <c r="J854" s="289"/>
      <c r="K854" s="288"/>
      <c r="L854" s="289"/>
      <c r="M854" s="290"/>
      <c r="N854" s="290"/>
      <c r="O854" s="291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</row>
    <row r="855" ht="13.5" customHeight="1">
      <c r="A855" s="286"/>
      <c r="B855" s="286"/>
      <c r="C855" s="286"/>
      <c r="D855" s="286"/>
      <c r="E855" s="286"/>
      <c r="F855" s="287"/>
      <c r="G855" s="286"/>
      <c r="H855" s="287"/>
      <c r="I855" s="288"/>
      <c r="J855" s="289"/>
      <c r="K855" s="288"/>
      <c r="L855" s="289"/>
      <c r="M855" s="290"/>
      <c r="N855" s="290"/>
      <c r="O855" s="291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</row>
    <row r="856" ht="13.5" customHeight="1">
      <c r="A856" s="286"/>
      <c r="B856" s="286"/>
      <c r="C856" s="286"/>
      <c r="D856" s="286"/>
      <c r="E856" s="286"/>
      <c r="F856" s="287"/>
      <c r="G856" s="286"/>
      <c r="H856" s="287"/>
      <c r="I856" s="288"/>
      <c r="J856" s="289"/>
      <c r="K856" s="288"/>
      <c r="L856" s="289"/>
      <c r="M856" s="290"/>
      <c r="N856" s="290"/>
      <c r="O856" s="291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</row>
    <row r="857" ht="13.5" customHeight="1">
      <c r="A857" s="286"/>
      <c r="B857" s="286"/>
      <c r="C857" s="286"/>
      <c r="D857" s="286"/>
      <c r="E857" s="286"/>
      <c r="F857" s="287"/>
      <c r="G857" s="286"/>
      <c r="H857" s="287"/>
      <c r="I857" s="288"/>
      <c r="J857" s="289"/>
      <c r="K857" s="288"/>
      <c r="L857" s="289"/>
      <c r="M857" s="290"/>
      <c r="N857" s="290"/>
      <c r="O857" s="291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</row>
    <row r="858" ht="13.5" customHeight="1">
      <c r="A858" s="286"/>
      <c r="B858" s="286"/>
      <c r="C858" s="286"/>
      <c r="D858" s="286"/>
      <c r="E858" s="286"/>
      <c r="F858" s="287"/>
      <c r="G858" s="286"/>
      <c r="H858" s="287"/>
      <c r="I858" s="288"/>
      <c r="J858" s="289"/>
      <c r="K858" s="288"/>
      <c r="L858" s="289"/>
      <c r="M858" s="290"/>
      <c r="N858" s="290"/>
      <c r="O858" s="291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</row>
    <row r="859" ht="13.5" customHeight="1">
      <c r="A859" s="286"/>
      <c r="B859" s="286"/>
      <c r="C859" s="286"/>
      <c r="D859" s="286"/>
      <c r="E859" s="286"/>
      <c r="F859" s="287"/>
      <c r="G859" s="286"/>
      <c r="H859" s="287"/>
      <c r="I859" s="288"/>
      <c r="J859" s="289"/>
      <c r="K859" s="288"/>
      <c r="L859" s="289"/>
      <c r="M859" s="290"/>
      <c r="N859" s="290"/>
      <c r="O859" s="291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</row>
    <row r="860" ht="13.5" customHeight="1">
      <c r="A860" s="286"/>
      <c r="B860" s="286"/>
      <c r="C860" s="286"/>
      <c r="D860" s="286"/>
      <c r="E860" s="286"/>
      <c r="F860" s="287"/>
      <c r="G860" s="286"/>
      <c r="H860" s="287"/>
      <c r="I860" s="288"/>
      <c r="J860" s="289"/>
      <c r="K860" s="288"/>
      <c r="L860" s="289"/>
      <c r="M860" s="290"/>
      <c r="N860" s="290"/>
      <c r="O860" s="291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</row>
    <row r="861" ht="13.5" customHeight="1">
      <c r="A861" s="286"/>
      <c r="B861" s="286"/>
      <c r="C861" s="286"/>
      <c r="D861" s="286"/>
      <c r="E861" s="286"/>
      <c r="F861" s="287"/>
      <c r="G861" s="286"/>
      <c r="H861" s="287"/>
      <c r="I861" s="288"/>
      <c r="J861" s="289"/>
      <c r="K861" s="288"/>
      <c r="L861" s="289"/>
      <c r="M861" s="290"/>
      <c r="N861" s="290"/>
      <c r="O861" s="291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</row>
    <row r="862" ht="13.5" customHeight="1">
      <c r="A862" s="286"/>
      <c r="B862" s="286"/>
      <c r="C862" s="286"/>
      <c r="D862" s="286"/>
      <c r="E862" s="286"/>
      <c r="F862" s="287"/>
      <c r="G862" s="286"/>
      <c r="H862" s="287"/>
      <c r="I862" s="288"/>
      <c r="J862" s="289"/>
      <c r="K862" s="288"/>
      <c r="L862" s="289"/>
      <c r="M862" s="290"/>
      <c r="N862" s="290"/>
      <c r="O862" s="291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</row>
    <row r="863" ht="13.5" customHeight="1">
      <c r="A863" s="286"/>
      <c r="B863" s="286"/>
      <c r="C863" s="286"/>
      <c r="D863" s="286"/>
      <c r="E863" s="286"/>
      <c r="F863" s="287"/>
      <c r="G863" s="286"/>
      <c r="H863" s="287"/>
      <c r="I863" s="288"/>
      <c r="J863" s="289"/>
      <c r="K863" s="288"/>
      <c r="L863" s="289"/>
      <c r="M863" s="290"/>
      <c r="N863" s="290"/>
      <c r="O863" s="291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</row>
    <row r="864" ht="13.5" customHeight="1">
      <c r="A864" s="286"/>
      <c r="B864" s="286"/>
      <c r="C864" s="286"/>
      <c r="D864" s="286"/>
      <c r="E864" s="286"/>
      <c r="F864" s="287"/>
      <c r="G864" s="286"/>
      <c r="H864" s="287"/>
      <c r="I864" s="288"/>
      <c r="J864" s="289"/>
      <c r="K864" s="288"/>
      <c r="L864" s="289"/>
      <c r="M864" s="290"/>
      <c r="N864" s="290"/>
      <c r="O864" s="291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</row>
    <row r="865" ht="13.5" customHeight="1">
      <c r="A865" s="286"/>
      <c r="B865" s="286"/>
      <c r="C865" s="286"/>
      <c r="D865" s="286"/>
      <c r="E865" s="286"/>
      <c r="F865" s="287"/>
      <c r="G865" s="286"/>
      <c r="H865" s="287"/>
      <c r="I865" s="288"/>
      <c r="J865" s="289"/>
      <c r="K865" s="288"/>
      <c r="L865" s="289"/>
      <c r="M865" s="290"/>
      <c r="N865" s="290"/>
      <c r="O865" s="291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</row>
    <row r="866" ht="13.5" customHeight="1">
      <c r="A866" s="286"/>
      <c r="B866" s="286"/>
      <c r="C866" s="286"/>
      <c r="D866" s="286"/>
      <c r="E866" s="286"/>
      <c r="F866" s="287"/>
      <c r="G866" s="286"/>
      <c r="H866" s="287"/>
      <c r="I866" s="288"/>
      <c r="J866" s="289"/>
      <c r="K866" s="288"/>
      <c r="L866" s="289"/>
      <c r="M866" s="290"/>
      <c r="N866" s="290"/>
      <c r="O866" s="291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</row>
    <row r="867" ht="13.5" customHeight="1">
      <c r="A867" s="286"/>
      <c r="B867" s="286"/>
      <c r="C867" s="286"/>
      <c r="D867" s="286"/>
      <c r="E867" s="286"/>
      <c r="F867" s="287"/>
      <c r="G867" s="286"/>
      <c r="H867" s="287"/>
      <c r="I867" s="288"/>
      <c r="J867" s="289"/>
      <c r="K867" s="288"/>
      <c r="L867" s="289"/>
      <c r="M867" s="290"/>
      <c r="N867" s="290"/>
      <c r="O867" s="291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</row>
    <row r="868" ht="13.5" customHeight="1">
      <c r="A868" s="286"/>
      <c r="B868" s="286"/>
      <c r="C868" s="286"/>
      <c r="D868" s="286"/>
      <c r="E868" s="286"/>
      <c r="F868" s="287"/>
      <c r="G868" s="286"/>
      <c r="H868" s="287"/>
      <c r="I868" s="288"/>
      <c r="J868" s="289"/>
      <c r="K868" s="288"/>
      <c r="L868" s="289"/>
      <c r="M868" s="290"/>
      <c r="N868" s="290"/>
      <c r="O868" s="291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</row>
    <row r="869" ht="13.5" customHeight="1">
      <c r="A869" s="286"/>
      <c r="B869" s="286"/>
      <c r="C869" s="286"/>
      <c r="D869" s="286"/>
      <c r="E869" s="286"/>
      <c r="F869" s="287"/>
      <c r="G869" s="286"/>
      <c r="H869" s="287"/>
      <c r="I869" s="288"/>
      <c r="J869" s="289"/>
      <c r="K869" s="288"/>
      <c r="L869" s="289"/>
      <c r="M869" s="290"/>
      <c r="N869" s="290"/>
      <c r="O869" s="291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</row>
    <row r="870" ht="13.5" customHeight="1">
      <c r="A870" s="286"/>
      <c r="B870" s="286"/>
      <c r="C870" s="286"/>
      <c r="D870" s="286"/>
      <c r="E870" s="286"/>
      <c r="F870" s="287"/>
      <c r="G870" s="286"/>
      <c r="H870" s="287"/>
      <c r="I870" s="288"/>
      <c r="J870" s="289"/>
      <c r="K870" s="288"/>
      <c r="L870" s="289"/>
      <c r="M870" s="290"/>
      <c r="N870" s="290"/>
      <c r="O870" s="291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</row>
    <row r="871" ht="13.5" customHeight="1">
      <c r="A871" s="286"/>
      <c r="B871" s="286"/>
      <c r="C871" s="286"/>
      <c r="D871" s="286"/>
      <c r="E871" s="286"/>
      <c r="F871" s="287"/>
      <c r="G871" s="286"/>
      <c r="H871" s="287"/>
      <c r="I871" s="288"/>
      <c r="J871" s="289"/>
      <c r="K871" s="288"/>
      <c r="L871" s="289"/>
      <c r="M871" s="290"/>
      <c r="N871" s="290"/>
      <c r="O871" s="291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</row>
    <row r="872" ht="13.5" customHeight="1">
      <c r="A872" s="286"/>
      <c r="B872" s="286"/>
      <c r="C872" s="286"/>
      <c r="D872" s="286"/>
      <c r="E872" s="286"/>
      <c r="F872" s="287"/>
      <c r="G872" s="286"/>
      <c r="H872" s="287"/>
      <c r="I872" s="288"/>
      <c r="J872" s="289"/>
      <c r="K872" s="288"/>
      <c r="L872" s="289"/>
      <c r="M872" s="290"/>
      <c r="N872" s="290"/>
      <c r="O872" s="291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</row>
    <row r="873" ht="13.5" customHeight="1">
      <c r="A873" s="286"/>
      <c r="B873" s="286"/>
      <c r="C873" s="286"/>
      <c r="D873" s="286"/>
      <c r="E873" s="286"/>
      <c r="F873" s="287"/>
      <c r="G873" s="286"/>
      <c r="H873" s="287"/>
      <c r="I873" s="288"/>
      <c r="J873" s="289"/>
      <c r="K873" s="288"/>
      <c r="L873" s="289"/>
      <c r="M873" s="290"/>
      <c r="N873" s="290"/>
      <c r="O873" s="291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</row>
    <row r="874" ht="13.5" customHeight="1">
      <c r="A874" s="286"/>
      <c r="B874" s="286"/>
      <c r="C874" s="286"/>
      <c r="D874" s="286"/>
      <c r="E874" s="286"/>
      <c r="F874" s="287"/>
      <c r="G874" s="286"/>
      <c r="H874" s="287"/>
      <c r="I874" s="288"/>
      <c r="J874" s="289"/>
      <c r="K874" s="288"/>
      <c r="L874" s="289"/>
      <c r="M874" s="290"/>
      <c r="N874" s="290"/>
      <c r="O874" s="291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</row>
    <row r="875" ht="13.5" customHeight="1">
      <c r="A875" s="286"/>
      <c r="B875" s="286"/>
      <c r="C875" s="286"/>
      <c r="D875" s="286"/>
      <c r="E875" s="286"/>
      <c r="F875" s="287"/>
      <c r="G875" s="286"/>
      <c r="H875" s="287"/>
      <c r="I875" s="288"/>
      <c r="J875" s="289"/>
      <c r="K875" s="288"/>
      <c r="L875" s="289"/>
      <c r="M875" s="290"/>
      <c r="N875" s="290"/>
      <c r="O875" s="291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</row>
    <row r="876" ht="13.5" customHeight="1">
      <c r="A876" s="286"/>
      <c r="B876" s="286"/>
      <c r="C876" s="286"/>
      <c r="D876" s="286"/>
      <c r="E876" s="286"/>
      <c r="F876" s="287"/>
      <c r="G876" s="286"/>
      <c r="H876" s="287"/>
      <c r="I876" s="288"/>
      <c r="J876" s="289"/>
      <c r="K876" s="288"/>
      <c r="L876" s="289"/>
      <c r="M876" s="290"/>
      <c r="N876" s="290"/>
      <c r="O876" s="291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</row>
    <row r="877" ht="13.5" customHeight="1">
      <c r="A877" s="286"/>
      <c r="B877" s="286"/>
      <c r="C877" s="286"/>
      <c r="D877" s="286"/>
      <c r="E877" s="286"/>
      <c r="F877" s="287"/>
      <c r="G877" s="286"/>
      <c r="H877" s="287"/>
      <c r="I877" s="288"/>
      <c r="J877" s="289"/>
      <c r="K877" s="288"/>
      <c r="L877" s="289"/>
      <c r="M877" s="290"/>
      <c r="N877" s="290"/>
      <c r="O877" s="291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</row>
    <row r="878" ht="13.5" customHeight="1">
      <c r="A878" s="286"/>
      <c r="B878" s="286"/>
      <c r="C878" s="286"/>
      <c r="D878" s="286"/>
      <c r="E878" s="286"/>
      <c r="F878" s="287"/>
      <c r="G878" s="286"/>
      <c r="H878" s="287"/>
      <c r="I878" s="288"/>
      <c r="J878" s="289"/>
      <c r="K878" s="288"/>
      <c r="L878" s="289"/>
      <c r="M878" s="290"/>
      <c r="N878" s="290"/>
      <c r="O878" s="291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</row>
    <row r="879" ht="13.5" customHeight="1">
      <c r="A879" s="286"/>
      <c r="B879" s="286"/>
      <c r="C879" s="286"/>
      <c r="D879" s="286"/>
      <c r="E879" s="286"/>
      <c r="F879" s="287"/>
      <c r="G879" s="286"/>
      <c r="H879" s="287"/>
      <c r="I879" s="288"/>
      <c r="J879" s="289"/>
      <c r="K879" s="288"/>
      <c r="L879" s="289"/>
      <c r="M879" s="290"/>
      <c r="N879" s="290"/>
      <c r="O879" s="291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</row>
    <row r="880" ht="13.5" customHeight="1">
      <c r="A880" s="286"/>
      <c r="B880" s="286"/>
      <c r="C880" s="286"/>
      <c r="D880" s="286"/>
      <c r="E880" s="286"/>
      <c r="F880" s="287"/>
      <c r="G880" s="286"/>
      <c r="H880" s="287"/>
      <c r="I880" s="288"/>
      <c r="J880" s="289"/>
      <c r="K880" s="288"/>
      <c r="L880" s="289"/>
      <c r="M880" s="290"/>
      <c r="N880" s="290"/>
      <c r="O880" s="291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</row>
    <row r="881" ht="13.5" customHeight="1">
      <c r="A881" s="286"/>
      <c r="B881" s="286"/>
      <c r="C881" s="286"/>
      <c r="D881" s="286"/>
      <c r="E881" s="286"/>
      <c r="F881" s="287"/>
      <c r="G881" s="286"/>
      <c r="H881" s="287"/>
      <c r="I881" s="288"/>
      <c r="J881" s="289"/>
      <c r="K881" s="288"/>
      <c r="L881" s="289"/>
      <c r="M881" s="290"/>
      <c r="N881" s="290"/>
      <c r="O881" s="291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</row>
    <row r="882" ht="13.5" customHeight="1">
      <c r="A882" s="286"/>
      <c r="B882" s="286"/>
      <c r="C882" s="286"/>
      <c r="D882" s="286"/>
      <c r="E882" s="286"/>
      <c r="F882" s="287"/>
      <c r="G882" s="286"/>
      <c r="H882" s="287"/>
      <c r="I882" s="288"/>
      <c r="J882" s="289"/>
      <c r="K882" s="288"/>
      <c r="L882" s="289"/>
      <c r="M882" s="290"/>
      <c r="N882" s="290"/>
      <c r="O882" s="291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</row>
    <row r="883" ht="13.5" customHeight="1">
      <c r="A883" s="286"/>
      <c r="B883" s="286"/>
      <c r="C883" s="286"/>
      <c r="D883" s="286"/>
      <c r="E883" s="286"/>
      <c r="F883" s="287"/>
      <c r="G883" s="286"/>
      <c r="H883" s="287"/>
      <c r="I883" s="288"/>
      <c r="J883" s="289"/>
      <c r="K883" s="288"/>
      <c r="L883" s="289"/>
      <c r="M883" s="290"/>
      <c r="N883" s="290"/>
      <c r="O883" s="291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</row>
    <row r="884" ht="13.5" customHeight="1">
      <c r="A884" s="286"/>
      <c r="B884" s="286"/>
      <c r="C884" s="286"/>
      <c r="D884" s="286"/>
      <c r="E884" s="286"/>
      <c r="F884" s="287"/>
      <c r="G884" s="286"/>
      <c r="H884" s="287"/>
      <c r="I884" s="288"/>
      <c r="J884" s="289"/>
      <c r="K884" s="288"/>
      <c r="L884" s="289"/>
      <c r="M884" s="290"/>
      <c r="N884" s="290"/>
      <c r="O884" s="291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</row>
    <row r="885" ht="13.5" customHeight="1">
      <c r="A885" s="286"/>
      <c r="B885" s="286"/>
      <c r="C885" s="286"/>
      <c r="D885" s="286"/>
      <c r="E885" s="286"/>
      <c r="F885" s="287"/>
      <c r="G885" s="286"/>
      <c r="H885" s="287"/>
      <c r="I885" s="288"/>
      <c r="J885" s="289"/>
      <c r="K885" s="288"/>
      <c r="L885" s="289"/>
      <c r="M885" s="290"/>
      <c r="N885" s="290"/>
      <c r="O885" s="291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</row>
    <row r="886" ht="13.5" customHeight="1">
      <c r="A886" s="286"/>
      <c r="B886" s="286"/>
      <c r="C886" s="286"/>
      <c r="D886" s="286"/>
      <c r="E886" s="286"/>
      <c r="F886" s="287"/>
      <c r="G886" s="286"/>
      <c r="H886" s="287"/>
      <c r="I886" s="288"/>
      <c r="J886" s="289"/>
      <c r="K886" s="288"/>
      <c r="L886" s="289"/>
      <c r="M886" s="290"/>
      <c r="N886" s="290"/>
      <c r="O886" s="291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</row>
    <row r="887" ht="13.5" customHeight="1">
      <c r="A887" s="286"/>
      <c r="B887" s="286"/>
      <c r="C887" s="286"/>
      <c r="D887" s="286"/>
      <c r="E887" s="286"/>
      <c r="F887" s="287"/>
      <c r="G887" s="286"/>
      <c r="H887" s="287"/>
      <c r="I887" s="288"/>
      <c r="J887" s="289"/>
      <c r="K887" s="288"/>
      <c r="L887" s="289"/>
      <c r="M887" s="290"/>
      <c r="N887" s="290"/>
      <c r="O887" s="291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</row>
    <row r="888" ht="13.5" customHeight="1">
      <c r="A888" s="286"/>
      <c r="B888" s="286"/>
      <c r="C888" s="286"/>
      <c r="D888" s="286"/>
      <c r="E888" s="286"/>
      <c r="F888" s="287"/>
      <c r="G888" s="286"/>
      <c r="H888" s="287"/>
      <c r="I888" s="288"/>
      <c r="J888" s="289"/>
      <c r="K888" s="288"/>
      <c r="L888" s="289"/>
      <c r="M888" s="290"/>
      <c r="N888" s="290"/>
      <c r="O888" s="291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</row>
    <row r="889" ht="13.5" customHeight="1">
      <c r="A889" s="286"/>
      <c r="B889" s="286"/>
      <c r="C889" s="286"/>
      <c r="D889" s="286"/>
      <c r="E889" s="286"/>
      <c r="F889" s="287"/>
      <c r="G889" s="286"/>
      <c r="H889" s="287"/>
      <c r="I889" s="288"/>
      <c r="J889" s="289"/>
      <c r="K889" s="288"/>
      <c r="L889" s="289"/>
      <c r="M889" s="290"/>
      <c r="N889" s="290"/>
      <c r="O889" s="291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</row>
    <row r="890" ht="13.5" customHeight="1">
      <c r="A890" s="286"/>
      <c r="B890" s="286"/>
      <c r="C890" s="286"/>
      <c r="D890" s="286"/>
      <c r="E890" s="286"/>
      <c r="F890" s="287"/>
      <c r="G890" s="286"/>
      <c r="H890" s="287"/>
      <c r="I890" s="288"/>
      <c r="J890" s="289"/>
      <c r="K890" s="288"/>
      <c r="L890" s="289"/>
      <c r="M890" s="290"/>
      <c r="N890" s="290"/>
      <c r="O890" s="291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</row>
    <row r="891" ht="13.5" customHeight="1">
      <c r="A891" s="286"/>
      <c r="B891" s="286"/>
      <c r="C891" s="286"/>
      <c r="D891" s="286"/>
      <c r="E891" s="286"/>
      <c r="F891" s="287"/>
      <c r="G891" s="286"/>
      <c r="H891" s="287"/>
      <c r="I891" s="288"/>
      <c r="J891" s="289"/>
      <c r="K891" s="288"/>
      <c r="L891" s="289"/>
      <c r="M891" s="290"/>
      <c r="N891" s="290"/>
      <c r="O891" s="291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</row>
    <row r="892" ht="13.5" customHeight="1">
      <c r="A892" s="286"/>
      <c r="B892" s="286"/>
      <c r="C892" s="286"/>
      <c r="D892" s="286"/>
      <c r="E892" s="286"/>
      <c r="F892" s="287"/>
      <c r="G892" s="286"/>
      <c r="H892" s="287"/>
      <c r="I892" s="288"/>
      <c r="J892" s="289"/>
      <c r="K892" s="288"/>
      <c r="L892" s="289"/>
      <c r="M892" s="290"/>
      <c r="N892" s="290"/>
      <c r="O892" s="291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</row>
    <row r="893" ht="13.5" customHeight="1">
      <c r="A893" s="286"/>
      <c r="B893" s="286"/>
      <c r="C893" s="286"/>
      <c r="D893" s="286"/>
      <c r="E893" s="286"/>
      <c r="F893" s="287"/>
      <c r="G893" s="286"/>
      <c r="H893" s="287"/>
      <c r="I893" s="288"/>
      <c r="J893" s="289"/>
      <c r="K893" s="288"/>
      <c r="L893" s="289"/>
      <c r="M893" s="290"/>
      <c r="N893" s="290"/>
      <c r="O893" s="291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</row>
    <row r="894" ht="13.5" customHeight="1">
      <c r="A894" s="286"/>
      <c r="B894" s="286"/>
      <c r="C894" s="286"/>
      <c r="D894" s="286"/>
      <c r="E894" s="286"/>
      <c r="F894" s="287"/>
      <c r="G894" s="286"/>
      <c r="H894" s="287"/>
      <c r="I894" s="288"/>
      <c r="J894" s="289"/>
      <c r="K894" s="288"/>
      <c r="L894" s="289"/>
      <c r="M894" s="290"/>
      <c r="N894" s="290"/>
      <c r="O894" s="291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</row>
    <row r="895" ht="13.5" customHeight="1">
      <c r="A895" s="286"/>
      <c r="B895" s="286"/>
      <c r="C895" s="286"/>
      <c r="D895" s="286"/>
      <c r="E895" s="286"/>
      <c r="F895" s="287"/>
      <c r="G895" s="286"/>
      <c r="H895" s="287"/>
      <c r="I895" s="288"/>
      <c r="J895" s="289"/>
      <c r="K895" s="288"/>
      <c r="L895" s="289"/>
      <c r="M895" s="290"/>
      <c r="N895" s="290"/>
      <c r="O895" s="291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</row>
    <row r="896" ht="13.5" customHeight="1">
      <c r="A896" s="286"/>
      <c r="B896" s="286"/>
      <c r="C896" s="286"/>
      <c r="D896" s="286"/>
      <c r="E896" s="286"/>
      <c r="F896" s="287"/>
      <c r="G896" s="286"/>
      <c r="H896" s="287"/>
      <c r="I896" s="288"/>
      <c r="J896" s="289"/>
      <c r="K896" s="288"/>
      <c r="L896" s="289"/>
      <c r="M896" s="290"/>
      <c r="N896" s="290"/>
      <c r="O896" s="291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</row>
    <row r="897" ht="13.5" customHeight="1">
      <c r="A897" s="286"/>
      <c r="B897" s="286"/>
      <c r="C897" s="286"/>
      <c r="D897" s="286"/>
      <c r="E897" s="286"/>
      <c r="F897" s="287"/>
      <c r="G897" s="286"/>
      <c r="H897" s="287"/>
      <c r="I897" s="288"/>
      <c r="J897" s="289"/>
      <c r="K897" s="288"/>
      <c r="L897" s="289"/>
      <c r="M897" s="290"/>
      <c r="N897" s="290"/>
      <c r="O897" s="291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</row>
    <row r="898" ht="13.5" customHeight="1">
      <c r="A898" s="286"/>
      <c r="B898" s="286"/>
      <c r="C898" s="286"/>
      <c r="D898" s="286"/>
      <c r="E898" s="286"/>
      <c r="F898" s="287"/>
      <c r="G898" s="286"/>
      <c r="H898" s="287"/>
      <c r="I898" s="288"/>
      <c r="J898" s="289"/>
      <c r="K898" s="288"/>
      <c r="L898" s="289"/>
      <c r="M898" s="290"/>
      <c r="N898" s="290"/>
      <c r="O898" s="291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</row>
    <row r="899" ht="13.5" customHeight="1">
      <c r="A899" s="286"/>
      <c r="B899" s="286"/>
      <c r="C899" s="286"/>
      <c r="D899" s="286"/>
      <c r="E899" s="286"/>
      <c r="F899" s="287"/>
      <c r="G899" s="286"/>
      <c r="H899" s="287"/>
      <c r="I899" s="288"/>
      <c r="J899" s="289"/>
      <c r="K899" s="288"/>
      <c r="L899" s="289"/>
      <c r="M899" s="290"/>
      <c r="N899" s="290"/>
      <c r="O899" s="291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</row>
    <row r="900" ht="13.5" customHeight="1">
      <c r="A900" s="286"/>
      <c r="B900" s="286"/>
      <c r="C900" s="286"/>
      <c r="D900" s="286"/>
      <c r="E900" s="286"/>
      <c r="F900" s="287"/>
      <c r="G900" s="286"/>
      <c r="H900" s="287"/>
      <c r="I900" s="288"/>
      <c r="J900" s="289"/>
      <c r="K900" s="288"/>
      <c r="L900" s="289"/>
      <c r="M900" s="290"/>
      <c r="N900" s="290"/>
      <c r="O900" s="291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</row>
    <row r="901" ht="13.5" customHeight="1">
      <c r="A901" s="286"/>
      <c r="B901" s="286"/>
      <c r="C901" s="286"/>
      <c r="D901" s="286"/>
      <c r="E901" s="286"/>
      <c r="F901" s="287"/>
      <c r="G901" s="286"/>
      <c r="H901" s="287"/>
      <c r="I901" s="288"/>
      <c r="J901" s="289"/>
      <c r="K901" s="288"/>
      <c r="L901" s="289"/>
      <c r="M901" s="290"/>
      <c r="N901" s="290"/>
      <c r="O901" s="291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</row>
    <row r="902" ht="13.5" customHeight="1">
      <c r="A902" s="286"/>
      <c r="B902" s="286"/>
      <c r="C902" s="286"/>
      <c r="D902" s="286"/>
      <c r="E902" s="286"/>
      <c r="F902" s="287"/>
      <c r="G902" s="286"/>
      <c r="H902" s="287"/>
      <c r="I902" s="288"/>
      <c r="J902" s="289"/>
      <c r="K902" s="288"/>
      <c r="L902" s="289"/>
      <c r="M902" s="290"/>
      <c r="N902" s="290"/>
      <c r="O902" s="291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</row>
    <row r="903" ht="13.5" customHeight="1">
      <c r="A903" s="286"/>
      <c r="B903" s="286"/>
      <c r="C903" s="286"/>
      <c r="D903" s="286"/>
      <c r="E903" s="286"/>
      <c r="F903" s="287"/>
      <c r="G903" s="286"/>
      <c r="H903" s="287"/>
      <c r="I903" s="288"/>
      <c r="J903" s="289"/>
      <c r="K903" s="288"/>
      <c r="L903" s="289"/>
      <c r="M903" s="290"/>
      <c r="N903" s="290"/>
      <c r="O903" s="291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</row>
    <row r="904" ht="13.5" customHeight="1">
      <c r="A904" s="286"/>
      <c r="B904" s="286"/>
      <c r="C904" s="286"/>
      <c r="D904" s="286"/>
      <c r="E904" s="286"/>
      <c r="F904" s="287"/>
      <c r="G904" s="286"/>
      <c r="H904" s="287"/>
      <c r="I904" s="288"/>
      <c r="J904" s="289"/>
      <c r="K904" s="288"/>
      <c r="L904" s="289"/>
      <c r="M904" s="290"/>
      <c r="N904" s="290"/>
      <c r="O904" s="291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</row>
    <row r="905" ht="13.5" customHeight="1">
      <c r="A905" s="286"/>
      <c r="B905" s="286"/>
      <c r="C905" s="286"/>
      <c r="D905" s="286"/>
      <c r="E905" s="286"/>
      <c r="F905" s="287"/>
      <c r="G905" s="286"/>
      <c r="H905" s="287"/>
      <c r="I905" s="288"/>
      <c r="J905" s="289"/>
      <c r="K905" s="288"/>
      <c r="L905" s="289"/>
      <c r="M905" s="290"/>
      <c r="N905" s="290"/>
      <c r="O905" s="291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</row>
    <row r="906" ht="13.5" customHeight="1">
      <c r="A906" s="286"/>
      <c r="B906" s="286"/>
      <c r="C906" s="286"/>
      <c r="D906" s="286"/>
      <c r="E906" s="286"/>
      <c r="F906" s="287"/>
      <c r="G906" s="286"/>
      <c r="H906" s="287"/>
      <c r="I906" s="288"/>
      <c r="J906" s="289"/>
      <c r="K906" s="288"/>
      <c r="L906" s="289"/>
      <c r="M906" s="290"/>
      <c r="N906" s="290"/>
      <c r="O906" s="291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</row>
    <row r="907" ht="13.5" customHeight="1">
      <c r="A907" s="286"/>
      <c r="B907" s="286"/>
      <c r="C907" s="286"/>
      <c r="D907" s="286"/>
      <c r="E907" s="286"/>
      <c r="F907" s="287"/>
      <c r="G907" s="286"/>
      <c r="H907" s="287"/>
      <c r="I907" s="288"/>
      <c r="J907" s="289"/>
      <c r="K907" s="288"/>
      <c r="L907" s="289"/>
      <c r="M907" s="290"/>
      <c r="N907" s="290"/>
      <c r="O907" s="291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</row>
    <row r="908" ht="13.5" customHeight="1">
      <c r="A908" s="286"/>
      <c r="B908" s="286"/>
      <c r="C908" s="286"/>
      <c r="D908" s="286"/>
      <c r="E908" s="286"/>
      <c r="F908" s="287"/>
      <c r="G908" s="286"/>
      <c r="H908" s="287"/>
      <c r="I908" s="288"/>
      <c r="J908" s="289"/>
      <c r="K908" s="288"/>
      <c r="L908" s="289"/>
      <c r="M908" s="290"/>
      <c r="N908" s="290"/>
      <c r="O908" s="291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</row>
    <row r="909" ht="13.5" customHeight="1">
      <c r="A909" s="286"/>
      <c r="B909" s="286"/>
      <c r="C909" s="286"/>
      <c r="D909" s="286"/>
      <c r="E909" s="286"/>
      <c r="F909" s="287"/>
      <c r="G909" s="286"/>
      <c r="H909" s="287"/>
      <c r="I909" s="288"/>
      <c r="J909" s="289"/>
      <c r="K909" s="288"/>
      <c r="L909" s="289"/>
      <c r="M909" s="290"/>
      <c r="N909" s="290"/>
      <c r="O909" s="291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</row>
    <row r="910" ht="13.5" customHeight="1">
      <c r="A910" s="286"/>
      <c r="B910" s="286"/>
      <c r="C910" s="286"/>
      <c r="D910" s="286"/>
      <c r="E910" s="286"/>
      <c r="F910" s="287"/>
      <c r="G910" s="286"/>
      <c r="H910" s="287"/>
      <c r="I910" s="288"/>
      <c r="J910" s="289"/>
      <c r="K910" s="288"/>
      <c r="L910" s="289"/>
      <c r="M910" s="290"/>
      <c r="N910" s="290"/>
      <c r="O910" s="291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</row>
    <row r="911" ht="13.5" customHeight="1">
      <c r="A911" s="286"/>
      <c r="B911" s="286"/>
      <c r="C911" s="286"/>
      <c r="D911" s="286"/>
      <c r="E911" s="286"/>
      <c r="F911" s="287"/>
      <c r="G911" s="286"/>
      <c r="H911" s="287"/>
      <c r="I911" s="288"/>
      <c r="J911" s="289"/>
      <c r="K911" s="288"/>
      <c r="L911" s="289"/>
      <c r="M911" s="290"/>
      <c r="N911" s="290"/>
      <c r="O911" s="291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</row>
    <row r="912" ht="13.5" customHeight="1">
      <c r="A912" s="286"/>
      <c r="B912" s="286"/>
      <c r="C912" s="286"/>
      <c r="D912" s="286"/>
      <c r="E912" s="286"/>
      <c r="F912" s="287"/>
      <c r="G912" s="286"/>
      <c r="H912" s="287"/>
      <c r="I912" s="288"/>
      <c r="J912" s="289"/>
      <c r="K912" s="288"/>
      <c r="L912" s="289"/>
      <c r="M912" s="290"/>
      <c r="N912" s="290"/>
      <c r="O912" s="291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</row>
    <row r="913" ht="13.5" customHeight="1">
      <c r="A913" s="286"/>
      <c r="B913" s="286"/>
      <c r="C913" s="286"/>
      <c r="D913" s="286"/>
      <c r="E913" s="286"/>
      <c r="F913" s="287"/>
      <c r="G913" s="286"/>
      <c r="H913" s="287"/>
      <c r="I913" s="288"/>
      <c r="J913" s="289"/>
      <c r="K913" s="288"/>
      <c r="L913" s="289"/>
      <c r="M913" s="290"/>
      <c r="N913" s="290"/>
      <c r="O913" s="291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</row>
    <row r="914" ht="13.5" customHeight="1">
      <c r="A914" s="286"/>
      <c r="B914" s="286"/>
      <c r="C914" s="286"/>
      <c r="D914" s="286"/>
      <c r="E914" s="286"/>
      <c r="F914" s="287"/>
      <c r="G914" s="286"/>
      <c r="H914" s="287"/>
      <c r="I914" s="288"/>
      <c r="J914" s="289"/>
      <c r="K914" s="288"/>
      <c r="L914" s="289"/>
      <c r="M914" s="290"/>
      <c r="N914" s="290"/>
      <c r="O914" s="291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</row>
    <row r="915" ht="13.5" customHeight="1">
      <c r="A915" s="286"/>
      <c r="B915" s="286"/>
      <c r="C915" s="286"/>
      <c r="D915" s="286"/>
      <c r="E915" s="286"/>
      <c r="F915" s="287"/>
      <c r="G915" s="286"/>
      <c r="H915" s="287"/>
      <c r="I915" s="288"/>
      <c r="J915" s="289"/>
      <c r="K915" s="288"/>
      <c r="L915" s="289"/>
      <c r="M915" s="290"/>
      <c r="N915" s="290"/>
      <c r="O915" s="291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</row>
    <row r="916" ht="13.5" customHeight="1">
      <c r="A916" s="286"/>
      <c r="B916" s="286"/>
      <c r="C916" s="286"/>
      <c r="D916" s="286"/>
      <c r="E916" s="286"/>
      <c r="F916" s="287"/>
      <c r="G916" s="286"/>
      <c r="H916" s="287"/>
      <c r="I916" s="288"/>
      <c r="J916" s="289"/>
      <c r="K916" s="288"/>
      <c r="L916" s="289"/>
      <c r="M916" s="290"/>
      <c r="N916" s="290"/>
      <c r="O916" s="291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</row>
    <row r="917" ht="13.5" customHeight="1">
      <c r="A917" s="286"/>
      <c r="B917" s="286"/>
      <c r="C917" s="286"/>
      <c r="D917" s="286"/>
      <c r="E917" s="286"/>
      <c r="F917" s="287"/>
      <c r="G917" s="286"/>
      <c r="H917" s="287"/>
      <c r="I917" s="288"/>
      <c r="J917" s="289"/>
      <c r="K917" s="288"/>
      <c r="L917" s="289"/>
      <c r="M917" s="290"/>
      <c r="N917" s="290"/>
      <c r="O917" s="291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</row>
    <row r="918" ht="13.5" customHeight="1">
      <c r="A918" s="286"/>
      <c r="B918" s="286"/>
      <c r="C918" s="286"/>
      <c r="D918" s="286"/>
      <c r="E918" s="286"/>
      <c r="F918" s="287"/>
      <c r="G918" s="286"/>
      <c r="H918" s="287"/>
      <c r="I918" s="288"/>
      <c r="J918" s="289"/>
      <c r="K918" s="288"/>
      <c r="L918" s="289"/>
      <c r="M918" s="290"/>
      <c r="N918" s="290"/>
      <c r="O918" s="291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</row>
    <row r="919" ht="13.5" customHeight="1">
      <c r="A919" s="286"/>
      <c r="B919" s="286"/>
      <c r="C919" s="286"/>
      <c r="D919" s="286"/>
      <c r="E919" s="286"/>
      <c r="F919" s="287"/>
      <c r="G919" s="286"/>
      <c r="H919" s="287"/>
      <c r="I919" s="288"/>
      <c r="J919" s="289"/>
      <c r="K919" s="288"/>
      <c r="L919" s="289"/>
      <c r="M919" s="290"/>
      <c r="N919" s="290"/>
      <c r="O919" s="291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</row>
    <row r="920" ht="13.5" customHeight="1">
      <c r="A920" s="286"/>
      <c r="B920" s="286"/>
      <c r="C920" s="286"/>
      <c r="D920" s="286"/>
      <c r="E920" s="286"/>
      <c r="F920" s="287"/>
      <c r="G920" s="286"/>
      <c r="H920" s="287"/>
      <c r="I920" s="288"/>
      <c r="J920" s="289"/>
      <c r="K920" s="288"/>
      <c r="L920" s="289"/>
      <c r="M920" s="290"/>
      <c r="N920" s="290"/>
      <c r="O920" s="291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</row>
    <row r="921" ht="13.5" customHeight="1">
      <c r="A921" s="286"/>
      <c r="B921" s="286"/>
      <c r="C921" s="286"/>
      <c r="D921" s="286"/>
      <c r="E921" s="286"/>
      <c r="F921" s="287"/>
      <c r="G921" s="286"/>
      <c r="H921" s="287"/>
      <c r="I921" s="288"/>
      <c r="J921" s="289"/>
      <c r="K921" s="288"/>
      <c r="L921" s="289"/>
      <c r="M921" s="290"/>
      <c r="N921" s="290"/>
      <c r="O921" s="291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</row>
    <row r="922" ht="13.5" customHeight="1">
      <c r="A922" s="286"/>
      <c r="B922" s="286"/>
      <c r="C922" s="286"/>
      <c r="D922" s="286"/>
      <c r="E922" s="286"/>
      <c r="F922" s="287"/>
      <c r="G922" s="286"/>
      <c r="H922" s="287"/>
      <c r="I922" s="288"/>
      <c r="J922" s="289"/>
      <c r="K922" s="288"/>
      <c r="L922" s="289"/>
      <c r="M922" s="290"/>
      <c r="N922" s="290"/>
      <c r="O922" s="291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</row>
    <row r="923" ht="13.5" customHeight="1">
      <c r="A923" s="286"/>
      <c r="B923" s="286"/>
      <c r="C923" s="286"/>
      <c r="D923" s="286"/>
      <c r="E923" s="286"/>
      <c r="F923" s="287"/>
      <c r="G923" s="286"/>
      <c r="H923" s="287"/>
      <c r="I923" s="288"/>
      <c r="J923" s="289"/>
      <c r="K923" s="288"/>
      <c r="L923" s="289"/>
      <c r="M923" s="290"/>
      <c r="N923" s="290"/>
      <c r="O923" s="291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</row>
    <row r="924" ht="13.5" customHeight="1">
      <c r="A924" s="286"/>
      <c r="B924" s="286"/>
      <c r="C924" s="286"/>
      <c r="D924" s="286"/>
      <c r="E924" s="286"/>
      <c r="F924" s="287"/>
      <c r="G924" s="286"/>
      <c r="H924" s="287"/>
      <c r="I924" s="288"/>
      <c r="J924" s="289"/>
      <c r="K924" s="288"/>
      <c r="L924" s="289"/>
      <c r="M924" s="290"/>
      <c r="N924" s="290"/>
      <c r="O924" s="291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</row>
    <row r="925" ht="13.5" customHeight="1">
      <c r="A925" s="286"/>
      <c r="B925" s="286"/>
      <c r="C925" s="286"/>
      <c r="D925" s="286"/>
      <c r="E925" s="286"/>
      <c r="F925" s="287"/>
      <c r="G925" s="286"/>
      <c r="H925" s="287"/>
      <c r="I925" s="288"/>
      <c r="J925" s="289"/>
      <c r="K925" s="288"/>
      <c r="L925" s="289"/>
      <c r="M925" s="290"/>
      <c r="N925" s="290"/>
      <c r="O925" s="291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</row>
    <row r="926" ht="13.5" customHeight="1">
      <c r="A926" s="286"/>
      <c r="B926" s="286"/>
      <c r="C926" s="286"/>
      <c r="D926" s="286"/>
      <c r="E926" s="286"/>
      <c r="F926" s="287"/>
      <c r="G926" s="286"/>
      <c r="H926" s="287"/>
      <c r="I926" s="288"/>
      <c r="J926" s="289"/>
      <c r="K926" s="288"/>
      <c r="L926" s="289"/>
      <c r="M926" s="290"/>
      <c r="N926" s="290"/>
      <c r="O926" s="291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</row>
    <row r="927" ht="13.5" customHeight="1">
      <c r="A927" s="286"/>
      <c r="B927" s="286"/>
      <c r="C927" s="286"/>
      <c r="D927" s="286"/>
      <c r="E927" s="286"/>
      <c r="F927" s="287"/>
      <c r="G927" s="286"/>
      <c r="H927" s="287"/>
      <c r="I927" s="288"/>
      <c r="J927" s="289"/>
      <c r="K927" s="288"/>
      <c r="L927" s="289"/>
      <c r="M927" s="290"/>
      <c r="N927" s="290"/>
      <c r="O927" s="291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</row>
    <row r="928" ht="13.5" customHeight="1">
      <c r="A928" s="286"/>
      <c r="B928" s="286"/>
      <c r="C928" s="286"/>
      <c r="D928" s="286"/>
      <c r="E928" s="286"/>
      <c r="F928" s="287"/>
      <c r="G928" s="286"/>
      <c r="H928" s="287"/>
      <c r="I928" s="288"/>
      <c r="J928" s="289"/>
      <c r="K928" s="288"/>
      <c r="L928" s="289"/>
      <c r="M928" s="290"/>
      <c r="N928" s="290"/>
      <c r="O928" s="291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</row>
    <row r="929" ht="13.5" customHeight="1">
      <c r="A929" s="286"/>
      <c r="B929" s="286"/>
      <c r="C929" s="286"/>
      <c r="D929" s="286"/>
      <c r="E929" s="286"/>
      <c r="F929" s="287"/>
      <c r="G929" s="286"/>
      <c r="H929" s="287"/>
      <c r="I929" s="288"/>
      <c r="J929" s="289"/>
      <c r="K929" s="288"/>
      <c r="L929" s="289"/>
      <c r="M929" s="290"/>
      <c r="N929" s="290"/>
      <c r="O929" s="291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</row>
    <row r="930" ht="13.5" customHeight="1">
      <c r="A930" s="286"/>
      <c r="B930" s="286"/>
      <c r="C930" s="286"/>
      <c r="D930" s="286"/>
      <c r="E930" s="286"/>
      <c r="F930" s="287"/>
      <c r="G930" s="286"/>
      <c r="H930" s="287"/>
      <c r="I930" s="288"/>
      <c r="J930" s="289"/>
      <c r="K930" s="288"/>
      <c r="L930" s="289"/>
      <c r="M930" s="290"/>
      <c r="N930" s="290"/>
      <c r="O930" s="291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</row>
    <row r="931" ht="13.5" customHeight="1">
      <c r="A931" s="286"/>
      <c r="B931" s="286"/>
      <c r="C931" s="286"/>
      <c r="D931" s="286"/>
      <c r="E931" s="286"/>
      <c r="F931" s="287"/>
      <c r="G931" s="286"/>
      <c r="H931" s="287"/>
      <c r="I931" s="288"/>
      <c r="J931" s="289"/>
      <c r="K931" s="288"/>
      <c r="L931" s="289"/>
      <c r="M931" s="290"/>
      <c r="N931" s="290"/>
      <c r="O931" s="291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</row>
    <row r="932" ht="13.5" customHeight="1">
      <c r="A932" s="286"/>
      <c r="B932" s="286"/>
      <c r="C932" s="286"/>
      <c r="D932" s="286"/>
      <c r="E932" s="286"/>
      <c r="F932" s="287"/>
      <c r="G932" s="286"/>
      <c r="H932" s="287"/>
      <c r="I932" s="288"/>
      <c r="J932" s="289"/>
      <c r="K932" s="288"/>
      <c r="L932" s="289"/>
      <c r="M932" s="290"/>
      <c r="N932" s="290"/>
      <c r="O932" s="291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</row>
    <row r="933" ht="13.5" customHeight="1">
      <c r="A933" s="286"/>
      <c r="B933" s="286"/>
      <c r="C933" s="286"/>
      <c r="D933" s="286"/>
      <c r="E933" s="286"/>
      <c r="F933" s="287"/>
      <c r="G933" s="286"/>
      <c r="H933" s="287"/>
      <c r="I933" s="288"/>
      <c r="J933" s="289"/>
      <c r="K933" s="288"/>
      <c r="L933" s="289"/>
      <c r="M933" s="290"/>
      <c r="N933" s="290"/>
      <c r="O933" s="291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</row>
    <row r="934" ht="13.5" customHeight="1">
      <c r="A934" s="286"/>
      <c r="B934" s="286"/>
      <c r="C934" s="286"/>
      <c r="D934" s="286"/>
      <c r="E934" s="286"/>
      <c r="F934" s="287"/>
      <c r="G934" s="286"/>
      <c r="H934" s="287"/>
      <c r="I934" s="288"/>
      <c r="J934" s="289"/>
      <c r="K934" s="288"/>
      <c r="L934" s="289"/>
      <c r="M934" s="290"/>
      <c r="N934" s="290"/>
      <c r="O934" s="291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</row>
    <row r="935" ht="13.5" customHeight="1">
      <c r="A935" s="286"/>
      <c r="B935" s="286"/>
      <c r="C935" s="286"/>
      <c r="D935" s="286"/>
      <c r="E935" s="286"/>
      <c r="F935" s="287"/>
      <c r="G935" s="286"/>
      <c r="H935" s="287"/>
      <c r="I935" s="288"/>
      <c r="J935" s="289"/>
      <c r="K935" s="288"/>
      <c r="L935" s="289"/>
      <c r="M935" s="290"/>
      <c r="N935" s="290"/>
      <c r="O935" s="291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</row>
    <row r="936" ht="13.5" customHeight="1">
      <c r="A936" s="286"/>
      <c r="B936" s="286"/>
      <c r="C936" s="286"/>
      <c r="D936" s="286"/>
      <c r="E936" s="286"/>
      <c r="F936" s="287"/>
      <c r="G936" s="286"/>
      <c r="H936" s="287"/>
      <c r="I936" s="288"/>
      <c r="J936" s="289"/>
      <c r="K936" s="288"/>
      <c r="L936" s="289"/>
      <c r="M936" s="290"/>
      <c r="N936" s="290"/>
      <c r="O936" s="291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</row>
    <row r="937" ht="13.5" customHeight="1">
      <c r="A937" s="286"/>
      <c r="B937" s="286"/>
      <c r="C937" s="286"/>
      <c r="D937" s="286"/>
      <c r="E937" s="286"/>
      <c r="F937" s="287"/>
      <c r="G937" s="286"/>
      <c r="H937" s="287"/>
      <c r="I937" s="288"/>
      <c r="J937" s="289"/>
      <c r="K937" s="288"/>
      <c r="L937" s="289"/>
      <c r="M937" s="290"/>
      <c r="N937" s="290"/>
      <c r="O937" s="291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</row>
    <row r="938" ht="13.5" customHeight="1">
      <c r="A938" s="286"/>
      <c r="B938" s="286"/>
      <c r="C938" s="286"/>
      <c r="D938" s="286"/>
      <c r="E938" s="286"/>
      <c r="F938" s="287"/>
      <c r="G938" s="286"/>
      <c r="H938" s="287"/>
      <c r="I938" s="288"/>
      <c r="J938" s="289"/>
      <c r="K938" s="288"/>
      <c r="L938" s="289"/>
      <c r="M938" s="290"/>
      <c r="N938" s="290"/>
      <c r="O938" s="291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</row>
    <row r="939" ht="13.5" customHeight="1">
      <c r="A939" s="286"/>
      <c r="B939" s="286"/>
      <c r="C939" s="286"/>
      <c r="D939" s="286"/>
      <c r="E939" s="286"/>
      <c r="F939" s="287"/>
      <c r="G939" s="286"/>
      <c r="H939" s="287"/>
      <c r="I939" s="288"/>
      <c r="J939" s="289"/>
      <c r="K939" s="288"/>
      <c r="L939" s="289"/>
      <c r="M939" s="290"/>
      <c r="N939" s="290"/>
      <c r="O939" s="291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</row>
    <row r="940" ht="13.5" customHeight="1">
      <c r="A940" s="286"/>
      <c r="B940" s="286"/>
      <c r="C940" s="286"/>
      <c r="D940" s="286"/>
      <c r="E940" s="286"/>
      <c r="F940" s="287"/>
      <c r="G940" s="286"/>
      <c r="H940" s="287"/>
      <c r="I940" s="288"/>
      <c r="J940" s="289"/>
      <c r="K940" s="288"/>
      <c r="L940" s="289"/>
      <c r="M940" s="290"/>
      <c r="N940" s="290"/>
      <c r="O940" s="291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</row>
    <row r="941" ht="13.5" customHeight="1">
      <c r="A941" s="286"/>
      <c r="B941" s="286"/>
      <c r="C941" s="286"/>
      <c r="D941" s="286"/>
      <c r="E941" s="286"/>
      <c r="F941" s="287"/>
      <c r="G941" s="286"/>
      <c r="H941" s="287"/>
      <c r="I941" s="288"/>
      <c r="J941" s="289"/>
      <c r="K941" s="288"/>
      <c r="L941" s="289"/>
      <c r="M941" s="290"/>
      <c r="N941" s="290"/>
      <c r="O941" s="291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</row>
    <row r="942" ht="13.5" customHeight="1">
      <c r="A942" s="286"/>
      <c r="B942" s="286"/>
      <c r="C942" s="286"/>
      <c r="D942" s="286"/>
      <c r="E942" s="286"/>
      <c r="F942" s="287"/>
      <c r="G942" s="286"/>
      <c r="H942" s="287"/>
      <c r="I942" s="288"/>
      <c r="J942" s="289"/>
      <c r="K942" s="288"/>
      <c r="L942" s="289"/>
      <c r="M942" s="290"/>
      <c r="N942" s="290"/>
      <c r="O942" s="291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</row>
    <row r="943" ht="13.5" customHeight="1">
      <c r="A943" s="286"/>
      <c r="B943" s="286"/>
      <c r="C943" s="286"/>
      <c r="D943" s="286"/>
      <c r="E943" s="286"/>
      <c r="F943" s="287"/>
      <c r="G943" s="286"/>
      <c r="H943" s="287"/>
      <c r="I943" s="288"/>
      <c r="J943" s="289"/>
      <c r="K943" s="288"/>
      <c r="L943" s="289"/>
      <c r="M943" s="290"/>
      <c r="N943" s="290"/>
      <c r="O943" s="291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</row>
    <row r="944" ht="13.5" customHeight="1">
      <c r="A944" s="286"/>
      <c r="B944" s="286"/>
      <c r="C944" s="286"/>
      <c r="D944" s="286"/>
      <c r="E944" s="286"/>
      <c r="F944" s="287"/>
      <c r="G944" s="286"/>
      <c r="H944" s="287"/>
      <c r="I944" s="288"/>
      <c r="J944" s="289"/>
      <c r="K944" s="288"/>
      <c r="L944" s="289"/>
      <c r="M944" s="290"/>
      <c r="N944" s="290"/>
      <c r="O944" s="291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</row>
    <row r="945" ht="13.5" customHeight="1">
      <c r="A945" s="286"/>
      <c r="B945" s="286"/>
      <c r="C945" s="286"/>
      <c r="D945" s="286"/>
      <c r="E945" s="286"/>
      <c r="F945" s="287"/>
      <c r="G945" s="286"/>
      <c r="H945" s="287"/>
      <c r="I945" s="288"/>
      <c r="J945" s="289"/>
      <c r="K945" s="288"/>
      <c r="L945" s="289"/>
      <c r="M945" s="290"/>
      <c r="N945" s="290"/>
      <c r="O945" s="291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</row>
    <row r="946" ht="13.5" customHeight="1">
      <c r="A946" s="286"/>
      <c r="B946" s="286"/>
      <c r="C946" s="286"/>
      <c r="D946" s="286"/>
      <c r="E946" s="286"/>
      <c r="F946" s="287"/>
      <c r="G946" s="286"/>
      <c r="H946" s="287"/>
      <c r="I946" s="288"/>
      <c r="J946" s="289"/>
      <c r="K946" s="288"/>
      <c r="L946" s="289"/>
      <c r="M946" s="290"/>
      <c r="N946" s="290"/>
      <c r="O946" s="291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</row>
    <row r="947" ht="13.5" customHeight="1">
      <c r="A947" s="286"/>
      <c r="B947" s="286"/>
      <c r="C947" s="286"/>
      <c r="D947" s="286"/>
      <c r="E947" s="286"/>
      <c r="F947" s="287"/>
      <c r="G947" s="286"/>
      <c r="H947" s="287"/>
      <c r="I947" s="288"/>
      <c r="J947" s="289"/>
      <c r="K947" s="288"/>
      <c r="L947" s="289"/>
      <c r="M947" s="290"/>
      <c r="N947" s="290"/>
      <c r="O947" s="291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</row>
    <row r="948" ht="13.5" customHeight="1">
      <c r="A948" s="286"/>
      <c r="B948" s="286"/>
      <c r="C948" s="286"/>
      <c r="D948" s="286"/>
      <c r="E948" s="286"/>
      <c r="F948" s="287"/>
      <c r="G948" s="286"/>
      <c r="H948" s="287"/>
      <c r="I948" s="288"/>
      <c r="J948" s="289"/>
      <c r="K948" s="288"/>
      <c r="L948" s="289"/>
      <c r="M948" s="290"/>
      <c r="N948" s="290"/>
      <c r="O948" s="291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</row>
    <row r="949" ht="13.5" customHeight="1">
      <c r="A949" s="286"/>
      <c r="B949" s="286"/>
      <c r="C949" s="286"/>
      <c r="D949" s="286"/>
      <c r="E949" s="286"/>
      <c r="F949" s="287"/>
      <c r="G949" s="286"/>
      <c r="H949" s="287"/>
      <c r="I949" s="288"/>
      <c r="J949" s="289"/>
      <c r="K949" s="288"/>
      <c r="L949" s="289"/>
      <c r="M949" s="290"/>
      <c r="N949" s="290"/>
      <c r="O949" s="291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</row>
    <row r="950" ht="13.5" customHeight="1">
      <c r="A950" s="286"/>
      <c r="B950" s="286"/>
      <c r="C950" s="286"/>
      <c r="D950" s="286"/>
      <c r="E950" s="286"/>
      <c r="F950" s="287"/>
      <c r="G950" s="286"/>
      <c r="H950" s="287"/>
      <c r="I950" s="288"/>
      <c r="J950" s="289"/>
      <c r="K950" s="288"/>
      <c r="L950" s="289"/>
      <c r="M950" s="290"/>
      <c r="N950" s="290"/>
      <c r="O950" s="291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</row>
    <row r="951" ht="13.5" customHeight="1">
      <c r="A951" s="286"/>
      <c r="B951" s="286"/>
      <c r="C951" s="286"/>
      <c r="D951" s="286"/>
      <c r="E951" s="286"/>
      <c r="F951" s="287"/>
      <c r="G951" s="286"/>
      <c r="H951" s="287"/>
      <c r="I951" s="288"/>
      <c r="J951" s="289"/>
      <c r="K951" s="288"/>
      <c r="L951" s="289"/>
      <c r="M951" s="290"/>
      <c r="N951" s="290"/>
      <c r="O951" s="291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</row>
    <row r="952" ht="13.5" customHeight="1">
      <c r="A952" s="286"/>
      <c r="B952" s="286"/>
      <c r="C952" s="286"/>
      <c r="D952" s="286"/>
      <c r="E952" s="286"/>
      <c r="F952" s="287"/>
      <c r="G952" s="286"/>
      <c r="H952" s="287"/>
      <c r="I952" s="288"/>
      <c r="J952" s="289"/>
      <c r="K952" s="288"/>
      <c r="L952" s="289"/>
      <c r="M952" s="290"/>
      <c r="N952" s="290"/>
      <c r="O952" s="291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</row>
    <row r="953" ht="13.5" customHeight="1">
      <c r="A953" s="286"/>
      <c r="B953" s="286"/>
      <c r="C953" s="286"/>
      <c r="D953" s="286"/>
      <c r="E953" s="286"/>
      <c r="F953" s="287"/>
      <c r="G953" s="286"/>
      <c r="H953" s="287"/>
      <c r="I953" s="288"/>
      <c r="J953" s="289"/>
      <c r="K953" s="288"/>
      <c r="L953" s="289"/>
      <c r="M953" s="290"/>
      <c r="N953" s="290"/>
      <c r="O953" s="291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</row>
    <row r="954" ht="13.5" customHeight="1">
      <c r="A954" s="286"/>
      <c r="B954" s="286"/>
      <c r="C954" s="286"/>
      <c r="D954" s="286"/>
      <c r="E954" s="286"/>
      <c r="F954" s="287"/>
      <c r="G954" s="286"/>
      <c r="H954" s="287"/>
      <c r="I954" s="288"/>
      <c r="J954" s="289"/>
      <c r="K954" s="288"/>
      <c r="L954" s="289"/>
      <c r="M954" s="290"/>
      <c r="N954" s="290"/>
      <c r="O954" s="291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</row>
    <row r="955" ht="13.5" customHeight="1">
      <c r="A955" s="286"/>
      <c r="B955" s="286"/>
      <c r="C955" s="286"/>
      <c r="D955" s="286"/>
      <c r="E955" s="286"/>
      <c r="F955" s="287"/>
      <c r="G955" s="286"/>
      <c r="H955" s="287"/>
      <c r="I955" s="288"/>
      <c r="J955" s="289"/>
      <c r="K955" s="288"/>
      <c r="L955" s="289"/>
      <c r="M955" s="290"/>
      <c r="N955" s="290"/>
      <c r="O955" s="291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</row>
    <row r="956" ht="13.5" customHeight="1">
      <c r="A956" s="286"/>
      <c r="B956" s="286"/>
      <c r="C956" s="286"/>
      <c r="D956" s="286"/>
      <c r="E956" s="286"/>
      <c r="F956" s="287"/>
      <c r="G956" s="286"/>
      <c r="H956" s="287"/>
      <c r="I956" s="288"/>
      <c r="J956" s="289"/>
      <c r="K956" s="288"/>
      <c r="L956" s="289"/>
      <c r="M956" s="290"/>
      <c r="N956" s="290"/>
      <c r="O956" s="291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</row>
    <row r="957" ht="13.5" customHeight="1">
      <c r="A957" s="286"/>
      <c r="B957" s="286"/>
      <c r="C957" s="286"/>
      <c r="D957" s="286"/>
      <c r="E957" s="286"/>
      <c r="F957" s="287"/>
      <c r="G957" s="286"/>
      <c r="H957" s="287"/>
      <c r="I957" s="288"/>
      <c r="J957" s="289"/>
      <c r="K957" s="288"/>
      <c r="L957" s="289"/>
      <c r="M957" s="290"/>
      <c r="N957" s="290"/>
      <c r="O957" s="291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</row>
    <row r="958" ht="13.5" customHeight="1">
      <c r="A958" s="286"/>
      <c r="B958" s="286"/>
      <c r="C958" s="286"/>
      <c r="D958" s="286"/>
      <c r="E958" s="286"/>
      <c r="F958" s="287"/>
      <c r="G958" s="286"/>
      <c r="H958" s="287"/>
      <c r="I958" s="288"/>
      <c r="J958" s="289"/>
      <c r="K958" s="288"/>
      <c r="L958" s="289"/>
      <c r="M958" s="290"/>
      <c r="N958" s="290"/>
      <c r="O958" s="291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</row>
    <row r="959" ht="13.5" customHeight="1">
      <c r="A959" s="286"/>
      <c r="B959" s="286"/>
      <c r="C959" s="286"/>
      <c r="D959" s="286"/>
      <c r="E959" s="286"/>
      <c r="F959" s="287"/>
      <c r="G959" s="286"/>
      <c r="H959" s="287"/>
      <c r="I959" s="288"/>
      <c r="J959" s="289"/>
      <c r="K959" s="288"/>
      <c r="L959" s="289"/>
      <c r="M959" s="290"/>
      <c r="N959" s="290"/>
      <c r="O959" s="291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</row>
    <row r="960" ht="13.5" customHeight="1">
      <c r="A960" s="286"/>
      <c r="B960" s="286"/>
      <c r="C960" s="286"/>
      <c r="D960" s="286"/>
      <c r="E960" s="286"/>
      <c r="F960" s="287"/>
      <c r="G960" s="286"/>
      <c r="H960" s="287"/>
      <c r="I960" s="288"/>
      <c r="J960" s="289"/>
      <c r="K960" s="288"/>
      <c r="L960" s="289"/>
      <c r="M960" s="290"/>
      <c r="N960" s="290"/>
      <c r="O960" s="291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</row>
    <row r="961" ht="13.5" customHeight="1">
      <c r="A961" s="286"/>
      <c r="B961" s="286"/>
      <c r="C961" s="286"/>
      <c r="D961" s="286"/>
      <c r="E961" s="286"/>
      <c r="F961" s="287"/>
      <c r="G961" s="286"/>
      <c r="H961" s="287"/>
      <c r="I961" s="288"/>
      <c r="J961" s="289"/>
      <c r="K961" s="288"/>
      <c r="L961" s="289"/>
      <c r="M961" s="290"/>
      <c r="N961" s="290"/>
      <c r="O961" s="291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</row>
    <row r="962" ht="13.5" customHeight="1">
      <c r="A962" s="286"/>
      <c r="B962" s="286"/>
      <c r="C962" s="286"/>
      <c r="D962" s="286"/>
      <c r="E962" s="286"/>
      <c r="F962" s="287"/>
      <c r="G962" s="286"/>
      <c r="H962" s="287"/>
      <c r="I962" s="288"/>
      <c r="J962" s="289"/>
      <c r="K962" s="288"/>
      <c r="L962" s="289"/>
      <c r="M962" s="290"/>
      <c r="N962" s="290"/>
      <c r="O962" s="291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</row>
    <row r="963" ht="13.5" customHeight="1">
      <c r="A963" s="286"/>
      <c r="B963" s="286"/>
      <c r="C963" s="286"/>
      <c r="D963" s="286"/>
      <c r="E963" s="286"/>
      <c r="F963" s="287"/>
      <c r="G963" s="286"/>
      <c r="H963" s="287"/>
      <c r="I963" s="288"/>
      <c r="J963" s="289"/>
      <c r="K963" s="288"/>
      <c r="L963" s="289"/>
      <c r="M963" s="290"/>
      <c r="N963" s="290"/>
      <c r="O963" s="291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</row>
    <row r="964" ht="13.5" customHeight="1">
      <c r="A964" s="286"/>
      <c r="B964" s="286"/>
      <c r="C964" s="286"/>
      <c r="D964" s="286"/>
      <c r="E964" s="286"/>
      <c r="F964" s="287"/>
      <c r="G964" s="286"/>
      <c r="H964" s="287"/>
      <c r="I964" s="288"/>
      <c r="J964" s="289"/>
      <c r="K964" s="288"/>
      <c r="L964" s="289"/>
      <c r="M964" s="290"/>
      <c r="N964" s="290"/>
      <c r="O964" s="291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</row>
    <row r="965" ht="13.5" customHeight="1">
      <c r="A965" s="286"/>
      <c r="B965" s="286"/>
      <c r="C965" s="286"/>
      <c r="D965" s="286"/>
      <c r="E965" s="286"/>
      <c r="F965" s="287"/>
      <c r="G965" s="286"/>
      <c r="H965" s="287"/>
      <c r="I965" s="288"/>
      <c r="J965" s="289"/>
      <c r="K965" s="288"/>
      <c r="L965" s="289"/>
      <c r="M965" s="290"/>
      <c r="N965" s="290"/>
      <c r="O965" s="291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</row>
    <row r="966" ht="13.5" customHeight="1">
      <c r="A966" s="286"/>
      <c r="B966" s="286"/>
      <c r="C966" s="286"/>
      <c r="D966" s="286"/>
      <c r="E966" s="286"/>
      <c r="F966" s="287"/>
      <c r="G966" s="286"/>
      <c r="H966" s="287"/>
      <c r="I966" s="288"/>
      <c r="J966" s="289"/>
      <c r="K966" s="288"/>
      <c r="L966" s="289"/>
      <c r="M966" s="290"/>
      <c r="N966" s="290"/>
      <c r="O966" s="291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</row>
    <row r="967" ht="13.5" customHeight="1">
      <c r="A967" s="286"/>
      <c r="B967" s="286"/>
      <c r="C967" s="286"/>
      <c r="D967" s="286"/>
      <c r="E967" s="286"/>
      <c r="F967" s="287"/>
      <c r="G967" s="286"/>
      <c r="H967" s="287"/>
      <c r="I967" s="288"/>
      <c r="J967" s="289"/>
      <c r="K967" s="288"/>
      <c r="L967" s="289"/>
      <c r="M967" s="290"/>
      <c r="N967" s="290"/>
      <c r="O967" s="291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</row>
    <row r="968" ht="13.5" customHeight="1">
      <c r="A968" s="286"/>
      <c r="B968" s="286"/>
      <c r="C968" s="286"/>
      <c r="D968" s="286"/>
      <c r="E968" s="286"/>
      <c r="F968" s="287"/>
      <c r="G968" s="286"/>
      <c r="H968" s="287"/>
      <c r="I968" s="288"/>
      <c r="J968" s="289"/>
      <c r="K968" s="288"/>
      <c r="L968" s="289"/>
      <c r="M968" s="290"/>
      <c r="N968" s="290"/>
      <c r="O968" s="291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</row>
    <row r="969" ht="13.5" customHeight="1">
      <c r="A969" s="286"/>
      <c r="B969" s="286"/>
      <c r="C969" s="286"/>
      <c r="D969" s="286"/>
      <c r="E969" s="286"/>
      <c r="F969" s="287"/>
      <c r="G969" s="286"/>
      <c r="H969" s="287"/>
      <c r="I969" s="288"/>
      <c r="J969" s="289"/>
      <c r="K969" s="288"/>
      <c r="L969" s="289"/>
      <c r="M969" s="290"/>
      <c r="N969" s="290"/>
      <c r="O969" s="291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</row>
    <row r="970" ht="13.5" customHeight="1">
      <c r="A970" s="286"/>
      <c r="B970" s="286"/>
      <c r="C970" s="286"/>
      <c r="D970" s="286"/>
      <c r="E970" s="286"/>
      <c r="F970" s="287"/>
      <c r="G970" s="286"/>
      <c r="H970" s="287"/>
      <c r="I970" s="288"/>
      <c r="J970" s="289"/>
      <c r="K970" s="288"/>
      <c r="L970" s="289"/>
      <c r="M970" s="290"/>
      <c r="N970" s="290"/>
      <c r="O970" s="291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</row>
    <row r="971" ht="13.5" customHeight="1">
      <c r="A971" s="286"/>
      <c r="B971" s="286"/>
      <c r="C971" s="286"/>
      <c r="D971" s="286"/>
      <c r="E971" s="286"/>
      <c r="F971" s="287"/>
      <c r="G971" s="286"/>
      <c r="H971" s="287"/>
      <c r="I971" s="288"/>
      <c r="J971" s="289"/>
      <c r="K971" s="288"/>
      <c r="L971" s="289"/>
      <c r="M971" s="290"/>
      <c r="N971" s="290"/>
      <c r="O971" s="291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</row>
    <row r="972" ht="13.5" customHeight="1">
      <c r="A972" s="286"/>
      <c r="B972" s="286"/>
      <c r="C972" s="286"/>
      <c r="D972" s="286"/>
      <c r="E972" s="286"/>
      <c r="F972" s="287"/>
      <c r="G972" s="286"/>
      <c r="H972" s="287"/>
      <c r="I972" s="288"/>
      <c r="J972" s="289"/>
      <c r="K972" s="288"/>
      <c r="L972" s="289"/>
      <c r="M972" s="290"/>
      <c r="N972" s="290"/>
      <c r="O972" s="291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</row>
    <row r="973" ht="13.5" customHeight="1">
      <c r="A973" s="286"/>
      <c r="B973" s="286"/>
      <c r="C973" s="286"/>
      <c r="D973" s="286"/>
      <c r="E973" s="286"/>
      <c r="F973" s="287"/>
      <c r="G973" s="286"/>
      <c r="H973" s="287"/>
      <c r="I973" s="288"/>
      <c r="J973" s="289"/>
      <c r="K973" s="288"/>
      <c r="L973" s="289"/>
      <c r="M973" s="290"/>
      <c r="N973" s="290"/>
      <c r="O973" s="291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</row>
    <row r="974" ht="13.5" customHeight="1">
      <c r="A974" s="286"/>
      <c r="B974" s="286"/>
      <c r="C974" s="286"/>
      <c r="D974" s="286"/>
      <c r="E974" s="286"/>
      <c r="F974" s="287"/>
      <c r="G974" s="286"/>
      <c r="H974" s="287"/>
      <c r="I974" s="288"/>
      <c r="J974" s="289"/>
      <c r="K974" s="288"/>
      <c r="L974" s="289"/>
      <c r="M974" s="290"/>
      <c r="N974" s="290"/>
      <c r="O974" s="291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</row>
    <row r="975" ht="13.5" customHeight="1">
      <c r="A975" s="286"/>
      <c r="B975" s="286"/>
      <c r="C975" s="286"/>
      <c r="D975" s="286"/>
      <c r="E975" s="286"/>
      <c r="F975" s="287"/>
      <c r="G975" s="286"/>
      <c r="H975" s="287"/>
      <c r="I975" s="288"/>
      <c r="J975" s="289"/>
      <c r="K975" s="288"/>
      <c r="L975" s="289"/>
      <c r="M975" s="290"/>
      <c r="N975" s="290"/>
      <c r="O975" s="291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</row>
    <row r="976" ht="13.5" customHeight="1">
      <c r="A976" s="286"/>
      <c r="B976" s="286"/>
      <c r="C976" s="286"/>
      <c r="D976" s="286"/>
      <c r="E976" s="286"/>
      <c r="F976" s="287"/>
      <c r="G976" s="286"/>
      <c r="H976" s="287"/>
      <c r="I976" s="288"/>
      <c r="J976" s="289"/>
      <c r="K976" s="288"/>
      <c r="L976" s="289"/>
      <c r="M976" s="290"/>
      <c r="N976" s="290"/>
      <c r="O976" s="291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</row>
    <row r="977" ht="13.5" customHeight="1">
      <c r="A977" s="286"/>
      <c r="B977" s="286"/>
      <c r="C977" s="286"/>
      <c r="D977" s="286"/>
      <c r="E977" s="286"/>
      <c r="F977" s="287"/>
      <c r="G977" s="286"/>
      <c r="H977" s="287"/>
      <c r="I977" s="288"/>
      <c r="J977" s="289"/>
      <c r="K977" s="288"/>
      <c r="L977" s="289"/>
      <c r="M977" s="290"/>
      <c r="N977" s="290"/>
      <c r="O977" s="291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</row>
    <row r="978" ht="13.5" customHeight="1">
      <c r="A978" s="286"/>
      <c r="B978" s="286"/>
      <c r="C978" s="286"/>
      <c r="D978" s="286"/>
      <c r="E978" s="286"/>
      <c r="F978" s="287"/>
      <c r="G978" s="286"/>
      <c r="H978" s="287"/>
      <c r="I978" s="288"/>
      <c r="J978" s="289"/>
      <c r="K978" s="288"/>
      <c r="L978" s="289"/>
      <c r="M978" s="290"/>
      <c r="N978" s="290"/>
      <c r="O978" s="291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</row>
    <row r="979" ht="13.5" customHeight="1">
      <c r="A979" s="286"/>
      <c r="B979" s="286"/>
      <c r="C979" s="286"/>
      <c r="D979" s="286"/>
      <c r="E979" s="286"/>
      <c r="F979" s="287"/>
      <c r="G979" s="286"/>
      <c r="H979" s="287"/>
      <c r="I979" s="288"/>
      <c r="J979" s="289"/>
      <c r="K979" s="288"/>
      <c r="L979" s="289"/>
      <c r="M979" s="290"/>
      <c r="N979" s="290"/>
      <c r="O979" s="291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</row>
    <row r="980" ht="13.5" customHeight="1">
      <c r="A980" s="286"/>
      <c r="B980" s="286"/>
      <c r="C980" s="286"/>
      <c r="D980" s="286"/>
      <c r="E980" s="286"/>
      <c r="F980" s="287"/>
      <c r="G980" s="286"/>
      <c r="H980" s="287"/>
      <c r="I980" s="288"/>
      <c r="J980" s="289"/>
      <c r="K980" s="288"/>
      <c r="L980" s="289"/>
      <c r="M980" s="290"/>
      <c r="N980" s="290"/>
      <c r="O980" s="291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</row>
    <row r="981" ht="13.5" customHeight="1">
      <c r="A981" s="286"/>
      <c r="B981" s="286"/>
      <c r="C981" s="286"/>
      <c r="D981" s="286"/>
      <c r="E981" s="286"/>
      <c r="F981" s="287"/>
      <c r="G981" s="286"/>
      <c r="H981" s="287"/>
      <c r="I981" s="288"/>
      <c r="J981" s="289"/>
      <c r="K981" s="288"/>
      <c r="L981" s="289"/>
      <c r="M981" s="290"/>
      <c r="N981" s="290"/>
      <c r="O981" s="291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</row>
    <row r="982" ht="13.5" customHeight="1">
      <c r="A982" s="286"/>
      <c r="B982" s="286"/>
      <c r="C982" s="286"/>
      <c r="D982" s="286"/>
      <c r="E982" s="286"/>
      <c r="F982" s="287"/>
      <c r="G982" s="286"/>
      <c r="H982" s="287"/>
      <c r="I982" s="288"/>
      <c r="J982" s="289"/>
      <c r="K982" s="288"/>
      <c r="L982" s="289"/>
      <c r="M982" s="290"/>
      <c r="N982" s="290"/>
      <c r="O982" s="291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</row>
    <row r="983" ht="13.5" customHeight="1">
      <c r="A983" s="286"/>
      <c r="B983" s="286"/>
      <c r="C983" s="286"/>
      <c r="D983" s="286"/>
      <c r="E983" s="286"/>
      <c r="F983" s="287"/>
      <c r="G983" s="286"/>
      <c r="H983" s="287"/>
      <c r="I983" s="288"/>
      <c r="J983" s="289"/>
      <c r="K983" s="288"/>
      <c r="L983" s="289"/>
      <c r="M983" s="290"/>
      <c r="N983" s="290"/>
      <c r="O983" s="291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</row>
    <row r="984" ht="13.5" customHeight="1">
      <c r="A984" s="286"/>
      <c r="B984" s="286"/>
      <c r="C984" s="286"/>
      <c r="D984" s="286"/>
      <c r="E984" s="286"/>
      <c r="F984" s="287"/>
      <c r="G984" s="286"/>
      <c r="H984" s="287"/>
      <c r="I984" s="288"/>
      <c r="J984" s="289"/>
      <c r="K984" s="288"/>
      <c r="L984" s="289"/>
      <c r="M984" s="290"/>
      <c r="N984" s="290"/>
      <c r="O984" s="291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</row>
    <row r="985" ht="13.5" customHeight="1">
      <c r="A985" s="286"/>
      <c r="B985" s="286"/>
      <c r="C985" s="286"/>
      <c r="D985" s="286"/>
      <c r="E985" s="286"/>
      <c r="F985" s="287"/>
      <c r="G985" s="286"/>
      <c r="H985" s="287"/>
      <c r="I985" s="288"/>
      <c r="J985" s="289"/>
      <c r="K985" s="288"/>
      <c r="L985" s="289"/>
      <c r="M985" s="290"/>
      <c r="N985" s="290"/>
      <c r="O985" s="291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</row>
    <row r="986" ht="13.5" customHeight="1">
      <c r="A986" s="286"/>
      <c r="B986" s="286"/>
      <c r="C986" s="286"/>
      <c r="D986" s="286"/>
      <c r="E986" s="286"/>
      <c r="F986" s="287"/>
      <c r="G986" s="286"/>
      <c r="H986" s="287"/>
      <c r="I986" s="288"/>
      <c r="J986" s="289"/>
      <c r="K986" s="288"/>
      <c r="L986" s="289"/>
      <c r="M986" s="290"/>
      <c r="N986" s="290"/>
      <c r="O986" s="291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</row>
    <row r="987" ht="13.5" customHeight="1">
      <c r="A987" s="286"/>
      <c r="B987" s="286"/>
      <c r="C987" s="286"/>
      <c r="D987" s="286"/>
      <c r="E987" s="286"/>
      <c r="F987" s="287"/>
      <c r="G987" s="286"/>
      <c r="H987" s="287"/>
      <c r="I987" s="288"/>
      <c r="J987" s="289"/>
      <c r="K987" s="288"/>
      <c r="L987" s="289"/>
      <c r="M987" s="290"/>
      <c r="N987" s="290"/>
      <c r="O987" s="291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</row>
    <row r="988" ht="13.5" customHeight="1">
      <c r="A988" s="286"/>
      <c r="B988" s="286"/>
      <c r="C988" s="286"/>
      <c r="D988" s="286"/>
      <c r="E988" s="286"/>
      <c r="F988" s="287"/>
      <c r="G988" s="286"/>
      <c r="H988" s="287"/>
      <c r="I988" s="288"/>
      <c r="J988" s="289"/>
      <c r="K988" s="288"/>
      <c r="L988" s="289"/>
      <c r="M988" s="290"/>
      <c r="N988" s="290"/>
      <c r="O988" s="291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</row>
    <row r="989" ht="13.5" customHeight="1">
      <c r="A989" s="286"/>
      <c r="B989" s="286"/>
      <c r="C989" s="286"/>
      <c r="D989" s="286"/>
      <c r="E989" s="286"/>
      <c r="F989" s="287"/>
      <c r="G989" s="286"/>
      <c r="H989" s="287"/>
      <c r="I989" s="288"/>
      <c r="J989" s="289"/>
      <c r="K989" s="288"/>
      <c r="L989" s="289"/>
      <c r="M989" s="290"/>
      <c r="N989" s="290"/>
      <c r="O989" s="291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</row>
    <row r="990" ht="13.5" customHeight="1">
      <c r="A990" s="286"/>
      <c r="B990" s="286"/>
      <c r="C990" s="286"/>
      <c r="D990" s="286"/>
      <c r="E990" s="286"/>
      <c r="F990" s="287"/>
      <c r="G990" s="286"/>
      <c r="H990" s="287"/>
      <c r="I990" s="288"/>
      <c r="J990" s="289"/>
      <c r="K990" s="288"/>
      <c r="L990" s="289"/>
      <c r="M990" s="290"/>
      <c r="N990" s="290"/>
      <c r="O990" s="291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</row>
    <row r="991" ht="13.5" customHeight="1">
      <c r="A991" s="286"/>
      <c r="B991" s="286"/>
      <c r="C991" s="286"/>
      <c r="D991" s="286"/>
      <c r="E991" s="286"/>
      <c r="F991" s="287"/>
      <c r="G991" s="286"/>
      <c r="H991" s="287"/>
      <c r="I991" s="288"/>
      <c r="J991" s="289"/>
      <c r="K991" s="288"/>
      <c r="L991" s="289"/>
      <c r="M991" s="290"/>
      <c r="N991" s="290"/>
      <c r="O991" s="291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</row>
    <row r="992" ht="13.5" customHeight="1">
      <c r="A992" s="286"/>
      <c r="B992" s="286"/>
      <c r="C992" s="286"/>
      <c r="D992" s="286"/>
      <c r="E992" s="286"/>
      <c r="F992" s="287"/>
      <c r="G992" s="286"/>
      <c r="H992" s="287"/>
      <c r="I992" s="288"/>
      <c r="J992" s="289"/>
      <c r="K992" s="288"/>
      <c r="L992" s="289"/>
      <c r="M992" s="290"/>
      <c r="N992" s="290"/>
      <c r="O992" s="291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</row>
    <row r="993" ht="13.5" customHeight="1">
      <c r="A993" s="286"/>
      <c r="B993" s="286"/>
      <c r="C993" s="286"/>
      <c r="D993" s="286"/>
      <c r="E993" s="286"/>
      <c r="F993" s="287"/>
      <c r="G993" s="286"/>
      <c r="H993" s="287"/>
      <c r="I993" s="288"/>
      <c r="J993" s="289"/>
      <c r="K993" s="288"/>
      <c r="L993" s="289"/>
      <c r="M993" s="290"/>
      <c r="N993" s="290"/>
      <c r="O993" s="291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</row>
    <row r="994" ht="13.5" customHeight="1">
      <c r="A994" s="286"/>
      <c r="B994" s="286"/>
      <c r="C994" s="286"/>
      <c r="D994" s="286"/>
      <c r="E994" s="286"/>
      <c r="F994" s="287"/>
      <c r="G994" s="286"/>
      <c r="H994" s="287"/>
      <c r="I994" s="288"/>
      <c r="J994" s="289"/>
      <c r="K994" s="288"/>
      <c r="L994" s="289"/>
      <c r="M994" s="290"/>
      <c r="N994" s="290"/>
      <c r="O994" s="291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</row>
    <row r="995" ht="13.5" customHeight="1">
      <c r="A995" s="286"/>
      <c r="B995" s="286"/>
      <c r="C995" s="286"/>
      <c r="D995" s="286"/>
      <c r="E995" s="286"/>
      <c r="F995" s="287"/>
      <c r="G995" s="286"/>
      <c r="H995" s="287"/>
      <c r="I995" s="288"/>
      <c r="J995" s="289"/>
      <c r="K995" s="288"/>
      <c r="L995" s="289"/>
      <c r="M995" s="290"/>
      <c r="N995" s="290"/>
      <c r="O995" s="291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</row>
    <row r="996" ht="13.5" customHeight="1">
      <c r="A996" s="286"/>
      <c r="B996" s="286"/>
      <c r="C996" s="286"/>
      <c r="D996" s="286"/>
      <c r="E996" s="286"/>
      <c r="F996" s="287"/>
      <c r="G996" s="286"/>
      <c r="H996" s="287"/>
      <c r="I996" s="288"/>
      <c r="J996" s="289"/>
      <c r="K996" s="288"/>
      <c r="L996" s="289"/>
      <c r="M996" s="290"/>
      <c r="N996" s="290"/>
      <c r="O996" s="291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</row>
    <row r="997" ht="13.5" customHeight="1">
      <c r="A997" s="286"/>
      <c r="B997" s="286"/>
      <c r="C997" s="286"/>
      <c r="D997" s="286"/>
      <c r="E997" s="286"/>
      <c r="F997" s="287"/>
      <c r="G997" s="286"/>
      <c r="H997" s="287"/>
      <c r="I997" s="288"/>
      <c r="J997" s="289"/>
      <c r="K997" s="288"/>
      <c r="L997" s="289"/>
      <c r="M997" s="290"/>
      <c r="N997" s="290"/>
      <c r="O997" s="291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</row>
    <row r="998" ht="13.5" customHeight="1">
      <c r="A998" s="286"/>
      <c r="B998" s="286"/>
      <c r="C998" s="286"/>
      <c r="D998" s="286"/>
      <c r="E998" s="286"/>
      <c r="F998" s="287"/>
      <c r="G998" s="286"/>
      <c r="H998" s="287"/>
      <c r="I998" s="288"/>
      <c r="J998" s="289"/>
      <c r="K998" s="288"/>
      <c r="L998" s="289"/>
      <c r="M998" s="290"/>
      <c r="N998" s="290"/>
      <c r="O998" s="291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</row>
    <row r="999" ht="13.5" customHeight="1">
      <c r="A999" s="286"/>
      <c r="B999" s="286"/>
      <c r="C999" s="286"/>
      <c r="D999" s="286"/>
      <c r="E999" s="286"/>
      <c r="F999" s="287"/>
      <c r="G999" s="286"/>
      <c r="H999" s="287"/>
      <c r="I999" s="288"/>
      <c r="J999" s="289"/>
      <c r="K999" s="288"/>
      <c r="L999" s="289"/>
      <c r="M999" s="290"/>
      <c r="N999" s="290"/>
      <c r="O999" s="291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</row>
    <row r="1000" ht="13.5" customHeight="1">
      <c r="A1000" s="286"/>
      <c r="B1000" s="286"/>
      <c r="C1000" s="286"/>
      <c r="D1000" s="286"/>
      <c r="E1000" s="286"/>
      <c r="F1000" s="287"/>
      <c r="G1000" s="286"/>
      <c r="H1000" s="287"/>
      <c r="I1000" s="288"/>
      <c r="J1000" s="289"/>
      <c r="K1000" s="288"/>
      <c r="L1000" s="289"/>
      <c r="M1000" s="290"/>
      <c r="N1000" s="290"/>
      <c r="O1000" s="291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8.86"/>
    <col customWidth="1" min="2" max="2" width="8.71"/>
    <col customWidth="1" min="3" max="15" width="18.71"/>
    <col customWidth="1" min="16" max="16" width="14.29"/>
    <col customWidth="1" min="17" max="26" width="8.0"/>
  </cols>
  <sheetData>
    <row r="1" ht="13.5" customHeight="1">
      <c r="A1" s="286"/>
      <c r="B1" s="286" t="s">
        <v>211</v>
      </c>
      <c r="C1" s="286"/>
      <c r="D1" s="286"/>
      <c r="E1" s="286"/>
      <c r="F1" s="287"/>
      <c r="G1" s="286"/>
      <c r="H1" s="287"/>
      <c r="I1" s="288"/>
      <c r="J1" s="289"/>
      <c r="K1" s="288"/>
      <c r="L1" s="289"/>
      <c r="M1" s="287"/>
      <c r="N1" s="286"/>
      <c r="O1" s="286"/>
      <c r="P1" s="291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ht="13.5" customHeight="1">
      <c r="A2" s="286"/>
      <c r="B2" s="286"/>
      <c r="C2" s="286"/>
      <c r="D2" s="286"/>
      <c r="E2" s="286"/>
      <c r="F2" s="287"/>
      <c r="G2" s="286"/>
      <c r="H2" s="287"/>
      <c r="I2" s="288"/>
      <c r="J2" s="289"/>
      <c r="K2" s="288"/>
      <c r="L2" s="289"/>
      <c r="M2" s="287"/>
      <c r="N2" s="286"/>
      <c r="O2" s="286"/>
      <c r="P2" s="291"/>
      <c r="Q2" s="286"/>
      <c r="R2" s="286"/>
      <c r="S2" s="286"/>
      <c r="T2" s="286"/>
      <c r="U2" s="286"/>
      <c r="V2" s="286"/>
      <c r="W2" s="286"/>
      <c r="X2" s="286"/>
      <c r="Y2" s="286"/>
      <c r="Z2" s="286"/>
    </row>
    <row r="3" ht="54.75" customHeight="1">
      <c r="A3" s="292"/>
      <c r="B3" s="292"/>
      <c r="C3" s="292"/>
      <c r="D3" s="292">
        <v>2022.0</v>
      </c>
      <c r="E3" s="292">
        <v>2023.0</v>
      </c>
      <c r="F3" s="293" t="s">
        <v>473</v>
      </c>
      <c r="G3" s="294">
        <v>2024.0</v>
      </c>
      <c r="H3" s="293" t="s">
        <v>474</v>
      </c>
      <c r="I3" s="294" t="s">
        <v>475</v>
      </c>
      <c r="J3" s="293" t="s">
        <v>476</v>
      </c>
      <c r="K3" s="292" t="s">
        <v>477</v>
      </c>
      <c r="L3" s="293" t="s">
        <v>478</v>
      </c>
      <c r="M3" s="293" t="s">
        <v>480</v>
      </c>
      <c r="N3" s="292">
        <v>2026.0</v>
      </c>
      <c r="O3" s="293" t="s">
        <v>479</v>
      </c>
      <c r="P3" s="297"/>
      <c r="Q3" s="292"/>
      <c r="R3" s="292"/>
      <c r="S3" s="292"/>
      <c r="T3" s="292"/>
      <c r="U3" s="292"/>
      <c r="V3" s="292"/>
      <c r="W3" s="292"/>
      <c r="X3" s="292"/>
      <c r="Y3" s="292"/>
      <c r="Z3" s="292"/>
    </row>
    <row r="4" ht="13.5" customHeight="1">
      <c r="A4" s="286"/>
      <c r="B4" s="298" t="s">
        <v>50</v>
      </c>
      <c r="C4" s="298" t="s">
        <v>51</v>
      </c>
      <c r="D4" s="298"/>
      <c r="E4" s="298"/>
      <c r="F4" s="299"/>
      <c r="G4" s="298"/>
      <c r="H4" s="299"/>
      <c r="I4" s="288"/>
      <c r="J4" s="289"/>
      <c r="K4" s="288"/>
      <c r="L4" s="289"/>
      <c r="M4" s="287"/>
      <c r="N4" s="286"/>
      <c r="O4" s="286"/>
      <c r="P4" s="291"/>
      <c r="Q4" s="286"/>
      <c r="R4" s="286"/>
      <c r="S4" s="286"/>
      <c r="T4" s="286"/>
      <c r="U4" s="286"/>
      <c r="V4" s="286"/>
      <c r="W4" s="286"/>
      <c r="X4" s="286"/>
      <c r="Y4" s="286"/>
      <c r="Z4" s="286"/>
    </row>
    <row r="5" ht="13.5" customHeight="1">
      <c r="A5" s="286"/>
      <c r="B5" s="298" t="s">
        <v>6</v>
      </c>
      <c r="C5" s="298" t="s">
        <v>52</v>
      </c>
      <c r="D5" s="288">
        <v>6.641523199E8</v>
      </c>
      <c r="E5" s="288">
        <v>8.20617822E8</v>
      </c>
      <c r="F5" s="289">
        <f t="shared" ref="F5:F9" si="1">E5-D5</f>
        <v>156465502.1</v>
      </c>
      <c r="G5" s="288">
        <v>8.563871605104865E8</v>
      </c>
      <c r="H5" s="289">
        <f t="shared" ref="H5:H9" si="2">G5-E5</f>
        <v>35769338.51</v>
      </c>
      <c r="I5" s="288">
        <v>8.52412055E8</v>
      </c>
      <c r="J5" s="289">
        <f t="shared" ref="J5:J9" si="3">I5-G5</f>
        <v>-3975105.51</v>
      </c>
      <c r="K5" s="288">
        <v>9.10976161E8</v>
      </c>
      <c r="L5" s="289">
        <f t="shared" ref="L5:L9" si="4">K5-G5</f>
        <v>54589000.49</v>
      </c>
      <c r="M5" s="289">
        <f t="shared" ref="M5:M9" si="5">K5-I5</f>
        <v>58564106</v>
      </c>
      <c r="N5" s="288">
        <f>'lamp. sk'!G13</f>
        <v>890919442</v>
      </c>
      <c r="O5" s="288">
        <f t="shared" ref="O5:O9" si="6">N5-I5</f>
        <v>38507387</v>
      </c>
      <c r="P5" s="291">
        <f t="shared" ref="P5:P9" si="7">O5/I5</f>
        <v>0.0451746157</v>
      </c>
      <c r="Q5" s="286"/>
      <c r="R5" s="286"/>
      <c r="S5" s="286"/>
      <c r="T5" s="286"/>
      <c r="U5" s="286"/>
      <c r="V5" s="286"/>
      <c r="W5" s="286"/>
      <c r="X5" s="286"/>
      <c r="Y5" s="286"/>
      <c r="Z5" s="286"/>
    </row>
    <row r="6" ht="13.5" customHeight="1">
      <c r="A6" s="286"/>
      <c r="B6" s="298" t="s">
        <v>14</v>
      </c>
      <c r="C6" s="298" t="s">
        <v>53</v>
      </c>
      <c r="D6" s="288">
        <v>6.4992266141E8</v>
      </c>
      <c r="E6" s="288">
        <v>7.37665137E8</v>
      </c>
      <c r="F6" s="289">
        <f t="shared" si="1"/>
        <v>87742475.59</v>
      </c>
      <c r="G6" s="288">
        <v>7.736913492784615E8</v>
      </c>
      <c r="H6" s="289">
        <f t="shared" si="2"/>
        <v>36026212.28</v>
      </c>
      <c r="I6" s="288">
        <v>7.67131353E8</v>
      </c>
      <c r="J6" s="289">
        <f t="shared" si="3"/>
        <v>-6559996.278</v>
      </c>
      <c r="K6" s="288">
        <v>8.18217461E8</v>
      </c>
      <c r="L6" s="289">
        <f t="shared" si="4"/>
        <v>44526111.72</v>
      </c>
      <c r="M6" s="289">
        <f t="shared" si="5"/>
        <v>51086108</v>
      </c>
      <c r="N6" s="288">
        <f>'lamp. sk'!G14</f>
        <v>823226824</v>
      </c>
      <c r="O6" s="288">
        <f t="shared" si="6"/>
        <v>56095471</v>
      </c>
      <c r="P6" s="291">
        <f t="shared" si="7"/>
        <v>0.07312368447</v>
      </c>
      <c r="Q6" s="286"/>
      <c r="R6" s="286"/>
      <c r="S6" s="286"/>
      <c r="T6" s="286"/>
      <c r="U6" s="286"/>
      <c r="V6" s="286"/>
      <c r="W6" s="286"/>
      <c r="X6" s="286"/>
      <c r="Y6" s="286"/>
      <c r="Z6" s="286"/>
    </row>
    <row r="7" ht="13.5" customHeight="1">
      <c r="A7" s="286"/>
      <c r="B7" s="298" t="s">
        <v>232</v>
      </c>
      <c r="C7" s="298" t="s">
        <v>54</v>
      </c>
      <c r="D7" s="288">
        <v>4.8951256609E8</v>
      </c>
      <c r="E7" s="288">
        <v>5.51943857E8</v>
      </c>
      <c r="F7" s="289">
        <f t="shared" si="1"/>
        <v>62431290.91</v>
      </c>
      <c r="G7" s="288">
        <v>5.709275428666818E8</v>
      </c>
      <c r="H7" s="289">
        <f t="shared" si="2"/>
        <v>18983685.87</v>
      </c>
      <c r="I7" s="288">
        <v>5.6925229E8</v>
      </c>
      <c r="J7" s="289">
        <f t="shared" si="3"/>
        <v>-1675252.867</v>
      </c>
      <c r="K7" s="288">
        <v>6.13734323E8</v>
      </c>
      <c r="L7" s="289">
        <f t="shared" si="4"/>
        <v>42806780.13</v>
      </c>
      <c r="M7" s="289">
        <f t="shared" si="5"/>
        <v>44482033</v>
      </c>
      <c r="N7" s="288">
        <f>'lamp. sk'!G15</f>
        <v>652329140</v>
      </c>
      <c r="O7" s="288">
        <f t="shared" si="6"/>
        <v>83076850</v>
      </c>
      <c r="P7" s="291">
        <f t="shared" si="7"/>
        <v>0.1459403</v>
      </c>
      <c r="Q7" s="286"/>
      <c r="R7" s="286"/>
      <c r="S7" s="286"/>
      <c r="T7" s="286"/>
      <c r="U7" s="286"/>
      <c r="V7" s="286"/>
      <c r="W7" s="286"/>
      <c r="X7" s="286"/>
      <c r="Y7" s="286"/>
      <c r="Z7" s="286"/>
    </row>
    <row r="8" ht="13.5" customHeight="1">
      <c r="A8" s="286"/>
      <c r="B8" s="298" t="s">
        <v>233</v>
      </c>
      <c r="C8" s="298" t="s">
        <v>55</v>
      </c>
      <c r="D8" s="288">
        <v>4.7684883064E8</v>
      </c>
      <c r="E8" s="288">
        <v>5.17731056E8</v>
      </c>
      <c r="F8" s="289">
        <f t="shared" si="1"/>
        <v>40882225.36</v>
      </c>
      <c r="G8" s="288">
        <v>5.402819375651059E8</v>
      </c>
      <c r="H8" s="289">
        <f t="shared" si="2"/>
        <v>22550881.57</v>
      </c>
      <c r="I8" s="288">
        <v>5.382117E8</v>
      </c>
      <c r="J8" s="289">
        <f t="shared" si="3"/>
        <v>-2070237.565</v>
      </c>
      <c r="K8" s="288">
        <v>5.82796006E8</v>
      </c>
      <c r="L8" s="289">
        <f t="shared" si="4"/>
        <v>42514068.43</v>
      </c>
      <c r="M8" s="289">
        <f t="shared" si="5"/>
        <v>44584306</v>
      </c>
      <c r="N8" s="288">
        <f>'lamp. sk'!G16</f>
        <v>641641099</v>
      </c>
      <c r="O8" s="288">
        <f t="shared" si="6"/>
        <v>103429399</v>
      </c>
      <c r="P8" s="291">
        <f t="shared" si="7"/>
        <v>0.1921723348</v>
      </c>
      <c r="Q8" s="286"/>
      <c r="R8" s="286"/>
      <c r="S8" s="286"/>
      <c r="T8" s="286"/>
      <c r="U8" s="286"/>
      <c r="V8" s="286"/>
      <c r="W8" s="286"/>
      <c r="X8" s="286"/>
      <c r="Y8" s="286"/>
      <c r="Z8" s="286"/>
    </row>
    <row r="9" ht="13.5" customHeight="1">
      <c r="A9" s="286"/>
      <c r="B9" s="298" t="s">
        <v>234</v>
      </c>
      <c r="C9" s="298" t="s">
        <v>56</v>
      </c>
      <c r="D9" s="288">
        <v>5.8083325022E8</v>
      </c>
      <c r="E9" s="288">
        <v>6.62967454E8</v>
      </c>
      <c r="F9" s="289">
        <f t="shared" si="1"/>
        <v>82134203.78</v>
      </c>
      <c r="G9" s="288">
        <v>6.969791024298644E8</v>
      </c>
      <c r="H9" s="289">
        <f t="shared" si="2"/>
        <v>34011648.43</v>
      </c>
      <c r="I9" s="288">
        <v>6.86345486E8</v>
      </c>
      <c r="J9" s="289">
        <f t="shared" si="3"/>
        <v>-10633616.43</v>
      </c>
      <c r="K9" s="288">
        <v>7.27434273E8</v>
      </c>
      <c r="L9" s="289">
        <f t="shared" si="4"/>
        <v>30455170.57</v>
      </c>
      <c r="M9" s="289">
        <f t="shared" si="5"/>
        <v>41088787</v>
      </c>
      <c r="N9" s="288">
        <f>'lamp. sk'!G17</f>
        <v>750112626</v>
      </c>
      <c r="O9" s="288">
        <f t="shared" si="6"/>
        <v>63767140</v>
      </c>
      <c r="P9" s="291">
        <f t="shared" si="7"/>
        <v>0.09290822377</v>
      </c>
      <c r="Q9" s="286"/>
      <c r="R9" s="286"/>
      <c r="S9" s="286"/>
      <c r="T9" s="286"/>
      <c r="U9" s="286"/>
      <c r="V9" s="286"/>
      <c r="W9" s="286"/>
      <c r="X9" s="286"/>
      <c r="Y9" s="286"/>
      <c r="Z9" s="286"/>
    </row>
    <row r="10" ht="13.5" customHeight="1">
      <c r="A10" s="286"/>
      <c r="B10" s="298" t="s">
        <v>57</v>
      </c>
      <c r="C10" s="298" t="s">
        <v>58</v>
      </c>
      <c r="D10" s="288"/>
      <c r="E10" s="288"/>
      <c r="F10" s="289"/>
      <c r="G10" s="288"/>
      <c r="H10" s="289"/>
      <c r="I10" s="288"/>
      <c r="J10" s="289"/>
      <c r="K10" s="288"/>
      <c r="L10" s="289"/>
      <c r="M10" s="287"/>
      <c r="N10" s="288"/>
      <c r="O10" s="288"/>
      <c r="P10" s="291"/>
      <c r="Q10" s="286"/>
      <c r="R10" s="286"/>
      <c r="S10" s="286"/>
      <c r="T10" s="286"/>
      <c r="U10" s="286"/>
      <c r="V10" s="286"/>
      <c r="W10" s="286"/>
      <c r="X10" s="286"/>
      <c r="Y10" s="286"/>
      <c r="Z10" s="286"/>
    </row>
    <row r="11" ht="13.5" customHeight="1">
      <c r="A11" s="286"/>
      <c r="B11" s="298" t="s">
        <v>235</v>
      </c>
      <c r="C11" s="298" t="s">
        <v>59</v>
      </c>
      <c r="D11" s="288">
        <v>3.4727742055E8</v>
      </c>
      <c r="E11" s="288">
        <v>5.24954918E8</v>
      </c>
      <c r="F11" s="289">
        <f t="shared" ref="F11:F17" si="8">E11-D11</f>
        <v>177677497.5</v>
      </c>
      <c r="G11" s="288">
        <v>5.384028800422537E8</v>
      </c>
      <c r="H11" s="289">
        <f t="shared" ref="H11:H17" si="9">G11-E11</f>
        <v>13447962.04</v>
      </c>
      <c r="I11" s="288">
        <v>5.36319322E8</v>
      </c>
      <c r="J11" s="289">
        <f t="shared" ref="J11:J17" si="10">I11-G11</f>
        <v>-2083558.042</v>
      </c>
      <c r="K11" s="288">
        <v>5.8097756E8</v>
      </c>
      <c r="L11" s="289">
        <f t="shared" ref="L11:L17" si="11">K11-G11</f>
        <v>42574679.96</v>
      </c>
      <c r="M11" s="289">
        <f t="shared" ref="M11:M17" si="12">K11-I11</f>
        <v>44658238</v>
      </c>
      <c r="N11" s="288">
        <f>'lamp. sk'!G19</f>
        <v>587711810</v>
      </c>
      <c r="O11" s="288">
        <f t="shared" ref="O11:O17" si="13">N11-I11</f>
        <v>51392488</v>
      </c>
      <c r="P11" s="291">
        <f t="shared" ref="P11:P17" si="14">O11/I11</f>
        <v>0.09582442006</v>
      </c>
      <c r="Q11" s="286"/>
      <c r="R11" s="286"/>
      <c r="S11" s="286"/>
      <c r="T11" s="286"/>
      <c r="U11" s="286"/>
      <c r="V11" s="286"/>
      <c r="W11" s="286"/>
      <c r="X11" s="286"/>
      <c r="Y11" s="286"/>
      <c r="Z11" s="286"/>
    </row>
    <row r="12" ht="13.5" customHeight="1">
      <c r="A12" s="286"/>
      <c r="B12" s="298" t="s">
        <v>236</v>
      </c>
      <c r="C12" s="298" t="s">
        <v>60</v>
      </c>
      <c r="D12" s="288">
        <v>3.8234285039E8</v>
      </c>
      <c r="E12" s="288">
        <v>5.6981623E8</v>
      </c>
      <c r="F12" s="289">
        <f t="shared" si="8"/>
        <v>187473379.6</v>
      </c>
      <c r="G12" s="288">
        <v>5.909009353698596E8</v>
      </c>
      <c r="H12" s="289">
        <f t="shared" si="9"/>
        <v>21084705.37</v>
      </c>
      <c r="I12" s="288">
        <v>5.88894473E8</v>
      </c>
      <c r="J12" s="289">
        <f t="shared" si="10"/>
        <v>-2006462.37</v>
      </c>
      <c r="K12" s="288">
        <v>6.34166056E8</v>
      </c>
      <c r="L12" s="289">
        <f t="shared" si="11"/>
        <v>43265120.63</v>
      </c>
      <c r="M12" s="289">
        <f t="shared" si="12"/>
        <v>45271583</v>
      </c>
      <c r="N12" s="288">
        <f>'lamp. sk'!G20</f>
        <v>677931989</v>
      </c>
      <c r="O12" s="288">
        <f t="shared" si="13"/>
        <v>89037516</v>
      </c>
      <c r="P12" s="291">
        <f t="shared" si="14"/>
        <v>0.1511943482</v>
      </c>
      <c r="Q12" s="286"/>
      <c r="R12" s="286"/>
      <c r="S12" s="286"/>
      <c r="T12" s="286"/>
      <c r="U12" s="286"/>
      <c r="V12" s="286"/>
      <c r="W12" s="286"/>
      <c r="X12" s="286"/>
      <c r="Y12" s="286"/>
      <c r="Z12" s="286"/>
    </row>
    <row r="13" ht="13.5" customHeight="1">
      <c r="A13" s="286"/>
      <c r="B13" s="298" t="s">
        <v>237</v>
      </c>
      <c r="C13" s="298" t="s">
        <v>61</v>
      </c>
      <c r="D13" s="288">
        <v>2.8328859608E8</v>
      </c>
      <c r="E13" s="288">
        <v>3.7065122E8</v>
      </c>
      <c r="F13" s="289">
        <f t="shared" si="8"/>
        <v>87362623.92</v>
      </c>
      <c r="G13" s="288">
        <v>3.820627887236312E8</v>
      </c>
      <c r="H13" s="289">
        <f t="shared" si="9"/>
        <v>11411568.72</v>
      </c>
      <c r="I13" s="288">
        <v>3.7719282E8</v>
      </c>
      <c r="J13" s="289">
        <f t="shared" si="10"/>
        <v>-4869968.724</v>
      </c>
      <c r="K13" s="288">
        <v>4.15454707E8</v>
      </c>
      <c r="L13" s="289">
        <f t="shared" si="11"/>
        <v>33391918.28</v>
      </c>
      <c r="M13" s="289">
        <f t="shared" si="12"/>
        <v>38261887</v>
      </c>
      <c r="N13" s="288">
        <f>'lamp. sk'!G21</f>
        <v>454637003</v>
      </c>
      <c r="O13" s="288">
        <f t="shared" si="13"/>
        <v>77444183</v>
      </c>
      <c r="P13" s="291">
        <f t="shared" si="14"/>
        <v>0.2053172248</v>
      </c>
      <c r="Q13" s="286"/>
      <c r="R13" s="286"/>
      <c r="S13" s="286"/>
      <c r="T13" s="286"/>
      <c r="U13" s="286"/>
      <c r="V13" s="286"/>
      <c r="W13" s="286"/>
      <c r="X13" s="286"/>
      <c r="Y13" s="286"/>
      <c r="Z13" s="286"/>
    </row>
    <row r="14" ht="13.5" customHeight="1">
      <c r="A14" s="286"/>
      <c r="B14" s="298" t="s">
        <v>238</v>
      </c>
      <c r="C14" s="298" t="s">
        <v>62</v>
      </c>
      <c r="D14" s="288">
        <v>3.170846833E8</v>
      </c>
      <c r="E14" s="288">
        <v>4.18698967E8</v>
      </c>
      <c r="F14" s="289">
        <f t="shared" si="8"/>
        <v>101614283.7</v>
      </c>
      <c r="G14" s="288">
        <v>4.36986928698765E8</v>
      </c>
      <c r="H14" s="289">
        <f t="shared" si="9"/>
        <v>18287961.7</v>
      </c>
      <c r="I14" s="288">
        <v>4.34838082E8</v>
      </c>
      <c r="J14" s="289">
        <f t="shared" si="10"/>
        <v>-2148846.699</v>
      </c>
      <c r="K14" s="288">
        <v>4.76617115E8</v>
      </c>
      <c r="L14" s="289">
        <f t="shared" si="11"/>
        <v>39630186.3</v>
      </c>
      <c r="M14" s="289">
        <f t="shared" si="12"/>
        <v>41779033</v>
      </c>
      <c r="N14" s="288">
        <f>'lamp. sk'!G22</f>
        <v>553280244</v>
      </c>
      <c r="O14" s="288">
        <f t="shared" si="13"/>
        <v>118442162</v>
      </c>
      <c r="P14" s="291">
        <f t="shared" si="14"/>
        <v>0.2723822197</v>
      </c>
      <c r="Q14" s="286"/>
      <c r="R14" s="286"/>
      <c r="S14" s="286"/>
      <c r="T14" s="286"/>
      <c r="U14" s="286"/>
      <c r="V14" s="286"/>
      <c r="W14" s="286"/>
      <c r="X14" s="286"/>
      <c r="Y14" s="286"/>
      <c r="Z14" s="286"/>
    </row>
    <row r="15" ht="13.5" customHeight="1">
      <c r="A15" s="286"/>
      <c r="B15" s="298" t="s">
        <v>239</v>
      </c>
      <c r="C15" s="298" t="s">
        <v>63</v>
      </c>
      <c r="D15" s="288">
        <v>4.1810979994E8</v>
      </c>
      <c r="E15" s="288">
        <v>5.59427066E8</v>
      </c>
      <c r="F15" s="289">
        <f t="shared" si="8"/>
        <v>141317266.1</v>
      </c>
      <c r="G15" s="288">
        <v>5.980486097659917E8</v>
      </c>
      <c r="H15" s="289">
        <f t="shared" si="9"/>
        <v>38621543.77</v>
      </c>
      <c r="I15" s="288">
        <v>5.92335647E8</v>
      </c>
      <c r="J15" s="289">
        <f t="shared" si="10"/>
        <v>-5712962.766</v>
      </c>
      <c r="K15" s="288">
        <v>6.44495554E8</v>
      </c>
      <c r="L15" s="289">
        <f t="shared" si="11"/>
        <v>46446944.23</v>
      </c>
      <c r="M15" s="289">
        <f t="shared" si="12"/>
        <v>52159907</v>
      </c>
      <c r="N15" s="288">
        <f>'lamp. sk'!G23</f>
        <v>673341159</v>
      </c>
      <c r="O15" s="288">
        <f t="shared" si="13"/>
        <v>81005512</v>
      </c>
      <c r="P15" s="291">
        <f t="shared" si="14"/>
        <v>0.1367560984</v>
      </c>
      <c r="Q15" s="286"/>
      <c r="R15" s="286"/>
      <c r="S15" s="286"/>
      <c r="T15" s="286"/>
      <c r="U15" s="286"/>
      <c r="V15" s="286"/>
      <c r="W15" s="286"/>
      <c r="X15" s="286"/>
      <c r="Y15" s="286"/>
      <c r="Z15" s="286"/>
    </row>
    <row r="16" ht="13.5" customHeight="1">
      <c r="A16" s="286"/>
      <c r="B16" s="298" t="s">
        <v>240</v>
      </c>
      <c r="C16" s="298" t="s">
        <v>64</v>
      </c>
      <c r="D16" s="288">
        <v>4.9558095995E8</v>
      </c>
      <c r="E16" s="288">
        <v>5.53746943E8</v>
      </c>
      <c r="F16" s="289">
        <f t="shared" si="8"/>
        <v>58165983.05</v>
      </c>
      <c r="G16" s="288">
        <v>5.879841084424613E8</v>
      </c>
      <c r="H16" s="289">
        <f t="shared" si="9"/>
        <v>34237165.44</v>
      </c>
      <c r="I16" s="288">
        <v>5.84194557E8</v>
      </c>
      <c r="J16" s="289">
        <f t="shared" si="10"/>
        <v>-3789551.442</v>
      </c>
      <c r="K16" s="288">
        <v>6.34677219E8</v>
      </c>
      <c r="L16" s="289">
        <f t="shared" si="11"/>
        <v>46693110.56</v>
      </c>
      <c r="M16" s="289">
        <f t="shared" si="12"/>
        <v>50482662</v>
      </c>
      <c r="N16" s="288">
        <f>'lamp. sk'!G24</f>
        <v>673317611</v>
      </c>
      <c r="O16" s="288">
        <f t="shared" si="13"/>
        <v>89123054</v>
      </c>
      <c r="P16" s="291">
        <f t="shared" si="14"/>
        <v>0.1525571454</v>
      </c>
      <c r="Q16" s="286"/>
      <c r="R16" s="286"/>
      <c r="S16" s="286"/>
      <c r="T16" s="286"/>
      <c r="U16" s="286"/>
      <c r="V16" s="286"/>
      <c r="W16" s="286"/>
      <c r="X16" s="286"/>
      <c r="Y16" s="286"/>
      <c r="Z16" s="286"/>
    </row>
    <row r="17" ht="13.5" customHeight="1">
      <c r="A17" s="286"/>
      <c r="B17" s="298" t="s">
        <v>241</v>
      </c>
      <c r="C17" s="298" t="s">
        <v>65</v>
      </c>
      <c r="D17" s="288">
        <v>3.3115723975E8</v>
      </c>
      <c r="E17" s="288">
        <v>4.57301126E8</v>
      </c>
      <c r="F17" s="289">
        <f t="shared" si="8"/>
        <v>126143886.3</v>
      </c>
      <c r="G17" s="288">
        <v>4.736198772056603E8</v>
      </c>
      <c r="H17" s="289">
        <f t="shared" si="9"/>
        <v>16318751.21</v>
      </c>
      <c r="I17" s="288">
        <v>4.70136077E8</v>
      </c>
      <c r="J17" s="289">
        <f t="shared" si="10"/>
        <v>-3483800.206</v>
      </c>
      <c r="K17" s="288">
        <v>5.08983971E8</v>
      </c>
      <c r="L17" s="289">
        <f t="shared" si="11"/>
        <v>35364093.79</v>
      </c>
      <c r="M17" s="289">
        <f t="shared" si="12"/>
        <v>38847894</v>
      </c>
      <c r="N17" s="288">
        <f>'lamp. sk'!G25</f>
        <v>535025642</v>
      </c>
      <c r="O17" s="288">
        <f t="shared" si="13"/>
        <v>64889565</v>
      </c>
      <c r="P17" s="291">
        <f t="shared" si="14"/>
        <v>0.1380229431</v>
      </c>
      <c r="Q17" s="286"/>
      <c r="R17" s="286"/>
      <c r="S17" s="286"/>
      <c r="T17" s="286"/>
      <c r="U17" s="286"/>
      <c r="V17" s="286"/>
      <c r="W17" s="286"/>
      <c r="X17" s="286"/>
      <c r="Y17" s="286"/>
      <c r="Z17" s="286"/>
    </row>
    <row r="18" ht="13.5" customHeight="1">
      <c r="A18" s="286"/>
      <c r="B18" s="298" t="s">
        <v>66</v>
      </c>
      <c r="C18" s="298" t="s">
        <v>67</v>
      </c>
      <c r="D18" s="288"/>
      <c r="E18" s="288"/>
      <c r="F18" s="289"/>
      <c r="G18" s="288"/>
      <c r="H18" s="289"/>
      <c r="I18" s="288"/>
      <c r="J18" s="289"/>
      <c r="K18" s="288"/>
      <c r="L18" s="289"/>
      <c r="M18" s="287"/>
      <c r="N18" s="288"/>
      <c r="O18" s="288"/>
      <c r="P18" s="291"/>
      <c r="Q18" s="286"/>
      <c r="R18" s="286"/>
      <c r="S18" s="286"/>
      <c r="T18" s="286"/>
      <c r="U18" s="286"/>
      <c r="V18" s="286"/>
      <c r="W18" s="286"/>
      <c r="X18" s="286"/>
      <c r="Y18" s="286"/>
      <c r="Z18" s="286"/>
    </row>
    <row r="19" ht="13.5" customHeight="1">
      <c r="A19" s="286"/>
      <c r="B19" s="298" t="s">
        <v>242</v>
      </c>
      <c r="C19" s="298" t="s">
        <v>243</v>
      </c>
      <c r="D19" s="288">
        <v>3.5917725375E8</v>
      </c>
      <c r="E19" s="288">
        <v>5.39659071E8</v>
      </c>
      <c r="F19" s="289">
        <f t="shared" ref="F19:F22" si="15">E19-D19</f>
        <v>180481817.3</v>
      </c>
      <c r="G19" s="288">
        <v>5.608270345320133E8</v>
      </c>
      <c r="H19" s="289">
        <f t="shared" ref="H19:H22" si="16">G19-E19</f>
        <v>21167963.53</v>
      </c>
      <c r="I19" s="288">
        <v>5.56507176E8</v>
      </c>
      <c r="J19" s="289">
        <f t="shared" ref="J19:J22" si="17">I19-G19</f>
        <v>-4319858.532</v>
      </c>
      <c r="K19" s="288">
        <v>5.98826898E8</v>
      </c>
      <c r="L19" s="289">
        <f t="shared" ref="L19:L22" si="18">K19-G19</f>
        <v>37999863.47</v>
      </c>
      <c r="M19" s="289">
        <f t="shared" ref="M19:M22" si="19">K19-I19</f>
        <v>42319722</v>
      </c>
      <c r="N19" s="288">
        <f>'lamp. sk'!G28</f>
        <v>601002847</v>
      </c>
      <c r="O19" s="288">
        <f t="shared" ref="O19:O22" si="20">N19-I19</f>
        <v>44495671</v>
      </c>
      <c r="P19" s="291">
        <f t="shared" ref="P19:P22" si="21">O19/I19</f>
        <v>0.07995525111</v>
      </c>
      <c r="Q19" s="286"/>
      <c r="R19" s="286"/>
      <c r="S19" s="286"/>
      <c r="T19" s="286"/>
      <c r="U19" s="286"/>
      <c r="V19" s="286"/>
      <c r="W19" s="286"/>
      <c r="X19" s="286"/>
      <c r="Y19" s="286"/>
      <c r="Z19" s="286"/>
    </row>
    <row r="20" ht="13.5" customHeight="1">
      <c r="A20" s="286"/>
      <c r="B20" s="298" t="s">
        <v>244</v>
      </c>
      <c r="C20" s="298" t="s">
        <v>69</v>
      </c>
      <c r="D20" s="288">
        <v>3.8406856124E8</v>
      </c>
      <c r="E20" s="288">
        <v>5.32874369E8</v>
      </c>
      <c r="F20" s="289">
        <f t="shared" si="15"/>
        <v>148805807.8</v>
      </c>
      <c r="G20" s="288">
        <v>5.522879509494807E8</v>
      </c>
      <c r="H20" s="289">
        <f t="shared" si="16"/>
        <v>19413581.95</v>
      </c>
      <c r="I20" s="288">
        <v>5.43740023E8</v>
      </c>
      <c r="J20" s="289">
        <f t="shared" si="17"/>
        <v>-8547927.949</v>
      </c>
      <c r="K20" s="288">
        <v>5.92596549E8</v>
      </c>
      <c r="L20" s="289">
        <f t="shared" si="18"/>
        <v>40308598.05</v>
      </c>
      <c r="M20" s="289">
        <f t="shared" si="19"/>
        <v>48856526</v>
      </c>
      <c r="N20" s="288">
        <f>'lamp. sk'!G29</f>
        <v>636120813</v>
      </c>
      <c r="O20" s="288">
        <f t="shared" si="20"/>
        <v>92380790</v>
      </c>
      <c r="P20" s="291">
        <f t="shared" si="21"/>
        <v>0.1698988231</v>
      </c>
      <c r="Q20" s="286"/>
      <c r="R20" s="286"/>
      <c r="S20" s="286"/>
      <c r="T20" s="286"/>
      <c r="U20" s="286"/>
      <c r="V20" s="286"/>
      <c r="W20" s="286"/>
      <c r="X20" s="286"/>
      <c r="Y20" s="286"/>
      <c r="Z20" s="286"/>
    </row>
    <row r="21" ht="13.5" customHeight="1">
      <c r="A21" s="286"/>
      <c r="B21" s="298" t="s">
        <v>245</v>
      </c>
      <c r="C21" s="298" t="s">
        <v>70</v>
      </c>
      <c r="D21" s="288">
        <v>4.8381075627E8</v>
      </c>
      <c r="E21" s="288">
        <v>7.29656411E8</v>
      </c>
      <c r="F21" s="289">
        <f t="shared" si="15"/>
        <v>245845654.7</v>
      </c>
      <c r="G21" s="288">
        <v>7.679005081641996E8</v>
      </c>
      <c r="H21" s="289">
        <f t="shared" si="16"/>
        <v>38244097.16</v>
      </c>
      <c r="I21" s="288">
        <v>7.60636022E8</v>
      </c>
      <c r="J21" s="289">
        <f t="shared" si="17"/>
        <v>-7264486.164</v>
      </c>
      <c r="K21" s="288">
        <v>8.15511039E8</v>
      </c>
      <c r="L21" s="289">
        <f t="shared" si="18"/>
        <v>47610530.84</v>
      </c>
      <c r="M21" s="289">
        <f t="shared" si="19"/>
        <v>54875017</v>
      </c>
      <c r="N21" s="288">
        <f>'lamp. sk'!G30</f>
        <v>813640508</v>
      </c>
      <c r="O21" s="288">
        <f t="shared" si="20"/>
        <v>53004486</v>
      </c>
      <c r="P21" s="291">
        <f t="shared" si="21"/>
        <v>0.06968442786</v>
      </c>
      <c r="Q21" s="286"/>
      <c r="R21" s="286"/>
      <c r="S21" s="286"/>
      <c r="T21" s="286"/>
      <c r="U21" s="286"/>
      <c r="V21" s="286"/>
      <c r="W21" s="286"/>
      <c r="X21" s="286"/>
      <c r="Y21" s="286"/>
      <c r="Z21" s="286"/>
    </row>
    <row r="22" ht="13.5" customHeight="1">
      <c r="A22" s="286"/>
      <c r="B22" s="298" t="s">
        <v>246</v>
      </c>
      <c r="C22" s="298" t="s">
        <v>71</v>
      </c>
      <c r="D22" s="288">
        <v>4.0968365876E8</v>
      </c>
      <c r="E22" s="288">
        <v>5.87739215E8</v>
      </c>
      <c r="F22" s="289">
        <f t="shared" si="15"/>
        <v>178055556.2</v>
      </c>
      <c r="G22" s="288">
        <v>6.138737302691392E8</v>
      </c>
      <c r="H22" s="289">
        <f t="shared" si="16"/>
        <v>26134515.27</v>
      </c>
      <c r="I22" s="288">
        <v>6.08412879E8</v>
      </c>
      <c r="J22" s="289">
        <f t="shared" si="17"/>
        <v>-5460851.269</v>
      </c>
      <c r="K22" s="288">
        <v>6.53869037E8</v>
      </c>
      <c r="L22" s="289">
        <f t="shared" si="18"/>
        <v>39995306.73</v>
      </c>
      <c r="M22" s="289">
        <f t="shared" si="19"/>
        <v>45456158</v>
      </c>
      <c r="N22" s="288">
        <f>'lamp. sk'!G31</f>
        <v>645713013</v>
      </c>
      <c r="O22" s="288">
        <f t="shared" si="20"/>
        <v>37300134</v>
      </c>
      <c r="P22" s="291">
        <f t="shared" si="21"/>
        <v>0.06130727223</v>
      </c>
      <c r="Q22" s="286"/>
      <c r="R22" s="286"/>
      <c r="S22" s="286"/>
      <c r="T22" s="286"/>
      <c r="U22" s="286"/>
      <c r="V22" s="286"/>
      <c r="W22" s="286"/>
      <c r="X22" s="286"/>
      <c r="Y22" s="286"/>
      <c r="Z22" s="286"/>
    </row>
    <row r="23" ht="13.5" customHeight="1">
      <c r="A23" s="286"/>
      <c r="B23" s="298" t="s">
        <v>72</v>
      </c>
      <c r="C23" s="298" t="s">
        <v>73</v>
      </c>
      <c r="D23" s="288"/>
      <c r="E23" s="288"/>
      <c r="F23" s="289"/>
      <c r="G23" s="288"/>
      <c r="H23" s="289"/>
      <c r="I23" s="288"/>
      <c r="J23" s="289"/>
      <c r="K23" s="288"/>
      <c r="L23" s="289"/>
      <c r="M23" s="287"/>
      <c r="N23" s="288"/>
      <c r="O23" s="288"/>
      <c r="P23" s="291"/>
      <c r="Q23" s="286"/>
      <c r="R23" s="286"/>
      <c r="S23" s="286"/>
      <c r="T23" s="286"/>
      <c r="U23" s="286"/>
      <c r="V23" s="286"/>
      <c r="W23" s="286"/>
      <c r="X23" s="286"/>
      <c r="Y23" s="286"/>
      <c r="Z23" s="286"/>
    </row>
    <row r="24" ht="13.5" customHeight="1">
      <c r="A24" s="286"/>
      <c r="B24" s="298" t="s">
        <v>247</v>
      </c>
      <c r="C24" s="298" t="s">
        <v>74</v>
      </c>
      <c r="D24" s="288">
        <v>2.1343086724E8</v>
      </c>
      <c r="E24" s="288">
        <v>3.00624179E8</v>
      </c>
      <c r="F24" s="289">
        <f t="shared" ref="F24:F28" si="22">E24-D24</f>
        <v>87193311.76</v>
      </c>
      <c r="G24" s="288">
        <v>3.073309612351671E8</v>
      </c>
      <c r="H24" s="289">
        <f t="shared" ref="H24:H28" si="23">G24-E24</f>
        <v>6706782.235</v>
      </c>
      <c r="I24" s="288">
        <v>3.06512924E8</v>
      </c>
      <c r="J24" s="289">
        <f t="shared" ref="J24:J28" si="24">I24-G24</f>
        <v>-818037.2352</v>
      </c>
      <c r="K24" s="288">
        <v>3.32333716E8</v>
      </c>
      <c r="L24" s="289">
        <f t="shared" ref="L24:L28" si="25">K24-G24</f>
        <v>25002754.76</v>
      </c>
      <c r="M24" s="289">
        <f t="shared" ref="M24:M28" si="26">K24-I24</f>
        <v>25820792</v>
      </c>
      <c r="N24" s="288">
        <f>'lamp. sk'!G33</f>
        <v>362525306</v>
      </c>
      <c r="O24" s="288">
        <f t="shared" ref="O24:O28" si="27">N24-I24</f>
        <v>56012382</v>
      </c>
      <c r="P24" s="291">
        <f t="shared" ref="P24:P28" si="28">O24/I24</f>
        <v>0.182740686</v>
      </c>
      <c r="Q24" s="286"/>
      <c r="R24" s="286"/>
      <c r="S24" s="286"/>
      <c r="T24" s="286"/>
      <c r="U24" s="286"/>
      <c r="V24" s="286"/>
      <c r="W24" s="286"/>
      <c r="X24" s="286"/>
      <c r="Y24" s="286"/>
      <c r="Z24" s="286"/>
    </row>
    <row r="25" ht="13.5" customHeight="1">
      <c r="A25" s="286"/>
      <c r="B25" s="298" t="s">
        <v>248</v>
      </c>
      <c r="C25" s="298" t="s">
        <v>75</v>
      </c>
      <c r="D25" s="288">
        <v>3.9610352832E8</v>
      </c>
      <c r="E25" s="288">
        <v>5.84593516E8</v>
      </c>
      <c r="F25" s="289">
        <f t="shared" si="22"/>
        <v>188489987.7</v>
      </c>
      <c r="G25" s="288">
        <v>6.026697169755622E8</v>
      </c>
      <c r="H25" s="289">
        <f t="shared" si="23"/>
        <v>18076200.98</v>
      </c>
      <c r="I25" s="288">
        <v>5.98833272E8</v>
      </c>
      <c r="J25" s="289">
        <f t="shared" si="24"/>
        <v>-3836444.976</v>
      </c>
      <c r="K25" s="288">
        <v>6.37604362E8</v>
      </c>
      <c r="L25" s="289">
        <f t="shared" si="25"/>
        <v>34934645.02</v>
      </c>
      <c r="M25" s="289">
        <f t="shared" si="26"/>
        <v>38771090</v>
      </c>
      <c r="N25" s="288">
        <v>6.3501923E8</v>
      </c>
      <c r="O25" s="288">
        <f t="shared" si="27"/>
        <v>36185958</v>
      </c>
      <c r="P25" s="291">
        <f t="shared" si="28"/>
        <v>0.06042743397</v>
      </c>
      <c r="Q25" s="286"/>
      <c r="R25" s="286"/>
      <c r="S25" s="286"/>
      <c r="T25" s="286"/>
      <c r="U25" s="286"/>
      <c r="V25" s="286"/>
      <c r="W25" s="286"/>
      <c r="X25" s="286"/>
      <c r="Y25" s="286"/>
      <c r="Z25" s="286"/>
    </row>
    <row r="26" ht="13.5" customHeight="1">
      <c r="A26" s="286"/>
      <c r="B26" s="298" t="s">
        <v>249</v>
      </c>
      <c r="C26" s="298" t="s">
        <v>76</v>
      </c>
      <c r="D26" s="288">
        <v>4.1698484092E8</v>
      </c>
      <c r="E26" s="288">
        <v>6.00217435E8</v>
      </c>
      <c r="F26" s="289">
        <f t="shared" si="22"/>
        <v>183232594.1</v>
      </c>
      <c r="G26" s="288">
        <v>6.217345805792792E8</v>
      </c>
      <c r="H26" s="289">
        <f t="shared" si="23"/>
        <v>21517145.58</v>
      </c>
      <c r="I26" s="288">
        <v>6.1799392E8</v>
      </c>
      <c r="J26" s="289">
        <f t="shared" si="24"/>
        <v>-3740660.579</v>
      </c>
      <c r="K26" s="288">
        <v>6.60685203E8</v>
      </c>
      <c r="L26" s="289">
        <f t="shared" si="25"/>
        <v>38950622.42</v>
      </c>
      <c r="M26" s="289">
        <f t="shared" si="26"/>
        <v>42691283</v>
      </c>
      <c r="N26" s="288">
        <v>6.60017567E8</v>
      </c>
      <c r="O26" s="288">
        <f t="shared" si="27"/>
        <v>42023647</v>
      </c>
      <c r="P26" s="291">
        <f t="shared" si="28"/>
        <v>0.0680000978</v>
      </c>
      <c r="Q26" s="286"/>
      <c r="R26" s="286"/>
      <c r="S26" s="286"/>
      <c r="T26" s="286"/>
      <c r="U26" s="286"/>
      <c r="V26" s="286"/>
      <c r="W26" s="286"/>
      <c r="X26" s="286"/>
      <c r="Y26" s="286"/>
      <c r="Z26" s="286"/>
    </row>
    <row r="27" ht="13.5" customHeight="1">
      <c r="A27" s="286"/>
      <c r="B27" s="298" t="s">
        <v>250</v>
      </c>
      <c r="C27" s="298" t="s">
        <v>77</v>
      </c>
      <c r="D27" s="288">
        <v>3.0190256924E8</v>
      </c>
      <c r="E27" s="288">
        <v>4.49946263E8</v>
      </c>
      <c r="F27" s="289">
        <f t="shared" si="22"/>
        <v>148043693.8</v>
      </c>
      <c r="G27" s="288">
        <v>4.620812933638794E8</v>
      </c>
      <c r="H27" s="289">
        <f t="shared" si="23"/>
        <v>12135030.36</v>
      </c>
      <c r="I27" s="288">
        <v>4.58083227E8</v>
      </c>
      <c r="J27" s="289">
        <f t="shared" si="24"/>
        <v>-3998066.364</v>
      </c>
      <c r="K27" s="288">
        <v>4.93296637E8</v>
      </c>
      <c r="L27" s="289">
        <f t="shared" si="25"/>
        <v>31215343.64</v>
      </c>
      <c r="M27" s="289">
        <f t="shared" si="26"/>
        <v>35213410</v>
      </c>
      <c r="N27" s="288">
        <v>5.27849424E8</v>
      </c>
      <c r="O27" s="288">
        <f t="shared" si="27"/>
        <v>69766197</v>
      </c>
      <c r="P27" s="291">
        <f t="shared" si="28"/>
        <v>0.1523002653</v>
      </c>
      <c r="Q27" s="286"/>
      <c r="R27" s="286"/>
      <c r="S27" s="286"/>
      <c r="T27" s="286"/>
      <c r="U27" s="286"/>
      <c r="V27" s="286"/>
      <c r="W27" s="286"/>
      <c r="X27" s="286"/>
      <c r="Y27" s="286"/>
      <c r="Z27" s="286"/>
    </row>
    <row r="28" ht="13.5" customHeight="1">
      <c r="A28" s="286"/>
      <c r="B28" s="298" t="s">
        <v>251</v>
      </c>
      <c r="C28" s="298" t="s">
        <v>78</v>
      </c>
      <c r="D28" s="288">
        <v>4.1563500947E8</v>
      </c>
      <c r="E28" s="288">
        <v>6.1558537E8</v>
      </c>
      <c r="F28" s="289">
        <f t="shared" si="22"/>
        <v>199950360.5</v>
      </c>
      <c r="G28" s="288">
        <v>6.293798703191503E8</v>
      </c>
      <c r="H28" s="289">
        <f t="shared" si="23"/>
        <v>13794500.32</v>
      </c>
      <c r="I28" s="288">
        <v>6.23097074E8</v>
      </c>
      <c r="J28" s="289">
        <f t="shared" si="24"/>
        <v>-6282796.319</v>
      </c>
      <c r="K28" s="288">
        <v>6.72443487E8</v>
      </c>
      <c r="L28" s="289">
        <f t="shared" si="25"/>
        <v>43063616.68</v>
      </c>
      <c r="M28" s="289">
        <f t="shared" si="26"/>
        <v>49346413</v>
      </c>
      <c r="N28" s="288">
        <v>6.99476703E8</v>
      </c>
      <c r="O28" s="288">
        <f t="shared" si="27"/>
        <v>76379629</v>
      </c>
      <c r="P28" s="291">
        <f t="shared" si="28"/>
        <v>0.1225806254</v>
      </c>
      <c r="Q28" s="286"/>
      <c r="R28" s="286"/>
      <c r="S28" s="286"/>
      <c r="T28" s="286"/>
      <c r="U28" s="286"/>
      <c r="V28" s="286"/>
      <c r="W28" s="286"/>
      <c r="X28" s="286"/>
      <c r="Y28" s="286"/>
      <c r="Z28" s="286"/>
    </row>
    <row r="29" ht="13.5" customHeight="1">
      <c r="A29" s="286"/>
      <c r="B29" s="298" t="s">
        <v>79</v>
      </c>
      <c r="C29" s="298" t="s">
        <v>80</v>
      </c>
      <c r="D29" s="288"/>
      <c r="E29" s="288"/>
      <c r="F29" s="289"/>
      <c r="G29" s="288"/>
      <c r="H29" s="289"/>
      <c r="I29" s="288"/>
      <c r="J29" s="289"/>
      <c r="K29" s="288"/>
      <c r="L29" s="289"/>
      <c r="M29" s="287"/>
      <c r="N29" s="288"/>
      <c r="O29" s="288"/>
      <c r="P29" s="291"/>
      <c r="Q29" s="286"/>
      <c r="R29" s="286"/>
      <c r="S29" s="286"/>
      <c r="T29" s="286"/>
      <c r="U29" s="286"/>
      <c r="V29" s="286"/>
      <c r="W29" s="286"/>
      <c r="X29" s="286"/>
      <c r="Y29" s="286"/>
      <c r="Z29" s="286"/>
    </row>
    <row r="30" ht="13.5" customHeight="1">
      <c r="A30" s="286"/>
      <c r="B30" s="298" t="s">
        <v>252</v>
      </c>
      <c r="C30" s="298" t="s">
        <v>81</v>
      </c>
      <c r="D30" s="288">
        <v>4.6260645149E8</v>
      </c>
      <c r="E30" s="288">
        <v>6.48089774E8</v>
      </c>
      <c r="F30" s="289">
        <f t="shared" ref="F30:F34" si="29">E30-D30</f>
        <v>185483322.5</v>
      </c>
      <c r="G30" s="288">
        <v>6.71812342859038E8</v>
      </c>
      <c r="H30" s="289">
        <f t="shared" ref="H30:H34" si="30">G30-E30</f>
        <v>23722568.86</v>
      </c>
      <c r="I30" s="288">
        <v>6.68406672E8</v>
      </c>
      <c r="J30" s="289">
        <f t="shared" ref="J30:J34" si="31">I30-G30</f>
        <v>-3405670.859</v>
      </c>
      <c r="K30" s="288">
        <v>7.18224379E8</v>
      </c>
      <c r="L30" s="289">
        <f t="shared" ref="L30:L34" si="32">K30-G30</f>
        <v>46412036.14</v>
      </c>
      <c r="M30" s="289">
        <f t="shared" ref="M30:M34" si="33">K30-I30</f>
        <v>49817707</v>
      </c>
      <c r="N30" s="288">
        <f>'lamp. sk'!G39</f>
        <v>735990555</v>
      </c>
      <c r="O30" s="288">
        <f t="shared" ref="O30:O34" si="34">N30-I30</f>
        <v>67583883</v>
      </c>
      <c r="P30" s="291">
        <f t="shared" ref="P30:P34" si="35">O30/I30</f>
        <v>0.1011119216</v>
      </c>
      <c r="Q30" s="286"/>
      <c r="R30" s="286"/>
      <c r="S30" s="286"/>
      <c r="T30" s="286"/>
      <c r="U30" s="286"/>
      <c r="V30" s="286"/>
      <c r="W30" s="286"/>
      <c r="X30" s="286"/>
      <c r="Y30" s="286"/>
      <c r="Z30" s="286"/>
    </row>
    <row r="31" ht="13.5" customHeight="1">
      <c r="A31" s="286"/>
      <c r="B31" s="298" t="s">
        <v>253</v>
      </c>
      <c r="C31" s="298" t="s">
        <v>82</v>
      </c>
      <c r="D31" s="288">
        <v>4.2990566676E8</v>
      </c>
      <c r="E31" s="288">
        <v>6.18618403E8</v>
      </c>
      <c r="F31" s="289">
        <f t="shared" si="29"/>
        <v>188712736.2</v>
      </c>
      <c r="G31" s="288">
        <v>6.44575899100863E8</v>
      </c>
      <c r="H31" s="289">
        <f t="shared" si="30"/>
        <v>25957496.1</v>
      </c>
      <c r="I31" s="288">
        <v>6.39482302E8</v>
      </c>
      <c r="J31" s="289">
        <f t="shared" si="31"/>
        <v>-5093597.101</v>
      </c>
      <c r="K31" s="288">
        <v>6.89487346E8</v>
      </c>
      <c r="L31" s="289">
        <f t="shared" si="32"/>
        <v>44911446.9</v>
      </c>
      <c r="M31" s="289">
        <f t="shared" si="33"/>
        <v>50005044</v>
      </c>
      <c r="N31" s="288">
        <v>7.13219924E8</v>
      </c>
      <c r="O31" s="288">
        <f t="shared" si="34"/>
        <v>73737622</v>
      </c>
      <c r="P31" s="291">
        <f t="shared" si="35"/>
        <v>0.1153083076</v>
      </c>
      <c r="Q31" s="286"/>
      <c r="R31" s="286"/>
      <c r="S31" s="286"/>
      <c r="T31" s="286"/>
      <c r="U31" s="286"/>
      <c r="V31" s="286"/>
      <c r="W31" s="286"/>
      <c r="X31" s="286"/>
      <c r="Y31" s="286"/>
      <c r="Z31" s="286"/>
    </row>
    <row r="32" ht="13.5" customHeight="1">
      <c r="A32" s="286"/>
      <c r="B32" s="298" t="s">
        <v>254</v>
      </c>
      <c r="C32" s="298" t="s">
        <v>83</v>
      </c>
      <c r="D32" s="288">
        <v>3.7552180838E8</v>
      </c>
      <c r="E32" s="288">
        <v>5.13750656E8</v>
      </c>
      <c r="F32" s="289">
        <f t="shared" si="29"/>
        <v>138228847.6</v>
      </c>
      <c r="G32" s="288">
        <v>5.351255776926145E8</v>
      </c>
      <c r="H32" s="289">
        <f t="shared" si="30"/>
        <v>21374921.69</v>
      </c>
      <c r="I32" s="288">
        <v>5.30490879E8</v>
      </c>
      <c r="J32" s="289">
        <f t="shared" si="31"/>
        <v>-4634698.693</v>
      </c>
      <c r="K32" s="288">
        <v>5.70714834E8</v>
      </c>
      <c r="L32" s="289">
        <f t="shared" si="32"/>
        <v>35589256.31</v>
      </c>
      <c r="M32" s="289">
        <f t="shared" si="33"/>
        <v>40223955</v>
      </c>
      <c r="N32" s="288">
        <v>5.85974894E8</v>
      </c>
      <c r="O32" s="288">
        <f t="shared" si="34"/>
        <v>55484015</v>
      </c>
      <c r="P32" s="291">
        <f t="shared" si="35"/>
        <v>0.1045899509</v>
      </c>
      <c r="Q32" s="286"/>
      <c r="R32" s="286"/>
      <c r="S32" s="286"/>
      <c r="T32" s="286"/>
      <c r="U32" s="286"/>
      <c r="V32" s="286"/>
      <c r="W32" s="286"/>
      <c r="X32" s="286"/>
      <c r="Y32" s="286"/>
      <c r="Z32" s="286"/>
    </row>
    <row r="33" ht="13.5" customHeight="1">
      <c r="A33" s="286"/>
      <c r="B33" s="298" t="s">
        <v>255</v>
      </c>
      <c r="C33" s="298" t="s">
        <v>84</v>
      </c>
      <c r="D33" s="288">
        <v>5.2155667575E8</v>
      </c>
      <c r="E33" s="288">
        <v>6.58716552E8</v>
      </c>
      <c r="F33" s="289">
        <f t="shared" si="29"/>
        <v>137159876.3</v>
      </c>
      <c r="G33" s="288">
        <v>6.933683173822275E8</v>
      </c>
      <c r="H33" s="289">
        <f t="shared" si="30"/>
        <v>34651765.38</v>
      </c>
      <c r="I33" s="288">
        <v>6.88339038E8</v>
      </c>
      <c r="J33" s="289">
        <f t="shared" si="31"/>
        <v>-5029279.382</v>
      </c>
      <c r="K33" s="288">
        <v>7.40307959E8</v>
      </c>
      <c r="L33" s="289">
        <f t="shared" si="32"/>
        <v>46939641.62</v>
      </c>
      <c r="M33" s="289">
        <f t="shared" si="33"/>
        <v>51968921</v>
      </c>
      <c r="N33" s="288">
        <v>7.53484257E8</v>
      </c>
      <c r="O33" s="288">
        <f t="shared" si="34"/>
        <v>65145219</v>
      </c>
      <c r="P33" s="291">
        <f t="shared" si="35"/>
        <v>0.0946411803</v>
      </c>
      <c r="Q33" s="286"/>
      <c r="R33" s="286"/>
      <c r="S33" s="286"/>
      <c r="T33" s="286"/>
      <c r="U33" s="286"/>
      <c r="V33" s="286"/>
      <c r="W33" s="286"/>
      <c r="X33" s="286"/>
      <c r="Y33" s="286"/>
      <c r="Z33" s="286"/>
    </row>
    <row r="34" ht="13.5" customHeight="1">
      <c r="A34" s="286"/>
      <c r="B34" s="298" t="s">
        <v>256</v>
      </c>
      <c r="C34" s="298" t="s">
        <v>85</v>
      </c>
      <c r="D34" s="288">
        <v>4.5955370999E8</v>
      </c>
      <c r="E34" s="288">
        <v>6.06958396E8</v>
      </c>
      <c r="F34" s="289">
        <f t="shared" si="29"/>
        <v>147404686</v>
      </c>
      <c r="G34" s="288">
        <v>6.408509623199942E8</v>
      </c>
      <c r="H34" s="289">
        <f t="shared" si="30"/>
        <v>33892566.32</v>
      </c>
      <c r="I34" s="288">
        <v>6.35174829E8</v>
      </c>
      <c r="J34" s="289">
        <f t="shared" si="31"/>
        <v>-5676133.32</v>
      </c>
      <c r="K34" s="288">
        <v>6.83656727E8</v>
      </c>
      <c r="L34" s="289">
        <f t="shared" si="32"/>
        <v>42805764.68</v>
      </c>
      <c r="M34" s="289">
        <f t="shared" si="33"/>
        <v>48481898</v>
      </c>
      <c r="N34" s="288">
        <v>7.09775083E8</v>
      </c>
      <c r="O34" s="288">
        <f t="shared" si="34"/>
        <v>74600254</v>
      </c>
      <c r="P34" s="291">
        <f t="shared" si="35"/>
        <v>0.1174483789</v>
      </c>
      <c r="Q34" s="286"/>
      <c r="R34" s="286"/>
      <c r="S34" s="286"/>
      <c r="T34" s="286"/>
      <c r="U34" s="286"/>
      <c r="V34" s="286"/>
      <c r="W34" s="286"/>
      <c r="X34" s="286"/>
      <c r="Y34" s="286"/>
      <c r="Z34" s="286"/>
    </row>
    <row r="35" ht="13.5" customHeight="1">
      <c r="A35" s="286"/>
      <c r="B35" s="298" t="s">
        <v>86</v>
      </c>
      <c r="C35" s="298" t="s">
        <v>87</v>
      </c>
      <c r="D35" s="288"/>
      <c r="E35" s="288"/>
      <c r="F35" s="289"/>
      <c r="G35" s="288"/>
      <c r="H35" s="289"/>
      <c r="I35" s="288"/>
      <c r="J35" s="289"/>
      <c r="K35" s="288"/>
      <c r="L35" s="289"/>
      <c r="M35" s="287"/>
      <c r="N35" s="288"/>
      <c r="O35" s="288"/>
      <c r="P35" s="291"/>
      <c r="Q35" s="286"/>
      <c r="R35" s="286"/>
      <c r="S35" s="286"/>
      <c r="T35" s="286"/>
      <c r="U35" s="286"/>
      <c r="V35" s="286"/>
      <c r="W35" s="286"/>
      <c r="X35" s="286"/>
      <c r="Y35" s="286"/>
      <c r="Z35" s="286"/>
    </row>
    <row r="36" ht="13.5" customHeight="1">
      <c r="A36" s="286"/>
      <c r="B36" s="298" t="s">
        <v>257</v>
      </c>
      <c r="C36" s="298" t="s">
        <v>88</v>
      </c>
      <c r="D36" s="288">
        <v>8.5943475893E8</v>
      </c>
      <c r="E36" s="288">
        <v>1.016259946E9</v>
      </c>
      <c r="F36" s="289">
        <f t="shared" ref="F36:F40" si="36">E36-D36</f>
        <v>156825187.1</v>
      </c>
      <c r="G36" s="288">
        <v>1.0558281011441605E9</v>
      </c>
      <c r="H36" s="289">
        <f t="shared" ref="H36:H40" si="37">G36-E36</f>
        <v>39568155.14</v>
      </c>
      <c r="I36" s="288">
        <v>1.052233343E9</v>
      </c>
      <c r="J36" s="289">
        <f t="shared" ref="J36:J40" si="38">I36-G36</f>
        <v>-3594758.144</v>
      </c>
      <c r="K36" s="288">
        <v>1.108029595E9</v>
      </c>
      <c r="L36" s="289">
        <f t="shared" ref="L36:L40" si="39">K36-G36</f>
        <v>52201493.86</v>
      </c>
      <c r="M36" s="289">
        <f t="shared" ref="M36:M40" si="40">K36-I36</f>
        <v>55796252</v>
      </c>
      <c r="N36" s="288">
        <f>'lamp. sk'!G45</f>
        <v>1046577985</v>
      </c>
      <c r="O36" s="288">
        <f t="shared" ref="O36:O40" si="41">N36-I36</f>
        <v>-5655358</v>
      </c>
      <c r="P36" s="291">
        <f t="shared" ref="P36:P40" si="42">O36/I36</f>
        <v>-0.00537462345</v>
      </c>
      <c r="Q36" s="286"/>
      <c r="R36" s="286"/>
      <c r="S36" s="286"/>
      <c r="T36" s="286"/>
      <c r="U36" s="286"/>
      <c r="V36" s="286"/>
      <c r="W36" s="286"/>
      <c r="X36" s="286"/>
      <c r="Y36" s="286"/>
      <c r="Z36" s="286"/>
    </row>
    <row r="37" ht="13.5" customHeight="1">
      <c r="A37" s="286"/>
      <c r="B37" s="298" t="s">
        <v>258</v>
      </c>
      <c r="C37" s="298" t="s">
        <v>89</v>
      </c>
      <c r="D37" s="288">
        <v>5.3090639221E8</v>
      </c>
      <c r="E37" s="288">
        <v>6.69114723E8</v>
      </c>
      <c r="F37" s="289">
        <f t="shared" si="36"/>
        <v>138208330.8</v>
      </c>
      <c r="G37" s="288">
        <v>7.002455471473883E8</v>
      </c>
      <c r="H37" s="289">
        <f t="shared" si="37"/>
        <v>31130824.15</v>
      </c>
      <c r="I37" s="288">
        <v>6.95706231E8</v>
      </c>
      <c r="J37" s="289">
        <f t="shared" si="38"/>
        <v>-4539316.147</v>
      </c>
      <c r="K37" s="288">
        <v>7.42571289E8</v>
      </c>
      <c r="L37" s="289">
        <f t="shared" si="39"/>
        <v>42325741.85</v>
      </c>
      <c r="M37" s="289">
        <f t="shared" si="40"/>
        <v>46865058</v>
      </c>
      <c r="N37" s="288">
        <f>'lamp. sk'!G46</f>
        <v>765253089</v>
      </c>
      <c r="O37" s="288">
        <f t="shared" si="41"/>
        <v>69546858</v>
      </c>
      <c r="P37" s="291">
        <f t="shared" si="42"/>
        <v>0.09996584032</v>
      </c>
      <c r="Q37" s="286"/>
      <c r="R37" s="286"/>
      <c r="S37" s="286"/>
      <c r="T37" s="286"/>
      <c r="U37" s="286"/>
      <c r="V37" s="286"/>
      <c r="W37" s="286"/>
      <c r="X37" s="286"/>
      <c r="Y37" s="286"/>
      <c r="Z37" s="286"/>
    </row>
    <row r="38" ht="13.5" customHeight="1">
      <c r="A38" s="286"/>
      <c r="B38" s="298" t="s">
        <v>259</v>
      </c>
      <c r="C38" s="298" t="s">
        <v>90</v>
      </c>
      <c r="D38" s="288">
        <v>4.7474389074E8</v>
      </c>
      <c r="E38" s="288">
        <v>5.98461795E8</v>
      </c>
      <c r="F38" s="289">
        <f t="shared" si="36"/>
        <v>123717904.3</v>
      </c>
      <c r="G38" s="288">
        <v>6.262916721882582E8</v>
      </c>
      <c r="H38" s="289">
        <f t="shared" si="37"/>
        <v>27829877.19</v>
      </c>
      <c r="I38" s="288">
        <v>6.22134332E8</v>
      </c>
      <c r="J38" s="289">
        <f t="shared" si="38"/>
        <v>-4157340.188</v>
      </c>
      <c r="K38" s="288">
        <v>6.71442046E8</v>
      </c>
      <c r="L38" s="289">
        <f t="shared" si="39"/>
        <v>45150373.81</v>
      </c>
      <c r="M38" s="289">
        <f t="shared" si="40"/>
        <v>49307714</v>
      </c>
      <c r="N38" s="288">
        <f>'lamp. sk'!G47</f>
        <v>697182231</v>
      </c>
      <c r="O38" s="288">
        <f t="shared" si="41"/>
        <v>75047899</v>
      </c>
      <c r="P38" s="291">
        <f t="shared" si="42"/>
        <v>0.120629734</v>
      </c>
      <c r="Q38" s="286"/>
      <c r="R38" s="286"/>
      <c r="S38" s="286"/>
      <c r="T38" s="286"/>
      <c r="U38" s="286"/>
      <c r="V38" s="286"/>
      <c r="W38" s="286"/>
      <c r="X38" s="286"/>
      <c r="Y38" s="286"/>
      <c r="Z38" s="286"/>
    </row>
    <row r="39" ht="13.5" customHeight="1">
      <c r="A39" s="286"/>
      <c r="B39" s="298" t="s">
        <v>260</v>
      </c>
      <c r="C39" s="298" t="s">
        <v>91</v>
      </c>
      <c r="D39" s="288">
        <v>4.6956481962E8</v>
      </c>
      <c r="E39" s="288">
        <v>6.01796496E8</v>
      </c>
      <c r="F39" s="289">
        <f t="shared" si="36"/>
        <v>132231676.4</v>
      </c>
      <c r="G39" s="288">
        <v>6.350595342363144E8</v>
      </c>
      <c r="H39" s="289">
        <f t="shared" si="37"/>
        <v>33263038.24</v>
      </c>
      <c r="I39" s="288">
        <v>6.34077869E8</v>
      </c>
      <c r="J39" s="289">
        <f t="shared" si="38"/>
        <v>-981665.2363</v>
      </c>
      <c r="K39" s="288">
        <v>6.86565673E8</v>
      </c>
      <c r="L39" s="289">
        <f t="shared" si="39"/>
        <v>51506138.76</v>
      </c>
      <c r="M39" s="289">
        <f t="shared" si="40"/>
        <v>52487804</v>
      </c>
      <c r="N39" s="288">
        <f>'lamp. sk'!G48</f>
        <v>709344174</v>
      </c>
      <c r="O39" s="288">
        <f t="shared" si="41"/>
        <v>75266305</v>
      </c>
      <c r="P39" s="291">
        <f t="shared" si="42"/>
        <v>0.1187019902</v>
      </c>
      <c r="Q39" s="286"/>
      <c r="R39" s="286"/>
      <c r="S39" s="286"/>
      <c r="T39" s="286"/>
      <c r="U39" s="286"/>
      <c r="V39" s="286"/>
      <c r="W39" s="286"/>
      <c r="X39" s="286"/>
      <c r="Y39" s="286"/>
      <c r="Z39" s="286"/>
    </row>
    <row r="40" ht="13.5" customHeight="1">
      <c r="A40" s="286"/>
      <c r="B40" s="298" t="s">
        <v>261</v>
      </c>
      <c r="C40" s="298" t="s">
        <v>92</v>
      </c>
      <c r="D40" s="288">
        <v>5.888321342E8</v>
      </c>
      <c r="E40" s="288">
        <v>6.8909829E8</v>
      </c>
      <c r="F40" s="289">
        <f t="shared" si="36"/>
        <v>100266155.8</v>
      </c>
      <c r="G40" s="288">
        <v>7.352648599371443E8</v>
      </c>
      <c r="H40" s="289">
        <f t="shared" si="37"/>
        <v>46166569.94</v>
      </c>
      <c r="I40" s="288">
        <v>7.35010014E8</v>
      </c>
      <c r="J40" s="289">
        <f t="shared" si="38"/>
        <v>-254845.9371</v>
      </c>
      <c r="K40" s="288">
        <v>7.86154952E8</v>
      </c>
      <c r="L40" s="289">
        <f t="shared" si="39"/>
        <v>50890092.06</v>
      </c>
      <c r="M40" s="289">
        <f t="shared" si="40"/>
        <v>51144938</v>
      </c>
      <c r="N40" s="288">
        <f>'lamp. sk'!G50</f>
        <v>799354502</v>
      </c>
      <c r="O40" s="288">
        <f t="shared" si="41"/>
        <v>64344488</v>
      </c>
      <c r="P40" s="291">
        <f t="shared" si="42"/>
        <v>0.08754232837</v>
      </c>
      <c r="Q40" s="286"/>
      <c r="R40" s="286"/>
      <c r="S40" s="286"/>
      <c r="T40" s="286"/>
      <c r="U40" s="286"/>
      <c r="V40" s="286"/>
      <c r="W40" s="286"/>
      <c r="X40" s="286"/>
      <c r="Y40" s="286"/>
      <c r="Z40" s="286"/>
    </row>
    <row r="41" ht="13.5" customHeight="1">
      <c r="A41" s="286"/>
      <c r="B41" s="298" t="s">
        <v>93</v>
      </c>
      <c r="C41" s="298" t="s">
        <v>94</v>
      </c>
      <c r="D41" s="288"/>
      <c r="E41" s="288"/>
      <c r="F41" s="289"/>
      <c r="G41" s="288"/>
      <c r="H41" s="289"/>
      <c r="I41" s="288"/>
      <c r="J41" s="289"/>
      <c r="K41" s="288"/>
      <c r="L41" s="289"/>
      <c r="M41" s="287"/>
      <c r="N41" s="288"/>
      <c r="O41" s="288"/>
      <c r="P41" s="291"/>
      <c r="Q41" s="286"/>
      <c r="R41" s="286"/>
      <c r="S41" s="286"/>
      <c r="T41" s="286"/>
      <c r="U41" s="286"/>
      <c r="V41" s="286"/>
      <c r="W41" s="286"/>
      <c r="X41" s="286"/>
      <c r="Y41" s="286"/>
      <c r="Z41" s="286"/>
    </row>
    <row r="42" ht="13.5" customHeight="1">
      <c r="A42" s="286"/>
      <c r="B42" s="298" t="s">
        <v>262</v>
      </c>
      <c r="C42" s="298" t="s">
        <v>95</v>
      </c>
      <c r="D42" s="288">
        <v>1.04638305983E9</v>
      </c>
      <c r="E42" s="288">
        <v>1.058325386E9</v>
      </c>
      <c r="F42" s="289">
        <f t="shared" ref="F42:F44" si="43">E42-D42</f>
        <v>11942326.17</v>
      </c>
      <c r="G42" s="288">
        <v>1.0989378601206334E9</v>
      </c>
      <c r="H42" s="289">
        <f t="shared" ref="H42:H44" si="44">G42-E42</f>
        <v>40612474.12</v>
      </c>
      <c r="I42" s="288">
        <v>1.089117816E9</v>
      </c>
      <c r="J42" s="289">
        <f t="shared" ref="J42:J44" si="45">I42-G42</f>
        <v>-9820044.121</v>
      </c>
      <c r="K42" s="288">
        <v>1.146396656E9</v>
      </c>
      <c r="L42" s="289">
        <f t="shared" ref="L42:L44" si="46">K42-G42</f>
        <v>47458795.88</v>
      </c>
      <c r="M42" s="289">
        <f t="shared" ref="M42:M44" si="47">K42-I42</f>
        <v>57278840</v>
      </c>
      <c r="N42" s="288">
        <f>'lamp. sk'!G52</f>
        <v>1081035298</v>
      </c>
      <c r="O42" s="288">
        <f t="shared" ref="O42:O44" si="48">N42-I42</f>
        <v>-8082518</v>
      </c>
      <c r="P42" s="291">
        <f t="shared" ref="P42:P44" si="49">O42/I42</f>
        <v>-0.007421160394</v>
      </c>
      <c r="Q42" s="286"/>
      <c r="R42" s="286"/>
      <c r="S42" s="286"/>
      <c r="T42" s="286"/>
      <c r="U42" s="286"/>
      <c r="V42" s="286"/>
      <c r="W42" s="286"/>
      <c r="X42" s="286"/>
      <c r="Y42" s="286"/>
      <c r="Z42" s="286"/>
    </row>
    <row r="43" ht="13.5" customHeight="1">
      <c r="A43" s="286"/>
      <c r="B43" s="298" t="s">
        <v>263</v>
      </c>
      <c r="C43" s="298" t="s">
        <v>96</v>
      </c>
      <c r="D43" s="288">
        <v>1.03211065212E9</v>
      </c>
      <c r="E43" s="288">
        <v>1.116149359E9</v>
      </c>
      <c r="F43" s="289">
        <f t="shared" si="43"/>
        <v>84038706.88</v>
      </c>
      <c r="G43" s="288">
        <v>1.171591174273813E9</v>
      </c>
      <c r="H43" s="289">
        <f t="shared" si="44"/>
        <v>55441815.27</v>
      </c>
      <c r="I43" s="288">
        <v>1.167466057E9</v>
      </c>
      <c r="J43" s="289">
        <f t="shared" si="45"/>
        <v>-4125117.274</v>
      </c>
      <c r="K43" s="288">
        <v>1.227894277E9</v>
      </c>
      <c r="L43" s="289">
        <f t="shared" si="46"/>
        <v>56303102.73</v>
      </c>
      <c r="M43" s="289">
        <f t="shared" si="47"/>
        <v>60428220</v>
      </c>
      <c r="N43" s="288">
        <f>'lamp. sk'!G53</f>
        <v>1142959198</v>
      </c>
      <c r="O43" s="288">
        <f t="shared" si="48"/>
        <v>-24506859</v>
      </c>
      <c r="P43" s="291">
        <f t="shared" si="49"/>
        <v>-0.02099149594</v>
      </c>
      <c r="Q43" s="286"/>
      <c r="R43" s="286"/>
      <c r="S43" s="286"/>
      <c r="T43" s="286"/>
      <c r="U43" s="286"/>
      <c r="V43" s="286"/>
      <c r="W43" s="286"/>
      <c r="X43" s="286"/>
      <c r="Y43" s="286"/>
      <c r="Z43" s="286"/>
    </row>
    <row r="44" ht="13.5" customHeight="1">
      <c r="A44" s="286"/>
      <c r="B44" s="298" t="s">
        <v>264</v>
      </c>
      <c r="C44" s="298" t="s">
        <v>97</v>
      </c>
      <c r="D44" s="288">
        <v>1.00831672627E9</v>
      </c>
      <c r="E44" s="288">
        <v>1.021925368E9</v>
      </c>
      <c r="F44" s="289">
        <f t="shared" si="43"/>
        <v>13608641.73</v>
      </c>
      <c r="G44" s="288">
        <v>1.0641696988313547E9</v>
      </c>
      <c r="H44" s="289">
        <f t="shared" si="44"/>
        <v>42244330.83</v>
      </c>
      <c r="I44" s="288">
        <v>1.071299445E9</v>
      </c>
      <c r="J44" s="289">
        <f t="shared" si="45"/>
        <v>7129746.169</v>
      </c>
      <c r="K44" s="288">
        <v>1.12786209E9</v>
      </c>
      <c r="L44" s="289">
        <f t="shared" si="46"/>
        <v>63692391.17</v>
      </c>
      <c r="M44" s="289">
        <f t="shared" si="47"/>
        <v>56562645</v>
      </c>
      <c r="N44" s="288">
        <f>'lamp. sk'!G54</f>
        <v>1052149831</v>
      </c>
      <c r="O44" s="288">
        <f t="shared" si="48"/>
        <v>-19149614</v>
      </c>
      <c r="P44" s="291">
        <f t="shared" si="49"/>
        <v>-0.01787512734</v>
      </c>
      <c r="Q44" s="286"/>
      <c r="R44" s="286"/>
      <c r="S44" s="286"/>
      <c r="T44" s="286"/>
      <c r="U44" s="286"/>
      <c r="V44" s="286"/>
      <c r="W44" s="286"/>
      <c r="X44" s="286"/>
      <c r="Y44" s="286"/>
      <c r="Z44" s="286"/>
    </row>
    <row r="45" ht="13.5" customHeight="1">
      <c r="A45" s="286"/>
      <c r="B45" s="298" t="s">
        <v>98</v>
      </c>
      <c r="C45" s="298" t="s">
        <v>99</v>
      </c>
      <c r="D45" s="288"/>
      <c r="E45" s="288"/>
      <c r="F45" s="289"/>
      <c r="G45" s="288"/>
      <c r="H45" s="289"/>
      <c r="I45" s="288"/>
      <c r="J45" s="289"/>
      <c r="K45" s="288"/>
      <c r="L45" s="289"/>
      <c r="M45" s="287"/>
      <c r="N45" s="288"/>
      <c r="O45" s="288"/>
      <c r="P45" s="291"/>
      <c r="Q45" s="286"/>
      <c r="R45" s="286"/>
      <c r="S45" s="286"/>
      <c r="T45" s="286"/>
      <c r="U45" s="286"/>
      <c r="V45" s="286"/>
      <c r="W45" s="286"/>
      <c r="X45" s="286"/>
      <c r="Y45" s="286"/>
      <c r="Z45" s="286"/>
    </row>
    <row r="46" ht="13.5" customHeight="1">
      <c r="A46" s="286"/>
      <c r="B46" s="298" t="s">
        <v>265</v>
      </c>
      <c r="C46" s="298" t="s">
        <v>100</v>
      </c>
      <c r="D46" s="288">
        <v>5.319770942E8</v>
      </c>
      <c r="E46" s="288">
        <v>7.26753246E8</v>
      </c>
      <c r="F46" s="289">
        <f t="shared" ref="F46:F49" si="50">E46-D46</f>
        <v>194776151.8</v>
      </c>
      <c r="G46" s="288">
        <v>7.602161351014565E8</v>
      </c>
      <c r="H46" s="289">
        <f t="shared" ref="H46:H49" si="51">G46-E46</f>
        <v>33462889.1</v>
      </c>
      <c r="I46" s="288">
        <v>7.55903016E8</v>
      </c>
      <c r="J46" s="289">
        <f t="shared" ref="J46:J49" si="52">I46-G46</f>
        <v>-4313119.101</v>
      </c>
      <c r="K46" s="288">
        <v>8.05187782E8</v>
      </c>
      <c r="L46" s="289">
        <f t="shared" ref="L46:L49" si="53">K46-G46</f>
        <v>44971646.9</v>
      </c>
      <c r="M46" s="289">
        <f t="shared" ref="M46:M49" si="54">K46-I46</f>
        <v>49284766</v>
      </c>
      <c r="N46" s="288">
        <f>'lamp. sk'!G56</f>
        <v>811731637</v>
      </c>
      <c r="O46" s="288">
        <f t="shared" ref="O46:O49" si="55">N46-I46</f>
        <v>55828621</v>
      </c>
      <c r="P46" s="291">
        <f t="shared" ref="P46:P49" si="56">O46/I46</f>
        <v>0.07385685705</v>
      </c>
      <c r="Q46" s="286"/>
      <c r="R46" s="286"/>
      <c r="S46" s="286"/>
      <c r="T46" s="286"/>
      <c r="U46" s="286"/>
      <c r="V46" s="286"/>
      <c r="W46" s="286"/>
      <c r="X46" s="286"/>
      <c r="Y46" s="286"/>
      <c r="Z46" s="286"/>
    </row>
    <row r="47" ht="13.5" customHeight="1">
      <c r="A47" s="286"/>
      <c r="B47" s="298" t="s">
        <v>266</v>
      </c>
      <c r="C47" s="298" t="s">
        <v>101</v>
      </c>
      <c r="D47" s="288">
        <v>4.4924094678E8</v>
      </c>
      <c r="E47" s="288">
        <v>5.97365464E8</v>
      </c>
      <c r="F47" s="289">
        <f t="shared" si="50"/>
        <v>148124517.2</v>
      </c>
      <c r="G47" s="288">
        <v>6.209137046047769E8</v>
      </c>
      <c r="H47" s="289">
        <f t="shared" si="51"/>
        <v>23548240.6</v>
      </c>
      <c r="I47" s="288">
        <v>6.14770362E8</v>
      </c>
      <c r="J47" s="289">
        <f t="shared" si="52"/>
        <v>-6143342.605</v>
      </c>
      <c r="K47" s="288">
        <v>6.58382069E8</v>
      </c>
      <c r="L47" s="289">
        <f t="shared" si="53"/>
        <v>37468364.4</v>
      </c>
      <c r="M47" s="289">
        <f t="shared" si="54"/>
        <v>43611707</v>
      </c>
      <c r="N47" s="288">
        <f>'lamp. sk'!G57</f>
        <v>703905747</v>
      </c>
      <c r="O47" s="288">
        <f t="shared" si="55"/>
        <v>89135385</v>
      </c>
      <c r="P47" s="291">
        <f t="shared" si="56"/>
        <v>0.1449897238</v>
      </c>
      <c r="Q47" s="286"/>
      <c r="R47" s="286"/>
      <c r="S47" s="286"/>
      <c r="T47" s="286"/>
      <c r="U47" s="286"/>
      <c r="V47" s="286"/>
      <c r="W47" s="286"/>
      <c r="X47" s="286"/>
      <c r="Y47" s="286"/>
      <c r="Z47" s="286"/>
    </row>
    <row r="48" ht="13.5" customHeight="1">
      <c r="A48" s="286"/>
      <c r="B48" s="298" t="s">
        <v>267</v>
      </c>
      <c r="C48" s="298" t="s">
        <v>102</v>
      </c>
      <c r="D48" s="288">
        <v>5.126638743E8</v>
      </c>
      <c r="E48" s="288">
        <v>6.69515396E8</v>
      </c>
      <c r="F48" s="289">
        <f t="shared" si="50"/>
        <v>156851521.7</v>
      </c>
      <c r="G48" s="288">
        <v>7.008809737525792E8</v>
      </c>
      <c r="H48" s="289">
        <f t="shared" si="51"/>
        <v>31365577.75</v>
      </c>
      <c r="I48" s="288">
        <v>6.91270877E8</v>
      </c>
      <c r="J48" s="289">
        <f t="shared" si="52"/>
        <v>-9610096.753</v>
      </c>
      <c r="K48" s="288">
        <v>7.46057648E8</v>
      </c>
      <c r="L48" s="289">
        <f t="shared" si="53"/>
        <v>45176674.25</v>
      </c>
      <c r="M48" s="289">
        <f t="shared" si="54"/>
        <v>54786771</v>
      </c>
      <c r="N48" s="288">
        <f>'lamp. sk'!G58</f>
        <v>756623959</v>
      </c>
      <c r="O48" s="288">
        <f t="shared" si="55"/>
        <v>65353082</v>
      </c>
      <c r="P48" s="291">
        <f t="shared" si="56"/>
        <v>0.09454048214</v>
      </c>
      <c r="Q48" s="286"/>
      <c r="R48" s="286"/>
      <c r="S48" s="286"/>
      <c r="T48" s="286"/>
      <c r="U48" s="286"/>
      <c r="V48" s="286"/>
      <c r="W48" s="286"/>
      <c r="X48" s="286"/>
      <c r="Y48" s="286"/>
      <c r="Z48" s="286"/>
    </row>
    <row r="49" ht="13.5" customHeight="1">
      <c r="A49" s="286"/>
      <c r="B49" s="298" t="s">
        <v>268</v>
      </c>
      <c r="C49" s="298" t="s">
        <v>103</v>
      </c>
      <c r="D49" s="288">
        <v>4.5881410613E8</v>
      </c>
      <c r="E49" s="288">
        <v>5.36671587E8</v>
      </c>
      <c r="F49" s="289">
        <f t="shared" si="50"/>
        <v>77857480.87</v>
      </c>
      <c r="G49" s="288">
        <v>5.550677952525076E8</v>
      </c>
      <c r="H49" s="289">
        <f t="shared" si="51"/>
        <v>18396208.25</v>
      </c>
      <c r="I49" s="288">
        <v>5.49114682E8</v>
      </c>
      <c r="J49" s="289">
        <f t="shared" si="52"/>
        <v>-5953113.253</v>
      </c>
      <c r="K49" s="288">
        <v>5.94137251E8</v>
      </c>
      <c r="L49" s="289">
        <f t="shared" si="53"/>
        <v>39069455.75</v>
      </c>
      <c r="M49" s="289">
        <f t="shared" si="54"/>
        <v>45022569</v>
      </c>
      <c r="N49" s="288">
        <f>'lamp. sk'!G59</f>
        <v>640242064</v>
      </c>
      <c r="O49" s="288">
        <f t="shared" si="55"/>
        <v>91127382</v>
      </c>
      <c r="P49" s="291">
        <f t="shared" si="56"/>
        <v>0.165953279</v>
      </c>
      <c r="Q49" s="286"/>
      <c r="R49" s="286"/>
      <c r="S49" s="286"/>
      <c r="T49" s="286"/>
      <c r="U49" s="286"/>
      <c r="V49" s="286"/>
      <c r="W49" s="286"/>
      <c r="X49" s="286"/>
      <c r="Y49" s="286"/>
      <c r="Z49" s="286"/>
    </row>
    <row r="50" ht="13.5" customHeight="1">
      <c r="A50" s="286"/>
      <c r="B50" s="298" t="s">
        <v>104</v>
      </c>
      <c r="C50" s="298" t="s">
        <v>105</v>
      </c>
      <c r="D50" s="288"/>
      <c r="E50" s="288"/>
      <c r="F50" s="289"/>
      <c r="G50" s="288"/>
      <c r="H50" s="289"/>
      <c r="I50" s="288"/>
      <c r="J50" s="289"/>
      <c r="K50" s="288"/>
      <c r="L50" s="289"/>
      <c r="M50" s="287"/>
      <c r="N50" s="288"/>
      <c r="O50" s="288"/>
      <c r="P50" s="291"/>
      <c r="Q50" s="286"/>
      <c r="R50" s="286"/>
      <c r="S50" s="286"/>
      <c r="T50" s="286"/>
      <c r="U50" s="286"/>
      <c r="V50" s="286"/>
      <c r="W50" s="286"/>
      <c r="X50" s="286"/>
      <c r="Y50" s="286"/>
      <c r="Z50" s="286"/>
    </row>
    <row r="51" ht="13.5" customHeight="1">
      <c r="A51" s="286"/>
      <c r="B51" s="298" t="s">
        <v>269</v>
      </c>
      <c r="C51" s="298" t="s">
        <v>106</v>
      </c>
      <c r="D51" s="288">
        <v>6.3278370253E8</v>
      </c>
      <c r="E51" s="288">
        <v>8.07669509E8</v>
      </c>
      <c r="F51" s="289">
        <f t="shared" ref="F51:F56" si="57">E51-D51</f>
        <v>174885806.5</v>
      </c>
      <c r="G51" s="288">
        <v>8.551516090858147E8</v>
      </c>
      <c r="H51" s="289">
        <f t="shared" ref="H51:H56" si="58">G51-E51</f>
        <v>47482100.09</v>
      </c>
      <c r="I51" s="288">
        <v>8.50755967E8</v>
      </c>
      <c r="J51" s="289">
        <f t="shared" ref="J51:J56" si="59">I51-G51</f>
        <v>-4395642.086</v>
      </c>
      <c r="K51" s="288">
        <v>9.09253504E8</v>
      </c>
      <c r="L51" s="289">
        <f t="shared" ref="L51:L56" si="60">K51-G51</f>
        <v>54101894.91</v>
      </c>
      <c r="M51" s="289">
        <f t="shared" ref="M51:M56" si="61">K51-I51</f>
        <v>58497537</v>
      </c>
      <c r="N51" s="288">
        <f>'lamp. sk'!G61</f>
        <v>873077025</v>
      </c>
      <c r="O51" s="288">
        <f t="shared" ref="O51:O56" si="62">N51-I51</f>
        <v>22321058</v>
      </c>
      <c r="P51" s="291">
        <f t="shared" ref="P51:P56" si="63">O51/I51</f>
        <v>0.02623673399</v>
      </c>
      <c r="Q51" s="286"/>
      <c r="R51" s="286"/>
      <c r="S51" s="286"/>
      <c r="T51" s="286"/>
      <c r="U51" s="286"/>
      <c r="V51" s="286"/>
      <c r="W51" s="286"/>
      <c r="X51" s="286"/>
      <c r="Y51" s="286"/>
      <c r="Z51" s="286"/>
    </row>
    <row r="52" ht="13.5" customHeight="1">
      <c r="A52" s="286"/>
      <c r="B52" s="298" t="s">
        <v>270</v>
      </c>
      <c r="C52" s="298" t="s">
        <v>107</v>
      </c>
      <c r="D52" s="288">
        <v>2.7929811352E8</v>
      </c>
      <c r="E52" s="288">
        <v>3.66477884E8</v>
      </c>
      <c r="F52" s="289">
        <f t="shared" si="57"/>
        <v>87179770.48</v>
      </c>
      <c r="G52" s="288">
        <v>3.8158051383053815E8</v>
      </c>
      <c r="H52" s="289">
        <f t="shared" si="58"/>
        <v>15102629.83</v>
      </c>
      <c r="I52" s="288">
        <v>3.83450829E8</v>
      </c>
      <c r="J52" s="289">
        <f t="shared" si="59"/>
        <v>1870315.169</v>
      </c>
      <c r="K52" s="288">
        <v>4.15364267E8</v>
      </c>
      <c r="L52" s="289">
        <f t="shared" si="60"/>
        <v>33783753.17</v>
      </c>
      <c r="M52" s="289">
        <f t="shared" si="61"/>
        <v>31913438</v>
      </c>
      <c r="N52" s="288">
        <f>'lamp. sk'!G62</f>
        <v>420402188</v>
      </c>
      <c r="O52" s="288">
        <f t="shared" si="62"/>
        <v>36951359</v>
      </c>
      <c r="P52" s="291">
        <f t="shared" si="63"/>
        <v>0.09636531259</v>
      </c>
      <c r="Q52" s="286"/>
      <c r="R52" s="286"/>
      <c r="S52" s="286"/>
      <c r="T52" s="286"/>
      <c r="U52" s="286"/>
      <c r="V52" s="286"/>
      <c r="W52" s="286"/>
      <c r="X52" s="286"/>
      <c r="Y52" s="286"/>
      <c r="Z52" s="286"/>
    </row>
    <row r="53" ht="13.5" customHeight="1">
      <c r="A53" s="286"/>
      <c r="B53" s="298" t="s">
        <v>271</v>
      </c>
      <c r="C53" s="298" t="s">
        <v>108</v>
      </c>
      <c r="D53" s="288">
        <v>3.4861203523E8</v>
      </c>
      <c r="E53" s="288">
        <v>4.30454598E8</v>
      </c>
      <c r="F53" s="289">
        <f t="shared" si="57"/>
        <v>81842562.77</v>
      </c>
      <c r="G53" s="288">
        <v>4.509566097144155E8</v>
      </c>
      <c r="H53" s="289">
        <f t="shared" si="58"/>
        <v>20502011.71</v>
      </c>
      <c r="I53" s="288">
        <v>4.46596875E8</v>
      </c>
      <c r="J53" s="289">
        <f t="shared" si="59"/>
        <v>-4359734.714</v>
      </c>
      <c r="K53" s="288">
        <v>4.87648572E8</v>
      </c>
      <c r="L53" s="289">
        <f t="shared" si="60"/>
        <v>36691962.29</v>
      </c>
      <c r="M53" s="289">
        <f t="shared" si="61"/>
        <v>41051697</v>
      </c>
      <c r="N53" s="288">
        <f>'lamp. sk'!G63</f>
        <v>500221575</v>
      </c>
      <c r="O53" s="288">
        <f t="shared" si="62"/>
        <v>53624700</v>
      </c>
      <c r="P53" s="291">
        <f t="shared" si="63"/>
        <v>0.1200740601</v>
      </c>
      <c r="Q53" s="286"/>
      <c r="R53" s="286"/>
      <c r="S53" s="286"/>
      <c r="T53" s="286"/>
      <c r="U53" s="286"/>
      <c r="V53" s="286"/>
      <c r="W53" s="286"/>
      <c r="X53" s="286"/>
      <c r="Y53" s="286"/>
      <c r="Z53" s="286"/>
    </row>
    <row r="54" ht="13.5" customHeight="1">
      <c r="A54" s="286"/>
      <c r="B54" s="298" t="s">
        <v>272</v>
      </c>
      <c r="C54" s="298" t="s">
        <v>109</v>
      </c>
      <c r="D54" s="288">
        <v>4.2058535225E8</v>
      </c>
      <c r="E54" s="288">
        <v>5.17931786E8</v>
      </c>
      <c r="F54" s="289">
        <f t="shared" si="57"/>
        <v>97346433.75</v>
      </c>
      <c r="G54" s="288">
        <v>5.344349138418566E8</v>
      </c>
      <c r="H54" s="289">
        <f t="shared" si="58"/>
        <v>16503127.84</v>
      </c>
      <c r="I54" s="288">
        <v>5.33426969E8</v>
      </c>
      <c r="J54" s="289">
        <f t="shared" si="59"/>
        <v>-1007944.842</v>
      </c>
      <c r="K54" s="288">
        <v>5.71668945E8</v>
      </c>
      <c r="L54" s="289">
        <f t="shared" si="60"/>
        <v>37234031.16</v>
      </c>
      <c r="M54" s="289">
        <f t="shared" si="61"/>
        <v>38241976</v>
      </c>
      <c r="N54" s="288">
        <f>'lamp. sk'!G64</f>
        <v>566198459</v>
      </c>
      <c r="O54" s="288">
        <f t="shared" si="62"/>
        <v>32771490</v>
      </c>
      <c r="P54" s="291">
        <f t="shared" si="63"/>
        <v>0.06143575767</v>
      </c>
      <c r="Q54" s="286"/>
      <c r="R54" s="286"/>
      <c r="S54" s="286"/>
      <c r="T54" s="286"/>
      <c r="U54" s="286"/>
      <c r="V54" s="286"/>
      <c r="W54" s="286"/>
      <c r="X54" s="286"/>
      <c r="Y54" s="286"/>
      <c r="Z54" s="286"/>
    </row>
    <row r="55" ht="13.5" customHeight="1">
      <c r="A55" s="286"/>
      <c r="B55" s="298" t="s">
        <v>273</v>
      </c>
      <c r="C55" s="298" t="s">
        <v>110</v>
      </c>
      <c r="D55" s="288">
        <v>5.4075044899E8</v>
      </c>
      <c r="E55" s="288">
        <v>7.06686685E8</v>
      </c>
      <c r="F55" s="289">
        <f t="shared" si="57"/>
        <v>165936236</v>
      </c>
      <c r="G55" s="288">
        <v>7.415845527807069E8</v>
      </c>
      <c r="H55" s="289">
        <f t="shared" si="58"/>
        <v>34897867.78</v>
      </c>
      <c r="I55" s="288">
        <v>7.3686031E8</v>
      </c>
      <c r="J55" s="289">
        <f t="shared" si="59"/>
        <v>-4724242.781</v>
      </c>
      <c r="K55" s="288">
        <v>7.90779624E8</v>
      </c>
      <c r="L55" s="289">
        <f t="shared" si="60"/>
        <v>49195071.22</v>
      </c>
      <c r="M55" s="289">
        <f t="shared" si="61"/>
        <v>53919314</v>
      </c>
      <c r="N55" s="288">
        <f>'lamp. sk'!G65</f>
        <v>798696978</v>
      </c>
      <c r="O55" s="288">
        <f t="shared" si="62"/>
        <v>61836668</v>
      </c>
      <c r="P55" s="291">
        <f t="shared" si="63"/>
        <v>0.08391911894</v>
      </c>
      <c r="Q55" s="286"/>
      <c r="R55" s="286"/>
      <c r="S55" s="286"/>
      <c r="T55" s="286"/>
      <c r="U55" s="286"/>
      <c r="V55" s="286"/>
      <c r="W55" s="286"/>
      <c r="X55" s="286"/>
      <c r="Y55" s="286"/>
      <c r="Z55" s="286"/>
    </row>
    <row r="56" ht="13.5" customHeight="1">
      <c r="A56" s="286"/>
      <c r="B56" s="298" t="s">
        <v>274</v>
      </c>
      <c r="C56" s="298" t="s">
        <v>111</v>
      </c>
      <c r="D56" s="288">
        <v>4.241460384E8</v>
      </c>
      <c r="E56" s="288">
        <v>5.4440182E8</v>
      </c>
      <c r="F56" s="289">
        <f t="shared" si="57"/>
        <v>120255781.6</v>
      </c>
      <c r="G56" s="288">
        <v>5.639168393327111E8</v>
      </c>
      <c r="H56" s="289">
        <f t="shared" si="58"/>
        <v>19515019.33</v>
      </c>
      <c r="I56" s="288">
        <v>5.58676714E8</v>
      </c>
      <c r="J56" s="289">
        <f t="shared" si="59"/>
        <v>-5240125.333</v>
      </c>
      <c r="K56" s="288">
        <v>6.05433645E8</v>
      </c>
      <c r="L56" s="289">
        <f t="shared" si="60"/>
        <v>41516805.67</v>
      </c>
      <c r="M56" s="289">
        <f t="shared" si="61"/>
        <v>46756931</v>
      </c>
      <c r="N56" s="288">
        <f>'lamp. sk'!G66</f>
        <v>651865796</v>
      </c>
      <c r="O56" s="288">
        <f t="shared" si="62"/>
        <v>93189082</v>
      </c>
      <c r="P56" s="291">
        <f t="shared" si="63"/>
        <v>0.1668032328</v>
      </c>
      <c r="Q56" s="286"/>
      <c r="R56" s="286"/>
      <c r="S56" s="286"/>
      <c r="T56" s="286"/>
      <c r="U56" s="286"/>
      <c r="V56" s="286"/>
      <c r="W56" s="286"/>
      <c r="X56" s="286"/>
      <c r="Y56" s="286"/>
      <c r="Z56" s="286"/>
    </row>
    <row r="57" ht="13.5" customHeight="1">
      <c r="A57" s="286"/>
      <c r="B57" s="298" t="s">
        <v>112</v>
      </c>
      <c r="C57" s="298" t="s">
        <v>113</v>
      </c>
      <c r="D57" s="288"/>
      <c r="E57" s="288"/>
      <c r="F57" s="289"/>
      <c r="G57" s="288"/>
      <c r="H57" s="289"/>
      <c r="I57" s="288"/>
      <c r="J57" s="289"/>
      <c r="K57" s="288"/>
      <c r="L57" s="289"/>
      <c r="M57" s="287"/>
      <c r="N57" s="288"/>
      <c r="O57" s="288"/>
      <c r="P57" s="291"/>
      <c r="Q57" s="286"/>
      <c r="R57" s="286"/>
      <c r="S57" s="286"/>
      <c r="T57" s="286"/>
      <c r="U57" s="286"/>
      <c r="V57" s="286"/>
      <c r="W57" s="286"/>
      <c r="X57" s="286"/>
      <c r="Y57" s="286"/>
      <c r="Z57" s="286"/>
    </row>
    <row r="58" ht="13.5" customHeight="1">
      <c r="A58" s="286"/>
      <c r="B58" s="298" t="s">
        <v>275</v>
      </c>
      <c r="C58" s="298" t="s">
        <v>114</v>
      </c>
      <c r="D58" s="288">
        <v>1.00551171825E9</v>
      </c>
      <c r="E58" s="288">
        <v>1.11832721E9</v>
      </c>
      <c r="F58" s="289">
        <f t="shared" ref="F58:F61" si="64">E58-D58</f>
        <v>112815491.8</v>
      </c>
      <c r="G58" s="288">
        <v>1.1733271599078043E9</v>
      </c>
      <c r="H58" s="289">
        <f t="shared" ref="H58:H61" si="65">G58-E58</f>
        <v>54999949.91</v>
      </c>
      <c r="I58" s="288">
        <v>1.169061911E9</v>
      </c>
      <c r="J58" s="289">
        <f t="shared" ref="J58:J61" si="66">I58-G58</f>
        <v>-4265248.908</v>
      </c>
      <c r="K58" s="288">
        <v>1.233604279E9</v>
      </c>
      <c r="L58" s="289">
        <f t="shared" ref="L58:L61" si="67">K58-G58</f>
        <v>60277119.09</v>
      </c>
      <c r="M58" s="289">
        <f t="shared" ref="M58:M61" si="68">K58-I58</f>
        <v>64542368</v>
      </c>
      <c r="N58" s="288">
        <f>'lamp. sk'!G68</f>
        <v>1146432385</v>
      </c>
      <c r="O58" s="288">
        <f t="shared" ref="O58:O61" si="69">N58-I58</f>
        <v>-22629526</v>
      </c>
      <c r="P58" s="291">
        <f t="shared" ref="P58:P61" si="70">O58/I58</f>
        <v>-0.01935699537</v>
      </c>
      <c r="Q58" s="286"/>
      <c r="R58" s="286"/>
      <c r="S58" s="286"/>
      <c r="T58" s="286"/>
      <c r="U58" s="286"/>
      <c r="V58" s="286"/>
      <c r="W58" s="286"/>
      <c r="X58" s="286"/>
      <c r="Y58" s="286"/>
      <c r="Z58" s="286"/>
    </row>
    <row r="59" ht="13.5" customHeight="1">
      <c r="A59" s="286"/>
      <c r="B59" s="298" t="s">
        <v>276</v>
      </c>
      <c r="C59" s="298" t="s">
        <v>115</v>
      </c>
      <c r="D59" s="288">
        <v>5.9237370896E8</v>
      </c>
      <c r="E59" s="288">
        <v>7.39557832E8</v>
      </c>
      <c r="F59" s="289">
        <f t="shared" si="64"/>
        <v>147184123</v>
      </c>
      <c r="G59" s="288">
        <v>7.752339072808052E8</v>
      </c>
      <c r="H59" s="289">
        <f t="shared" si="65"/>
        <v>35676075.28</v>
      </c>
      <c r="I59" s="288">
        <v>7.71622129E8</v>
      </c>
      <c r="J59" s="289">
        <f t="shared" si="66"/>
        <v>-3611778.281</v>
      </c>
      <c r="K59" s="288">
        <v>8.24238751E8</v>
      </c>
      <c r="L59" s="289">
        <f t="shared" si="67"/>
        <v>49004843.72</v>
      </c>
      <c r="M59" s="289">
        <f t="shared" si="68"/>
        <v>52616622</v>
      </c>
      <c r="N59" s="288">
        <f>'lamp. sk'!G69</f>
        <v>826865574</v>
      </c>
      <c r="O59" s="288">
        <f t="shared" si="69"/>
        <v>55243445</v>
      </c>
      <c r="P59" s="291">
        <f t="shared" si="70"/>
        <v>0.07159390967</v>
      </c>
      <c r="Q59" s="286"/>
      <c r="R59" s="286"/>
      <c r="S59" s="286"/>
      <c r="T59" s="286"/>
      <c r="U59" s="286"/>
      <c r="V59" s="286"/>
      <c r="W59" s="286"/>
      <c r="X59" s="286"/>
      <c r="Y59" s="286"/>
      <c r="Z59" s="286"/>
    </row>
    <row r="60" ht="13.5" customHeight="1">
      <c r="A60" s="286"/>
      <c r="B60" s="298" t="s">
        <v>277</v>
      </c>
      <c r="C60" s="298" t="s">
        <v>116</v>
      </c>
      <c r="D60" s="288">
        <v>5.8924382262E8</v>
      </c>
      <c r="E60" s="288">
        <v>8.40052733E8</v>
      </c>
      <c r="F60" s="289">
        <f t="shared" si="64"/>
        <v>250808910.4</v>
      </c>
      <c r="G60" s="288">
        <v>8.770153062806569E8</v>
      </c>
      <c r="H60" s="289">
        <f t="shared" si="65"/>
        <v>36962573.28</v>
      </c>
      <c r="I60" s="288">
        <v>8.73442229E8</v>
      </c>
      <c r="J60" s="289">
        <f t="shared" si="66"/>
        <v>-3573077.281</v>
      </c>
      <c r="K60" s="288">
        <v>9.32851678E8</v>
      </c>
      <c r="L60" s="289">
        <f t="shared" si="67"/>
        <v>55836371.72</v>
      </c>
      <c r="M60" s="289">
        <f t="shared" si="68"/>
        <v>59409449</v>
      </c>
      <c r="N60" s="288">
        <f>'lamp. sk'!G70</f>
        <v>911814320</v>
      </c>
      <c r="O60" s="288">
        <f t="shared" si="69"/>
        <v>38372091</v>
      </c>
      <c r="P60" s="291">
        <f t="shared" si="70"/>
        <v>0.04393203091</v>
      </c>
      <c r="Q60" s="286"/>
      <c r="R60" s="286"/>
      <c r="S60" s="286"/>
      <c r="T60" s="286"/>
      <c r="U60" s="286"/>
      <c r="V60" s="286"/>
      <c r="W60" s="286"/>
      <c r="X60" s="286"/>
      <c r="Y60" s="286"/>
      <c r="Z60" s="286"/>
    </row>
    <row r="61" ht="13.5" customHeight="1">
      <c r="A61" s="286"/>
      <c r="B61" s="298" t="s">
        <v>278</v>
      </c>
      <c r="C61" s="298" t="s">
        <v>117</v>
      </c>
      <c r="D61" s="288">
        <v>5.8080494119E8</v>
      </c>
      <c r="E61" s="288">
        <v>7.84952567E8</v>
      </c>
      <c r="F61" s="289">
        <f t="shared" si="64"/>
        <v>204147625.8</v>
      </c>
      <c r="G61" s="288">
        <v>8.217634989110312E8</v>
      </c>
      <c r="H61" s="289">
        <f t="shared" si="65"/>
        <v>36810931.91</v>
      </c>
      <c r="I61" s="288">
        <v>8.21184874E8</v>
      </c>
      <c r="J61" s="289">
        <f t="shared" si="66"/>
        <v>-578624.911</v>
      </c>
      <c r="K61" s="288">
        <v>8.70393752E8</v>
      </c>
      <c r="L61" s="289">
        <f t="shared" si="67"/>
        <v>48630253.09</v>
      </c>
      <c r="M61" s="289">
        <f t="shared" si="68"/>
        <v>49208878</v>
      </c>
      <c r="N61" s="288">
        <f>'lamp. sk'!G72</f>
        <v>859577241</v>
      </c>
      <c r="O61" s="288">
        <f t="shared" si="69"/>
        <v>38392367</v>
      </c>
      <c r="P61" s="291">
        <f t="shared" si="70"/>
        <v>0.04675240401</v>
      </c>
      <c r="Q61" s="286"/>
      <c r="R61" s="286"/>
      <c r="S61" s="286"/>
      <c r="T61" s="286"/>
      <c r="U61" s="286"/>
      <c r="V61" s="286"/>
      <c r="W61" s="286"/>
      <c r="X61" s="286"/>
      <c r="Y61" s="286"/>
      <c r="Z61" s="286"/>
    </row>
    <row r="62" ht="13.5" customHeight="1">
      <c r="A62" s="286"/>
      <c r="B62" s="298" t="s">
        <v>118</v>
      </c>
      <c r="C62" s="298" t="s">
        <v>119</v>
      </c>
      <c r="D62" s="288"/>
      <c r="E62" s="288"/>
      <c r="F62" s="289"/>
      <c r="G62" s="288"/>
      <c r="H62" s="289"/>
      <c r="I62" s="288"/>
      <c r="J62" s="289"/>
      <c r="K62" s="288"/>
      <c r="L62" s="289"/>
      <c r="M62" s="287"/>
      <c r="N62" s="288"/>
      <c r="O62" s="288"/>
      <c r="P62" s="291"/>
      <c r="Q62" s="286"/>
      <c r="R62" s="286"/>
      <c r="S62" s="286"/>
      <c r="T62" s="286"/>
      <c r="U62" s="286"/>
      <c r="V62" s="286"/>
      <c r="W62" s="286"/>
      <c r="X62" s="286"/>
      <c r="Y62" s="286"/>
      <c r="Z62" s="286"/>
    </row>
    <row r="63" ht="13.5" customHeight="1">
      <c r="A63" s="286"/>
      <c r="B63" s="298" t="s">
        <v>279</v>
      </c>
      <c r="C63" s="298" t="s">
        <v>120</v>
      </c>
      <c r="D63" s="288">
        <v>3.5058930771E8</v>
      </c>
      <c r="E63" s="288">
        <v>4.81219155E8</v>
      </c>
      <c r="F63" s="289">
        <f t="shared" ref="F63:F67" si="71">E63-D63</f>
        <v>130629847.3</v>
      </c>
      <c r="G63" s="288">
        <v>5.021685750466758E8</v>
      </c>
      <c r="H63" s="289">
        <f t="shared" ref="H63:H67" si="72">G63-E63</f>
        <v>20949420.05</v>
      </c>
      <c r="I63" s="288">
        <v>4.98381814E8</v>
      </c>
      <c r="J63" s="289">
        <f t="shared" ref="J63:J67" si="73">I63-G63</f>
        <v>-3786761.047</v>
      </c>
      <c r="K63" s="288">
        <v>5.35215092E8</v>
      </c>
      <c r="L63" s="289">
        <f t="shared" ref="L63:L67" si="74">K63-G63</f>
        <v>33046516.95</v>
      </c>
      <c r="M63" s="289">
        <f t="shared" ref="M63:M67" si="75">K63-I63</f>
        <v>36833278</v>
      </c>
      <c r="N63" s="288">
        <f>'lamp. sk'!G74</f>
        <v>561137074</v>
      </c>
      <c r="O63" s="288">
        <f t="shared" ref="O63:O67" si="76">N63-I63</f>
        <v>62755260</v>
      </c>
      <c r="P63" s="291">
        <f t="shared" ref="P63:P67" si="77">O63/I63</f>
        <v>0.1259180376</v>
      </c>
      <c r="Q63" s="286"/>
      <c r="R63" s="286"/>
      <c r="S63" s="286"/>
      <c r="T63" s="286"/>
      <c r="U63" s="286"/>
      <c r="V63" s="286"/>
      <c r="W63" s="286"/>
      <c r="X63" s="286"/>
      <c r="Y63" s="286"/>
      <c r="Z63" s="286"/>
    </row>
    <row r="64" ht="13.5" customHeight="1">
      <c r="A64" s="286"/>
      <c r="B64" s="298" t="s">
        <v>280</v>
      </c>
      <c r="C64" s="298" t="s">
        <v>121</v>
      </c>
      <c r="D64" s="288">
        <v>3.5230560956E8</v>
      </c>
      <c r="E64" s="288">
        <v>4.76643079E8</v>
      </c>
      <c r="F64" s="289">
        <f t="shared" si="71"/>
        <v>124337469.4</v>
      </c>
      <c r="G64" s="288">
        <v>4.96042664847834E8</v>
      </c>
      <c r="H64" s="289">
        <f t="shared" si="72"/>
        <v>19399585.85</v>
      </c>
      <c r="I64" s="288">
        <v>4.92413988E8</v>
      </c>
      <c r="J64" s="289">
        <f t="shared" si="73"/>
        <v>-3628676.848</v>
      </c>
      <c r="K64" s="288">
        <v>5.31107379E8</v>
      </c>
      <c r="L64" s="289">
        <f t="shared" si="74"/>
        <v>35064714.15</v>
      </c>
      <c r="M64" s="289">
        <f t="shared" si="75"/>
        <v>38693391</v>
      </c>
      <c r="N64" s="288">
        <f>'lamp. sk'!G75</f>
        <v>551779854</v>
      </c>
      <c r="O64" s="288">
        <f t="shared" si="76"/>
        <v>59365866</v>
      </c>
      <c r="P64" s="291">
        <f t="shared" si="77"/>
        <v>0.1205608846</v>
      </c>
      <c r="Q64" s="286"/>
      <c r="R64" s="286"/>
      <c r="S64" s="286"/>
      <c r="T64" s="286"/>
      <c r="U64" s="286"/>
      <c r="V64" s="286"/>
      <c r="W64" s="286"/>
      <c r="X64" s="286"/>
      <c r="Y64" s="286"/>
      <c r="Z64" s="286"/>
    </row>
    <row r="65" ht="13.5" customHeight="1">
      <c r="A65" s="286"/>
      <c r="B65" s="298" t="s">
        <v>281</v>
      </c>
      <c r="C65" s="298" t="s">
        <v>122</v>
      </c>
      <c r="D65" s="288">
        <v>3.665629031E8</v>
      </c>
      <c r="E65" s="288">
        <v>5.77576536E8</v>
      </c>
      <c r="F65" s="289">
        <f t="shared" si="71"/>
        <v>211013632.9</v>
      </c>
      <c r="G65" s="288">
        <v>5.995917031371139E8</v>
      </c>
      <c r="H65" s="289">
        <f t="shared" si="72"/>
        <v>22015167.14</v>
      </c>
      <c r="I65" s="288">
        <v>5.95609971E8</v>
      </c>
      <c r="J65" s="289">
        <f t="shared" si="73"/>
        <v>-3981732.137</v>
      </c>
      <c r="K65" s="288">
        <v>6.38451495E8</v>
      </c>
      <c r="L65" s="289">
        <f t="shared" si="74"/>
        <v>38859791.86</v>
      </c>
      <c r="M65" s="289">
        <f t="shared" si="75"/>
        <v>42841524</v>
      </c>
      <c r="N65" s="288">
        <f>'lamp. sk'!G76</f>
        <v>638868732</v>
      </c>
      <c r="O65" s="288">
        <f t="shared" si="76"/>
        <v>43258761</v>
      </c>
      <c r="P65" s="291">
        <f t="shared" si="77"/>
        <v>0.0726293432</v>
      </c>
      <c r="Q65" s="286"/>
      <c r="R65" s="286"/>
      <c r="S65" s="286"/>
      <c r="T65" s="286"/>
      <c r="U65" s="286"/>
      <c r="V65" s="286"/>
      <c r="W65" s="286"/>
      <c r="X65" s="286"/>
      <c r="Y65" s="286"/>
      <c r="Z65" s="286"/>
    </row>
    <row r="66" ht="13.5" customHeight="1">
      <c r="A66" s="286"/>
      <c r="B66" s="298" t="s">
        <v>282</v>
      </c>
      <c r="C66" s="298" t="s">
        <v>123</v>
      </c>
      <c r="D66" s="288">
        <v>8.9843211106E8</v>
      </c>
      <c r="E66" s="288">
        <v>1.059920472E9</v>
      </c>
      <c r="F66" s="289">
        <f t="shared" si="71"/>
        <v>161488360.9</v>
      </c>
      <c r="G66" s="288">
        <v>1.1143196449981384E9</v>
      </c>
      <c r="H66" s="289">
        <f t="shared" si="72"/>
        <v>54399173</v>
      </c>
      <c r="I66" s="288">
        <v>1.10565699E9</v>
      </c>
      <c r="J66" s="289">
        <f t="shared" si="73"/>
        <v>-8662654.998</v>
      </c>
      <c r="K66" s="288">
        <v>1.164950693E9</v>
      </c>
      <c r="L66" s="289">
        <f t="shared" si="74"/>
        <v>50631048</v>
      </c>
      <c r="M66" s="289">
        <f t="shared" si="75"/>
        <v>59293703</v>
      </c>
      <c r="N66" s="288">
        <f>'lamp. sk'!G77</f>
        <v>1081115765</v>
      </c>
      <c r="O66" s="288">
        <f t="shared" si="76"/>
        <v>-24541225</v>
      </c>
      <c r="P66" s="291">
        <f t="shared" si="77"/>
        <v>-0.02219605648</v>
      </c>
      <c r="Q66" s="286"/>
      <c r="R66" s="286"/>
      <c r="S66" s="286"/>
      <c r="T66" s="286"/>
      <c r="U66" s="286"/>
      <c r="V66" s="286"/>
      <c r="W66" s="286"/>
      <c r="X66" s="286"/>
      <c r="Y66" s="286"/>
      <c r="Z66" s="286"/>
    </row>
    <row r="67" ht="13.5" customHeight="1">
      <c r="A67" s="286"/>
      <c r="B67" s="298" t="s">
        <v>283</v>
      </c>
      <c r="C67" s="298" t="s">
        <v>124</v>
      </c>
      <c r="D67" s="288">
        <v>3.6683129546E8</v>
      </c>
      <c r="E67" s="288">
        <v>5.14513177E8</v>
      </c>
      <c r="F67" s="289">
        <f t="shared" si="71"/>
        <v>147681881.5</v>
      </c>
      <c r="G67" s="288">
        <v>5.349184875511515E8</v>
      </c>
      <c r="H67" s="289">
        <f t="shared" si="72"/>
        <v>20405310.55</v>
      </c>
      <c r="I67" s="288">
        <v>5.31207017E8</v>
      </c>
      <c r="J67" s="289">
        <f t="shared" si="73"/>
        <v>-3711470.551</v>
      </c>
      <c r="K67" s="288">
        <v>5.76859758E8</v>
      </c>
      <c r="L67" s="289">
        <f t="shared" si="74"/>
        <v>41941270.45</v>
      </c>
      <c r="M67" s="289">
        <f t="shared" si="75"/>
        <v>45652741</v>
      </c>
      <c r="N67" s="288">
        <f>'lamp. sk'!G78</f>
        <v>628363703</v>
      </c>
      <c r="O67" s="288">
        <f t="shared" si="76"/>
        <v>97156686</v>
      </c>
      <c r="P67" s="291">
        <f t="shared" si="77"/>
        <v>0.1828979718</v>
      </c>
      <c r="Q67" s="286"/>
      <c r="R67" s="286"/>
      <c r="S67" s="286"/>
      <c r="T67" s="286"/>
      <c r="U67" s="286"/>
      <c r="V67" s="286"/>
      <c r="W67" s="286"/>
      <c r="X67" s="286"/>
      <c r="Y67" s="286"/>
      <c r="Z67" s="286"/>
    </row>
    <row r="68" ht="13.5" customHeight="1">
      <c r="A68" s="286"/>
      <c r="B68" s="298" t="s">
        <v>125</v>
      </c>
      <c r="C68" s="298" t="s">
        <v>126</v>
      </c>
      <c r="D68" s="288"/>
      <c r="E68" s="288"/>
      <c r="F68" s="289"/>
      <c r="G68" s="288"/>
      <c r="H68" s="289"/>
      <c r="I68" s="288"/>
      <c r="J68" s="289"/>
      <c r="K68" s="288"/>
      <c r="L68" s="289"/>
      <c r="M68" s="287"/>
      <c r="N68" s="288"/>
      <c r="O68" s="288"/>
      <c r="P68" s="291"/>
      <c r="Q68" s="286"/>
      <c r="R68" s="286"/>
      <c r="S68" s="286"/>
      <c r="T68" s="286"/>
      <c r="U68" s="286"/>
      <c r="V68" s="286"/>
      <c r="W68" s="286"/>
      <c r="X68" s="286"/>
      <c r="Y68" s="286"/>
      <c r="Z68" s="286"/>
    </row>
    <row r="69" ht="13.5" customHeight="1">
      <c r="A69" s="286"/>
      <c r="B69" s="298" t="s">
        <v>284</v>
      </c>
      <c r="C69" s="298" t="s">
        <v>127</v>
      </c>
      <c r="D69" s="288">
        <v>5.6833183248E8</v>
      </c>
      <c r="E69" s="288">
        <v>6.81355442E8</v>
      </c>
      <c r="F69" s="289">
        <f t="shared" ref="F69:F74" si="78">E69-D69</f>
        <v>113023609.5</v>
      </c>
      <c r="G69" s="288">
        <v>7.084348434613806E8</v>
      </c>
      <c r="H69" s="289">
        <f t="shared" ref="H69:H74" si="79">G69-E69</f>
        <v>27079401.46</v>
      </c>
      <c r="I69" s="288">
        <v>7.05675045E8</v>
      </c>
      <c r="J69" s="289">
        <f t="shared" ref="J69:J74" si="80">I69-G69</f>
        <v>-2759798.461</v>
      </c>
      <c r="K69" s="288">
        <v>7.50240815E8</v>
      </c>
      <c r="L69" s="289">
        <f t="shared" ref="L69:L74" si="81">K69-G69</f>
        <v>41805971.54</v>
      </c>
      <c r="M69" s="289">
        <f t="shared" ref="M69:M74" si="82">K69-I69</f>
        <v>44565770</v>
      </c>
      <c r="N69" s="288">
        <f>'lamp. sk'!G80</f>
        <v>767562815</v>
      </c>
      <c r="O69" s="288">
        <f t="shared" ref="O69:O74" si="83">N69-I69</f>
        <v>61887770</v>
      </c>
      <c r="P69" s="291">
        <f t="shared" ref="P69:P74" si="84">O69/I69</f>
        <v>0.08770009715</v>
      </c>
      <c r="Q69" s="286"/>
      <c r="R69" s="286"/>
      <c r="S69" s="286"/>
      <c r="T69" s="286"/>
      <c r="U69" s="286"/>
      <c r="V69" s="286"/>
      <c r="W69" s="286"/>
      <c r="X69" s="286"/>
      <c r="Y69" s="286"/>
      <c r="Z69" s="286"/>
    </row>
    <row r="70" ht="13.5" customHeight="1">
      <c r="A70" s="286"/>
      <c r="B70" s="298" t="s">
        <v>285</v>
      </c>
      <c r="C70" s="298" t="s">
        <v>128</v>
      </c>
      <c r="D70" s="288">
        <v>3.1016130443E8</v>
      </c>
      <c r="E70" s="288">
        <v>3.34440619E8</v>
      </c>
      <c r="F70" s="289">
        <f t="shared" si="78"/>
        <v>24279314.57</v>
      </c>
      <c r="G70" s="288">
        <v>3.4235129932198286E8</v>
      </c>
      <c r="H70" s="289">
        <f t="shared" si="79"/>
        <v>7910680.322</v>
      </c>
      <c r="I70" s="288">
        <v>3.39400963E8</v>
      </c>
      <c r="J70" s="289">
        <f t="shared" si="80"/>
        <v>-2950336.322</v>
      </c>
      <c r="K70" s="288">
        <v>3.82743744E8</v>
      </c>
      <c r="L70" s="289">
        <f t="shared" si="81"/>
        <v>40392444.68</v>
      </c>
      <c r="M70" s="289">
        <f t="shared" si="82"/>
        <v>43342781</v>
      </c>
      <c r="N70" s="288">
        <f>'lamp. sk'!G81</f>
        <v>475433182</v>
      </c>
      <c r="O70" s="288">
        <f t="shared" si="83"/>
        <v>136032219</v>
      </c>
      <c r="P70" s="291">
        <f t="shared" si="84"/>
        <v>0.4008009223</v>
      </c>
      <c r="Q70" s="286"/>
      <c r="R70" s="286"/>
      <c r="S70" s="286"/>
      <c r="T70" s="286"/>
      <c r="U70" s="286"/>
      <c r="V70" s="286"/>
      <c r="W70" s="286"/>
      <c r="X70" s="286"/>
      <c r="Y70" s="286"/>
      <c r="Z70" s="286"/>
    </row>
    <row r="71" ht="13.5" customHeight="1">
      <c r="A71" s="286"/>
      <c r="B71" s="298" t="s">
        <v>286</v>
      </c>
      <c r="C71" s="298" t="s">
        <v>129</v>
      </c>
      <c r="D71" s="288">
        <v>5.3196654898E8</v>
      </c>
      <c r="E71" s="288">
        <v>6.86609962E8</v>
      </c>
      <c r="F71" s="289">
        <f t="shared" si="78"/>
        <v>154643413</v>
      </c>
      <c r="G71" s="288">
        <v>7.171026328618453E8</v>
      </c>
      <c r="H71" s="289">
        <f t="shared" si="79"/>
        <v>30492670.86</v>
      </c>
      <c r="I71" s="288">
        <v>7.11194921E8</v>
      </c>
      <c r="J71" s="289">
        <f t="shared" si="80"/>
        <v>-5907711.862</v>
      </c>
      <c r="K71" s="288">
        <v>7.58682572E8</v>
      </c>
      <c r="L71" s="289">
        <f t="shared" si="81"/>
        <v>41579939.14</v>
      </c>
      <c r="M71" s="289">
        <f t="shared" si="82"/>
        <v>47487651</v>
      </c>
      <c r="N71" s="288">
        <f>'lamp. sk'!G82</f>
        <v>774626447</v>
      </c>
      <c r="O71" s="288">
        <f t="shared" si="83"/>
        <v>63431526</v>
      </c>
      <c r="P71" s="291">
        <f t="shared" si="84"/>
        <v>0.0891900717</v>
      </c>
      <c r="Q71" s="286"/>
      <c r="R71" s="286"/>
      <c r="S71" s="286"/>
      <c r="T71" s="286"/>
      <c r="U71" s="286"/>
      <c r="V71" s="286"/>
      <c r="W71" s="286"/>
      <c r="X71" s="286"/>
      <c r="Y71" s="286"/>
      <c r="Z71" s="286"/>
    </row>
    <row r="72" ht="13.5" customHeight="1">
      <c r="A72" s="286"/>
      <c r="B72" s="298" t="s">
        <v>287</v>
      </c>
      <c r="C72" s="298" t="s">
        <v>130</v>
      </c>
      <c r="D72" s="288">
        <v>5.4746442506E8</v>
      </c>
      <c r="E72" s="288">
        <v>6.79474028E8</v>
      </c>
      <c r="F72" s="289">
        <f t="shared" si="78"/>
        <v>132009602.9</v>
      </c>
      <c r="G72" s="288">
        <v>7.11417038935802E8</v>
      </c>
      <c r="H72" s="289">
        <f t="shared" si="79"/>
        <v>31943010.94</v>
      </c>
      <c r="I72" s="288">
        <v>7.09495361E8</v>
      </c>
      <c r="J72" s="289">
        <f t="shared" si="80"/>
        <v>-1921677.936</v>
      </c>
      <c r="K72" s="288">
        <v>7.56914695E8</v>
      </c>
      <c r="L72" s="289">
        <f t="shared" si="81"/>
        <v>45497656.06</v>
      </c>
      <c r="M72" s="289">
        <f t="shared" si="82"/>
        <v>47419334</v>
      </c>
      <c r="N72" s="288">
        <f>'lamp. sk'!G83</f>
        <v>771793262</v>
      </c>
      <c r="O72" s="288">
        <f t="shared" si="83"/>
        <v>62297901</v>
      </c>
      <c r="P72" s="291">
        <f t="shared" si="84"/>
        <v>0.0878059314</v>
      </c>
      <c r="Q72" s="286"/>
      <c r="R72" s="286"/>
      <c r="S72" s="286"/>
      <c r="T72" s="286"/>
      <c r="U72" s="286"/>
      <c r="V72" s="286"/>
      <c r="W72" s="286"/>
      <c r="X72" s="286"/>
      <c r="Y72" s="286"/>
      <c r="Z72" s="286"/>
    </row>
    <row r="73" ht="13.5" customHeight="1">
      <c r="A73" s="286"/>
      <c r="B73" s="298" t="s">
        <v>288</v>
      </c>
      <c r="C73" s="298" t="s">
        <v>131</v>
      </c>
      <c r="D73" s="288">
        <v>6.6471356914E8</v>
      </c>
      <c r="E73" s="288">
        <v>8.14518138E8</v>
      </c>
      <c r="F73" s="289">
        <f t="shared" si="78"/>
        <v>149804568.9</v>
      </c>
      <c r="G73" s="288">
        <v>8.551381242207999E8</v>
      </c>
      <c r="H73" s="289">
        <f t="shared" si="79"/>
        <v>40619986.22</v>
      </c>
      <c r="I73" s="288">
        <v>8.52036837E8</v>
      </c>
      <c r="J73" s="289">
        <f t="shared" si="80"/>
        <v>-3101287.221</v>
      </c>
      <c r="K73" s="288">
        <v>9.09235861E8</v>
      </c>
      <c r="L73" s="289">
        <f t="shared" si="81"/>
        <v>54097736.78</v>
      </c>
      <c r="M73" s="289">
        <f t="shared" si="82"/>
        <v>57199024</v>
      </c>
      <c r="N73" s="288">
        <f>'lamp. sk'!G84</f>
        <v>892722171</v>
      </c>
      <c r="O73" s="288">
        <f t="shared" si="83"/>
        <v>40685334</v>
      </c>
      <c r="P73" s="291">
        <f t="shared" si="84"/>
        <v>0.04775067489</v>
      </c>
      <c r="Q73" s="286"/>
      <c r="R73" s="286"/>
      <c r="S73" s="286"/>
      <c r="T73" s="286"/>
      <c r="U73" s="286"/>
      <c r="V73" s="286"/>
      <c r="W73" s="286"/>
      <c r="X73" s="286"/>
      <c r="Y73" s="286"/>
      <c r="Z73" s="286"/>
    </row>
    <row r="74" ht="13.5" customHeight="1">
      <c r="A74" s="286"/>
      <c r="B74" s="298" t="s">
        <v>289</v>
      </c>
      <c r="C74" s="298" t="s">
        <v>132</v>
      </c>
      <c r="D74" s="288">
        <v>4.0726817896E8</v>
      </c>
      <c r="E74" s="288">
        <v>6.08353178E8</v>
      </c>
      <c r="F74" s="289">
        <f t="shared" si="78"/>
        <v>201084999</v>
      </c>
      <c r="G74" s="288">
        <v>6.277447354906268E8</v>
      </c>
      <c r="H74" s="289">
        <f t="shared" si="79"/>
        <v>19391557.49</v>
      </c>
      <c r="I74" s="288">
        <v>6.26622158E8</v>
      </c>
      <c r="J74" s="289">
        <f t="shared" si="80"/>
        <v>-1122577.491</v>
      </c>
      <c r="K74" s="288">
        <v>6.81510268E8</v>
      </c>
      <c r="L74" s="289">
        <f t="shared" si="81"/>
        <v>53765532.51</v>
      </c>
      <c r="M74" s="289">
        <f t="shared" si="82"/>
        <v>54888110</v>
      </c>
      <c r="N74" s="288">
        <f>'lamp. sk'!G85</f>
        <v>709544559</v>
      </c>
      <c r="O74" s="288">
        <f t="shared" si="83"/>
        <v>82922401</v>
      </c>
      <c r="P74" s="291">
        <f t="shared" si="84"/>
        <v>0.1323323792</v>
      </c>
      <c r="Q74" s="286"/>
      <c r="R74" s="286"/>
      <c r="S74" s="286"/>
      <c r="T74" s="286"/>
      <c r="U74" s="286"/>
      <c r="V74" s="286"/>
      <c r="W74" s="286"/>
      <c r="X74" s="286"/>
      <c r="Y74" s="286"/>
      <c r="Z74" s="286"/>
    </row>
    <row r="75" ht="13.5" customHeight="1">
      <c r="A75" s="286"/>
      <c r="B75" s="298" t="s">
        <v>133</v>
      </c>
      <c r="C75" s="298" t="s">
        <v>134</v>
      </c>
      <c r="D75" s="288"/>
      <c r="E75" s="288"/>
      <c r="F75" s="289"/>
      <c r="G75" s="288"/>
      <c r="H75" s="289"/>
      <c r="I75" s="288"/>
      <c r="J75" s="289"/>
      <c r="K75" s="288"/>
      <c r="L75" s="289"/>
      <c r="M75" s="287"/>
      <c r="N75" s="288"/>
      <c r="O75" s="288"/>
      <c r="P75" s="291"/>
      <c r="Q75" s="286"/>
      <c r="R75" s="286"/>
      <c r="S75" s="286"/>
      <c r="T75" s="286"/>
      <c r="U75" s="286"/>
      <c r="V75" s="286"/>
      <c r="W75" s="286"/>
      <c r="X75" s="286"/>
      <c r="Y75" s="286"/>
      <c r="Z75" s="286"/>
    </row>
    <row r="76" ht="13.5" customHeight="1">
      <c r="A76" s="286"/>
      <c r="B76" s="298" t="s">
        <v>290</v>
      </c>
      <c r="C76" s="298" t="s">
        <v>135</v>
      </c>
      <c r="D76" s="288">
        <v>5.5911137823E8</v>
      </c>
      <c r="E76" s="288">
        <v>7.60299552E8</v>
      </c>
      <c r="F76" s="289">
        <f t="shared" ref="F76:F80" si="85">E76-D76</f>
        <v>201188173.8</v>
      </c>
      <c r="G76" s="288">
        <v>8.143133910910844E8</v>
      </c>
      <c r="H76" s="289">
        <f t="shared" ref="H76:H80" si="86">G76-E76</f>
        <v>54013839.09</v>
      </c>
      <c r="I76" s="288">
        <v>8.05673783E8</v>
      </c>
      <c r="J76" s="289">
        <f t="shared" ref="J76:J80" si="87">I76-G76</f>
        <v>-8639608.091</v>
      </c>
      <c r="K76" s="288">
        <v>8.59659167E8</v>
      </c>
      <c r="L76" s="289">
        <f t="shared" ref="L76:L80" si="88">K76-G76</f>
        <v>45345775.91</v>
      </c>
      <c r="M76" s="289">
        <f t="shared" ref="M76:M80" si="89">K76-I76</f>
        <v>53985384</v>
      </c>
      <c r="N76" s="288">
        <f>'lamp. sk'!G87</f>
        <v>846894998</v>
      </c>
      <c r="O76" s="288">
        <f t="shared" ref="O76:O80" si="90">N76-I76</f>
        <v>41221215</v>
      </c>
      <c r="P76" s="291">
        <f t="shared" ref="P76:P80" si="91">O76/I76</f>
        <v>0.05116365441</v>
      </c>
      <c r="Q76" s="286"/>
      <c r="R76" s="286"/>
      <c r="S76" s="286"/>
      <c r="T76" s="286"/>
      <c r="U76" s="286"/>
      <c r="V76" s="286"/>
      <c r="W76" s="286"/>
      <c r="X76" s="286"/>
      <c r="Y76" s="286"/>
      <c r="Z76" s="286"/>
    </row>
    <row r="77" ht="13.5" customHeight="1">
      <c r="A77" s="286"/>
      <c r="B77" s="298" t="s">
        <v>291</v>
      </c>
      <c r="C77" s="298" t="s">
        <v>136</v>
      </c>
      <c r="D77" s="288">
        <v>5.7704320985E8</v>
      </c>
      <c r="E77" s="288">
        <v>6.71062704E8</v>
      </c>
      <c r="F77" s="289">
        <f t="shared" si="85"/>
        <v>94019494.15</v>
      </c>
      <c r="G77" s="288">
        <v>7.006212101946766E8</v>
      </c>
      <c r="H77" s="289">
        <f t="shared" si="86"/>
        <v>29558506.19</v>
      </c>
      <c r="I77" s="288">
        <v>6.95662614E8</v>
      </c>
      <c r="J77" s="289">
        <f t="shared" si="87"/>
        <v>-4958596.195</v>
      </c>
      <c r="K77" s="288">
        <v>7.45225918E8</v>
      </c>
      <c r="L77" s="289">
        <f t="shared" si="88"/>
        <v>44604707.81</v>
      </c>
      <c r="M77" s="289">
        <f t="shared" si="89"/>
        <v>49563304</v>
      </c>
      <c r="N77" s="288">
        <f>'lamp. sk'!G88</f>
        <v>761966462</v>
      </c>
      <c r="O77" s="288">
        <f t="shared" si="90"/>
        <v>66303848</v>
      </c>
      <c r="P77" s="291">
        <f t="shared" si="91"/>
        <v>0.09531035112</v>
      </c>
      <c r="Q77" s="286"/>
      <c r="R77" s="286"/>
      <c r="S77" s="286"/>
      <c r="T77" s="286"/>
      <c r="U77" s="286"/>
      <c r="V77" s="286"/>
      <c r="W77" s="286"/>
      <c r="X77" s="286"/>
      <c r="Y77" s="286"/>
      <c r="Z77" s="286"/>
    </row>
    <row r="78" ht="13.5" customHeight="1">
      <c r="A78" s="286"/>
      <c r="B78" s="298" t="s">
        <v>292</v>
      </c>
      <c r="C78" s="298" t="s">
        <v>137</v>
      </c>
      <c r="D78" s="288">
        <v>4.7409389576E8</v>
      </c>
      <c r="E78" s="288">
        <v>6.06119334E8</v>
      </c>
      <c r="F78" s="289">
        <f t="shared" si="85"/>
        <v>132025438.2</v>
      </c>
      <c r="G78" s="288">
        <v>6.352344509263036E8</v>
      </c>
      <c r="H78" s="289">
        <f t="shared" si="86"/>
        <v>29115116.93</v>
      </c>
      <c r="I78" s="288">
        <v>6.29831439E8</v>
      </c>
      <c r="J78" s="289">
        <f t="shared" si="87"/>
        <v>-5403011.926</v>
      </c>
      <c r="K78" s="288">
        <v>6.68648551E8</v>
      </c>
      <c r="L78" s="289">
        <f t="shared" si="88"/>
        <v>33414100.07</v>
      </c>
      <c r="M78" s="289">
        <f t="shared" si="89"/>
        <v>38817112</v>
      </c>
      <c r="N78" s="288">
        <f>'lamp. sk'!G89</f>
        <v>705250875</v>
      </c>
      <c r="O78" s="288">
        <f t="shared" si="90"/>
        <v>75419436</v>
      </c>
      <c r="P78" s="291">
        <f t="shared" si="91"/>
        <v>0.1197454292</v>
      </c>
      <c r="Q78" s="286"/>
      <c r="R78" s="286"/>
      <c r="S78" s="286"/>
      <c r="T78" s="286"/>
      <c r="U78" s="286"/>
      <c r="V78" s="286"/>
      <c r="W78" s="286"/>
      <c r="X78" s="286"/>
      <c r="Y78" s="286"/>
      <c r="Z78" s="286"/>
    </row>
    <row r="79" ht="13.5" customHeight="1">
      <c r="A79" s="286"/>
      <c r="B79" s="298" t="s">
        <v>293</v>
      </c>
      <c r="C79" s="298" t="s">
        <v>138</v>
      </c>
      <c r="D79" s="288">
        <v>4.8489296322E8</v>
      </c>
      <c r="E79" s="288">
        <v>7.48837629E8</v>
      </c>
      <c r="F79" s="289">
        <f t="shared" si="85"/>
        <v>263944665.8</v>
      </c>
      <c r="G79" s="288">
        <v>7.736728095393982E8</v>
      </c>
      <c r="H79" s="289">
        <f t="shared" si="86"/>
        <v>24835180.54</v>
      </c>
      <c r="I79" s="288">
        <v>7.6913194E8</v>
      </c>
      <c r="J79" s="289">
        <f t="shared" si="87"/>
        <v>-4540869.539</v>
      </c>
      <c r="K79" s="288">
        <v>8.41648465E8</v>
      </c>
      <c r="L79" s="289">
        <f t="shared" si="88"/>
        <v>67975655.46</v>
      </c>
      <c r="M79" s="289">
        <f t="shared" si="89"/>
        <v>72516525</v>
      </c>
      <c r="N79" s="288">
        <f>'lamp. sk'!G90</f>
        <v>819351064</v>
      </c>
      <c r="O79" s="288">
        <f t="shared" si="90"/>
        <v>50219124</v>
      </c>
      <c r="P79" s="291">
        <f t="shared" si="91"/>
        <v>0.06529324995</v>
      </c>
      <c r="Q79" s="286"/>
      <c r="R79" s="286"/>
      <c r="S79" s="286"/>
      <c r="T79" s="286"/>
      <c r="U79" s="286"/>
      <c r="V79" s="286"/>
      <c r="W79" s="286"/>
      <c r="X79" s="286"/>
      <c r="Y79" s="286"/>
      <c r="Z79" s="286"/>
    </row>
    <row r="80" ht="13.5" customHeight="1">
      <c r="A80" s="286"/>
      <c r="B80" s="298" t="s">
        <v>294</v>
      </c>
      <c r="C80" s="298" t="s">
        <v>139</v>
      </c>
      <c r="D80" s="288">
        <v>4.2576968359E8</v>
      </c>
      <c r="E80" s="288">
        <v>5.74785849E8</v>
      </c>
      <c r="F80" s="289">
        <f t="shared" si="85"/>
        <v>149016165.4</v>
      </c>
      <c r="G80" s="288">
        <v>6.014398247499896E8</v>
      </c>
      <c r="H80" s="289">
        <f t="shared" si="86"/>
        <v>26653975.75</v>
      </c>
      <c r="I80" s="288">
        <v>5.98867151E8</v>
      </c>
      <c r="J80" s="289">
        <f t="shared" si="87"/>
        <v>-2572673.75</v>
      </c>
      <c r="K80" s="288">
        <v>6.45889602E8</v>
      </c>
      <c r="L80" s="289">
        <f t="shared" si="88"/>
        <v>44449777.25</v>
      </c>
      <c r="M80" s="289">
        <f t="shared" si="89"/>
        <v>47022451</v>
      </c>
      <c r="N80" s="288">
        <f>'lamp. sk'!G91</f>
        <v>682415798</v>
      </c>
      <c r="O80" s="288">
        <f t="shared" si="90"/>
        <v>83548647</v>
      </c>
      <c r="P80" s="291">
        <f t="shared" si="91"/>
        <v>0.1395111535</v>
      </c>
      <c r="Q80" s="286"/>
      <c r="R80" s="286"/>
      <c r="S80" s="286"/>
      <c r="T80" s="286"/>
      <c r="U80" s="286"/>
      <c r="V80" s="286"/>
      <c r="W80" s="286"/>
      <c r="X80" s="286"/>
      <c r="Y80" s="286"/>
      <c r="Z80" s="286"/>
    </row>
    <row r="81" ht="13.5" customHeight="1">
      <c r="A81" s="286"/>
      <c r="B81" s="298" t="s">
        <v>140</v>
      </c>
      <c r="C81" s="298" t="s">
        <v>141</v>
      </c>
      <c r="D81" s="288"/>
      <c r="E81" s="288"/>
      <c r="F81" s="289"/>
      <c r="G81" s="288"/>
      <c r="H81" s="289"/>
      <c r="I81" s="288"/>
      <c r="J81" s="289"/>
      <c r="K81" s="288"/>
      <c r="L81" s="289"/>
      <c r="M81" s="287"/>
      <c r="N81" s="288"/>
      <c r="O81" s="288"/>
      <c r="P81" s="291"/>
      <c r="Q81" s="286"/>
      <c r="R81" s="286"/>
      <c r="S81" s="286"/>
      <c r="T81" s="286"/>
      <c r="U81" s="286"/>
      <c r="V81" s="286"/>
      <c r="W81" s="286"/>
      <c r="X81" s="286"/>
      <c r="Y81" s="286"/>
      <c r="Z81" s="286"/>
    </row>
    <row r="82" ht="13.5" customHeight="1">
      <c r="A82" s="286"/>
      <c r="B82" s="298" t="s">
        <v>295</v>
      </c>
      <c r="C82" s="298" t="s">
        <v>142</v>
      </c>
      <c r="D82" s="288">
        <v>3.6840582134E8</v>
      </c>
      <c r="E82" s="288">
        <v>5.35402123E8</v>
      </c>
      <c r="F82" s="289">
        <f t="shared" ref="F82:F89" si="92">E82-D82</f>
        <v>166996301.7</v>
      </c>
      <c r="G82" s="288">
        <v>5.518999637749774E8</v>
      </c>
      <c r="H82" s="289">
        <f t="shared" ref="H82:H89" si="93">G82-E82</f>
        <v>16497840.77</v>
      </c>
      <c r="I82" s="288">
        <v>5.47919101E8</v>
      </c>
      <c r="J82" s="289">
        <f t="shared" ref="J82:J89" si="94">I82-G82</f>
        <v>-3980862.775</v>
      </c>
      <c r="K82" s="288">
        <v>5.83593612E8</v>
      </c>
      <c r="L82" s="289">
        <f t="shared" ref="L82:L89" si="95">K82-G82</f>
        <v>31693648.23</v>
      </c>
      <c r="M82" s="289">
        <f t="shared" ref="M82:M89" si="96">K82-I82</f>
        <v>35674511</v>
      </c>
      <c r="N82" s="288">
        <f>'lamp. sk'!G94</f>
        <v>596320519</v>
      </c>
      <c r="O82" s="288">
        <f t="shared" ref="O82:O89" si="97">N82-I82</f>
        <v>48401418</v>
      </c>
      <c r="P82" s="291">
        <f t="shared" ref="P82:P89" si="98">O82/I82</f>
        <v>0.08833679627</v>
      </c>
      <c r="Q82" s="286"/>
      <c r="R82" s="286"/>
      <c r="S82" s="286"/>
      <c r="T82" s="286"/>
      <c r="U82" s="286"/>
      <c r="V82" s="286"/>
      <c r="W82" s="286"/>
      <c r="X82" s="286"/>
      <c r="Y82" s="286"/>
      <c r="Z82" s="286"/>
    </row>
    <row r="83" ht="13.5" customHeight="1">
      <c r="A83" s="286"/>
      <c r="B83" s="298" t="s">
        <v>296</v>
      </c>
      <c r="C83" s="298" t="s">
        <v>143</v>
      </c>
      <c r="D83" s="288">
        <v>2.6682523316E8</v>
      </c>
      <c r="E83" s="288">
        <v>4.07952381E8</v>
      </c>
      <c r="F83" s="289">
        <f t="shared" si="92"/>
        <v>141127147.8</v>
      </c>
      <c r="G83" s="288">
        <v>4.230227279078535E8</v>
      </c>
      <c r="H83" s="289">
        <f t="shared" si="93"/>
        <v>15070346.91</v>
      </c>
      <c r="I83" s="288">
        <v>4.18106641E8</v>
      </c>
      <c r="J83" s="289">
        <f t="shared" si="94"/>
        <v>-4916086.908</v>
      </c>
      <c r="K83" s="288">
        <v>4.61163126E8</v>
      </c>
      <c r="L83" s="289">
        <f t="shared" si="95"/>
        <v>38140398.09</v>
      </c>
      <c r="M83" s="289">
        <f t="shared" si="96"/>
        <v>43056485</v>
      </c>
      <c r="N83" s="288">
        <f>'lamp. sk'!G95</f>
        <v>491453666</v>
      </c>
      <c r="O83" s="288">
        <f t="shared" si="97"/>
        <v>73347025</v>
      </c>
      <c r="P83" s="291">
        <f t="shared" si="98"/>
        <v>0.1754265965</v>
      </c>
      <c r="Q83" s="286"/>
      <c r="R83" s="286"/>
      <c r="S83" s="286"/>
      <c r="T83" s="286"/>
      <c r="U83" s="286"/>
      <c r="V83" s="286"/>
      <c r="W83" s="286"/>
      <c r="X83" s="286"/>
      <c r="Y83" s="286"/>
      <c r="Z83" s="286"/>
    </row>
    <row r="84" ht="13.5" customHeight="1">
      <c r="A84" s="286"/>
      <c r="B84" s="298" t="s">
        <v>297</v>
      </c>
      <c r="C84" s="298" t="s">
        <v>144</v>
      </c>
      <c r="D84" s="288">
        <v>2.3613290051E8</v>
      </c>
      <c r="E84" s="288">
        <v>3.72442061E8</v>
      </c>
      <c r="F84" s="289">
        <f t="shared" si="92"/>
        <v>136309160.5</v>
      </c>
      <c r="G84" s="288">
        <v>3.886255535284726E8</v>
      </c>
      <c r="H84" s="289">
        <f t="shared" si="93"/>
        <v>16183492.53</v>
      </c>
      <c r="I84" s="288">
        <v>3.83865136E8</v>
      </c>
      <c r="J84" s="289">
        <f t="shared" si="94"/>
        <v>-4760417.528</v>
      </c>
      <c r="K84" s="288">
        <v>4.23445228E8</v>
      </c>
      <c r="L84" s="289">
        <f t="shared" si="95"/>
        <v>34819674.47</v>
      </c>
      <c r="M84" s="289">
        <f t="shared" si="96"/>
        <v>39580092</v>
      </c>
      <c r="N84" s="288">
        <f>'lamp. sk'!G96</f>
        <v>463835642</v>
      </c>
      <c r="O84" s="288">
        <f t="shared" si="97"/>
        <v>79970506</v>
      </c>
      <c r="P84" s="291">
        <f t="shared" si="98"/>
        <v>0.2083296932</v>
      </c>
      <c r="Q84" s="286"/>
      <c r="R84" s="286"/>
      <c r="S84" s="286"/>
      <c r="T84" s="286"/>
      <c r="U84" s="286"/>
      <c r="V84" s="286"/>
      <c r="W84" s="286"/>
      <c r="X84" s="286"/>
      <c r="Y84" s="286"/>
      <c r="Z84" s="286"/>
    </row>
    <row r="85" ht="13.5" customHeight="1">
      <c r="A85" s="286"/>
      <c r="B85" s="298" t="s">
        <v>298</v>
      </c>
      <c r="C85" s="298" t="s">
        <v>145</v>
      </c>
      <c r="D85" s="288">
        <v>2.9949904815E8</v>
      </c>
      <c r="E85" s="288">
        <v>4.1978641E8</v>
      </c>
      <c r="F85" s="289">
        <f t="shared" si="92"/>
        <v>120287361.9</v>
      </c>
      <c r="G85" s="288">
        <v>4.3090833775808746E8</v>
      </c>
      <c r="H85" s="289">
        <f t="shared" si="93"/>
        <v>11121927.76</v>
      </c>
      <c r="I85" s="288">
        <v>4.27436951E8</v>
      </c>
      <c r="J85" s="289">
        <f t="shared" si="94"/>
        <v>-3471386.758</v>
      </c>
      <c r="K85" s="288">
        <v>4.61418483E8</v>
      </c>
      <c r="L85" s="289">
        <f t="shared" si="95"/>
        <v>30510145.24</v>
      </c>
      <c r="M85" s="289">
        <f t="shared" si="96"/>
        <v>33981532</v>
      </c>
      <c r="N85" s="288">
        <f>'lamp. sk'!G97</f>
        <v>500412030</v>
      </c>
      <c r="O85" s="288">
        <f t="shared" si="97"/>
        <v>72975079</v>
      </c>
      <c r="P85" s="291">
        <f t="shared" si="98"/>
        <v>0.1707271185</v>
      </c>
      <c r="Q85" s="286"/>
      <c r="R85" s="286"/>
      <c r="S85" s="286"/>
      <c r="T85" s="286"/>
      <c r="U85" s="286"/>
      <c r="V85" s="286"/>
      <c r="W85" s="286"/>
      <c r="X85" s="286"/>
      <c r="Y85" s="286"/>
      <c r="Z85" s="286"/>
    </row>
    <row r="86" ht="13.5" customHeight="1">
      <c r="A86" s="286"/>
      <c r="B86" s="298" t="s">
        <v>299</v>
      </c>
      <c r="C86" s="298" t="s">
        <v>146</v>
      </c>
      <c r="D86" s="288">
        <v>2.6800972282E8</v>
      </c>
      <c r="E86" s="288">
        <v>4.36840421E8</v>
      </c>
      <c r="F86" s="289">
        <f t="shared" si="92"/>
        <v>168830698.2</v>
      </c>
      <c r="G86" s="288">
        <v>4.564977046655621E8</v>
      </c>
      <c r="H86" s="289">
        <f t="shared" si="93"/>
        <v>19657283.67</v>
      </c>
      <c r="I86" s="288">
        <v>4.52583067E8</v>
      </c>
      <c r="J86" s="289">
        <f t="shared" si="94"/>
        <v>-3914637.666</v>
      </c>
      <c r="K86" s="288">
        <v>4.92825389E8</v>
      </c>
      <c r="L86" s="289">
        <f t="shared" si="95"/>
        <v>36327684.33</v>
      </c>
      <c r="M86" s="289">
        <f t="shared" si="96"/>
        <v>40242322</v>
      </c>
      <c r="N86" s="288">
        <f>'lamp. sk'!G98</f>
        <v>518028513</v>
      </c>
      <c r="O86" s="288">
        <f t="shared" si="97"/>
        <v>65445446</v>
      </c>
      <c r="P86" s="291">
        <f t="shared" si="98"/>
        <v>0.1446042744</v>
      </c>
      <c r="Q86" s="286"/>
      <c r="R86" s="286"/>
      <c r="S86" s="286"/>
      <c r="T86" s="286"/>
      <c r="U86" s="286"/>
      <c r="V86" s="286"/>
      <c r="W86" s="286"/>
      <c r="X86" s="286"/>
      <c r="Y86" s="286"/>
      <c r="Z86" s="286"/>
    </row>
    <row r="87" ht="13.5" customHeight="1">
      <c r="A87" s="286"/>
      <c r="B87" s="298" t="s">
        <v>300</v>
      </c>
      <c r="C87" s="298" t="s">
        <v>147</v>
      </c>
      <c r="D87" s="288">
        <v>4.189515045E8</v>
      </c>
      <c r="E87" s="288">
        <v>5.69615021E8</v>
      </c>
      <c r="F87" s="289">
        <f t="shared" si="92"/>
        <v>150663516.5</v>
      </c>
      <c r="G87" s="288">
        <v>5.922000310824229E8</v>
      </c>
      <c r="H87" s="289">
        <f t="shared" si="93"/>
        <v>22585010.08</v>
      </c>
      <c r="I87" s="288">
        <v>5.86889289E8</v>
      </c>
      <c r="J87" s="289">
        <f t="shared" si="94"/>
        <v>-5310742.082</v>
      </c>
      <c r="K87" s="288">
        <v>6.33430271E8</v>
      </c>
      <c r="L87" s="289">
        <f t="shared" si="95"/>
        <v>41230239.92</v>
      </c>
      <c r="M87" s="289">
        <f t="shared" si="96"/>
        <v>46540982</v>
      </c>
      <c r="N87" s="288">
        <f>'lamp. sk'!G99</f>
        <v>677423830</v>
      </c>
      <c r="O87" s="288">
        <f t="shared" si="97"/>
        <v>90534541</v>
      </c>
      <c r="P87" s="291">
        <f t="shared" si="98"/>
        <v>0.1542617027</v>
      </c>
      <c r="Q87" s="286"/>
      <c r="R87" s="286"/>
      <c r="S87" s="286"/>
      <c r="T87" s="286"/>
      <c r="U87" s="286"/>
      <c r="V87" s="286"/>
      <c r="W87" s="286"/>
      <c r="X87" s="286"/>
      <c r="Y87" s="286"/>
      <c r="Z87" s="286"/>
    </row>
    <row r="88" ht="13.5" customHeight="1">
      <c r="A88" s="286"/>
      <c r="B88" s="298" t="s">
        <v>301</v>
      </c>
      <c r="C88" s="298" t="s">
        <v>148</v>
      </c>
      <c r="D88" s="288">
        <v>3.0233852714E8</v>
      </c>
      <c r="E88" s="288">
        <v>4.17207058E8</v>
      </c>
      <c r="F88" s="289">
        <f t="shared" si="92"/>
        <v>114868530.9</v>
      </c>
      <c r="G88" s="288">
        <v>4.431604513146279E8</v>
      </c>
      <c r="H88" s="289">
        <f t="shared" si="93"/>
        <v>25953393.31</v>
      </c>
      <c r="I88" s="288">
        <v>4.40062847E8</v>
      </c>
      <c r="J88" s="289">
        <f t="shared" si="94"/>
        <v>-3097604.315</v>
      </c>
      <c r="K88" s="288">
        <v>4.76651898E8</v>
      </c>
      <c r="L88" s="289">
        <f t="shared" si="95"/>
        <v>33491446.69</v>
      </c>
      <c r="M88" s="289">
        <f t="shared" si="96"/>
        <v>36589051</v>
      </c>
      <c r="N88" s="288">
        <f>'lamp. sk'!G100</f>
        <v>509677108</v>
      </c>
      <c r="O88" s="288">
        <f t="shared" si="97"/>
        <v>69614261</v>
      </c>
      <c r="P88" s="291">
        <f t="shared" si="98"/>
        <v>0.1581916344</v>
      </c>
      <c r="Q88" s="286"/>
      <c r="R88" s="286"/>
      <c r="S88" s="286"/>
      <c r="T88" s="286"/>
      <c r="U88" s="286"/>
      <c r="V88" s="286"/>
      <c r="W88" s="286"/>
      <c r="X88" s="286"/>
      <c r="Y88" s="286"/>
      <c r="Z88" s="286"/>
    </row>
    <row r="89" ht="13.5" customHeight="1">
      <c r="A89" s="286"/>
      <c r="B89" s="298" t="s">
        <v>302</v>
      </c>
      <c r="C89" s="298" t="s">
        <v>149</v>
      </c>
      <c r="D89" s="288">
        <v>3.6686110672E8</v>
      </c>
      <c r="E89" s="288">
        <v>5.74969531E8</v>
      </c>
      <c r="F89" s="289">
        <f t="shared" si="92"/>
        <v>208108424.3</v>
      </c>
      <c r="G89" s="288">
        <v>6.007896723202754E8</v>
      </c>
      <c r="H89" s="289">
        <f t="shared" si="93"/>
        <v>25820141.32</v>
      </c>
      <c r="I89" s="288">
        <v>5.9796047E8</v>
      </c>
      <c r="J89" s="289">
        <f t="shared" si="94"/>
        <v>-2829202.32</v>
      </c>
      <c r="K89" s="288">
        <v>6.44046476E8</v>
      </c>
      <c r="L89" s="289">
        <f t="shared" si="95"/>
        <v>43256803.68</v>
      </c>
      <c r="M89" s="289">
        <f t="shared" si="96"/>
        <v>46086006</v>
      </c>
      <c r="N89" s="288">
        <f>'lamp. sk'!G101</f>
        <v>632477291</v>
      </c>
      <c r="O89" s="288">
        <f t="shared" si="97"/>
        <v>34516821</v>
      </c>
      <c r="P89" s="291">
        <f t="shared" si="98"/>
        <v>0.05772425224</v>
      </c>
      <c r="Q89" s="286"/>
      <c r="R89" s="286"/>
      <c r="S89" s="286"/>
      <c r="T89" s="286"/>
      <c r="U89" s="286"/>
      <c r="V89" s="286"/>
      <c r="W89" s="286"/>
      <c r="X89" s="286"/>
      <c r="Y89" s="286"/>
      <c r="Z89" s="286"/>
    </row>
    <row r="90" ht="13.5" customHeight="1">
      <c r="A90" s="286"/>
      <c r="B90" s="298" t="s">
        <v>150</v>
      </c>
      <c r="C90" s="298" t="s">
        <v>151</v>
      </c>
      <c r="D90" s="288"/>
      <c r="E90" s="288"/>
      <c r="F90" s="289"/>
      <c r="G90" s="288"/>
      <c r="H90" s="289"/>
      <c r="I90" s="288"/>
      <c r="J90" s="289"/>
      <c r="K90" s="288"/>
      <c r="L90" s="289"/>
      <c r="M90" s="287"/>
      <c r="N90" s="288"/>
      <c r="O90" s="288"/>
      <c r="P90" s="291"/>
      <c r="Q90" s="286"/>
      <c r="R90" s="286"/>
      <c r="S90" s="286"/>
      <c r="T90" s="286"/>
      <c r="U90" s="286"/>
      <c r="V90" s="286"/>
      <c r="W90" s="286"/>
      <c r="X90" s="286"/>
      <c r="Y90" s="286"/>
      <c r="Z90" s="286"/>
    </row>
    <row r="91" ht="13.5" customHeight="1">
      <c r="A91" s="286"/>
      <c r="B91" s="298" t="s">
        <v>303</v>
      </c>
      <c r="C91" s="298" t="s">
        <v>152</v>
      </c>
      <c r="D91" s="288">
        <v>4.6477791422E8</v>
      </c>
      <c r="E91" s="288">
        <v>5.93059436E8</v>
      </c>
      <c r="F91" s="289">
        <f t="shared" ref="F91:F94" si="99">E91-D91</f>
        <v>128281521.8</v>
      </c>
      <c r="G91" s="288">
        <v>6.261808618023032E8</v>
      </c>
      <c r="H91" s="289">
        <f t="shared" ref="H91:H94" si="100">G91-E91</f>
        <v>33121425.8</v>
      </c>
      <c r="I91" s="288">
        <v>6.22258937E8</v>
      </c>
      <c r="J91" s="289">
        <f t="shared" ref="J91:J94" si="101">I91-G91</f>
        <v>-3921924.802</v>
      </c>
      <c r="K91" s="288">
        <v>6.7697166E8</v>
      </c>
      <c r="L91" s="289">
        <f t="shared" ref="L91:L94" si="102">K91-G91</f>
        <v>50790798.2</v>
      </c>
      <c r="M91" s="289">
        <f t="shared" ref="M91:M94" si="103">K91-I91</f>
        <v>54712723</v>
      </c>
      <c r="N91" s="288">
        <f>'lamp. sk'!G103</f>
        <v>704107325</v>
      </c>
      <c r="O91" s="288">
        <f t="shared" ref="O91:O94" si="104">N91-I91</f>
        <v>81848388</v>
      </c>
      <c r="P91" s="291">
        <f t="shared" ref="P91:P94" si="105">O91/I91</f>
        <v>0.1315342908</v>
      </c>
      <c r="Q91" s="286"/>
      <c r="R91" s="286"/>
      <c r="S91" s="286"/>
      <c r="T91" s="286"/>
      <c r="U91" s="286"/>
      <c r="V91" s="286"/>
      <c r="W91" s="286"/>
      <c r="X91" s="286"/>
      <c r="Y91" s="286"/>
      <c r="Z91" s="286"/>
    </row>
    <row r="92" ht="13.5" customHeight="1">
      <c r="A92" s="286"/>
      <c r="B92" s="298" t="s">
        <v>304</v>
      </c>
      <c r="C92" s="298" t="s">
        <v>153</v>
      </c>
      <c r="D92" s="288">
        <v>4.3405710511E8</v>
      </c>
      <c r="E92" s="288">
        <v>5.92587695E8</v>
      </c>
      <c r="F92" s="289">
        <f t="shared" si="99"/>
        <v>158530589.9</v>
      </c>
      <c r="G92" s="288">
        <v>6.112029447298794E8</v>
      </c>
      <c r="H92" s="289">
        <f t="shared" si="100"/>
        <v>18615249.73</v>
      </c>
      <c r="I92" s="288">
        <v>6.0566553E8</v>
      </c>
      <c r="J92" s="289">
        <f t="shared" si="101"/>
        <v>-5537414.73</v>
      </c>
      <c r="K92" s="288">
        <v>6.54311253E8</v>
      </c>
      <c r="L92" s="289">
        <f t="shared" si="102"/>
        <v>43108308.27</v>
      </c>
      <c r="M92" s="289">
        <f t="shared" si="103"/>
        <v>48645723</v>
      </c>
      <c r="N92" s="288">
        <f>'lamp. sk'!G104</f>
        <v>692136728</v>
      </c>
      <c r="O92" s="288">
        <f t="shared" si="104"/>
        <v>86471198</v>
      </c>
      <c r="P92" s="291">
        <f t="shared" si="105"/>
        <v>0.1427705453</v>
      </c>
      <c r="Q92" s="286"/>
      <c r="R92" s="286"/>
      <c r="S92" s="286"/>
      <c r="T92" s="286"/>
      <c r="U92" s="286"/>
      <c r="V92" s="286"/>
      <c r="W92" s="286"/>
      <c r="X92" s="286"/>
      <c r="Y92" s="286"/>
      <c r="Z92" s="286"/>
    </row>
    <row r="93" ht="13.5" customHeight="1">
      <c r="A93" s="286"/>
      <c r="B93" s="298" t="s">
        <v>305</v>
      </c>
      <c r="C93" s="298" t="s">
        <v>154</v>
      </c>
      <c r="D93" s="288">
        <v>5.3663937722E8</v>
      </c>
      <c r="E93" s="288">
        <v>6.36659508E8</v>
      </c>
      <c r="F93" s="289">
        <f t="shared" si="99"/>
        <v>100020130.8</v>
      </c>
      <c r="G93" s="288">
        <v>6.685061661820586E8</v>
      </c>
      <c r="H93" s="289">
        <f t="shared" si="100"/>
        <v>31846658.18</v>
      </c>
      <c r="I93" s="288">
        <v>6.66219192E8</v>
      </c>
      <c r="J93" s="289">
        <f t="shared" si="101"/>
        <v>-2286974.182</v>
      </c>
      <c r="K93" s="288">
        <v>7.0979897E8</v>
      </c>
      <c r="L93" s="289">
        <f t="shared" si="102"/>
        <v>41292803.82</v>
      </c>
      <c r="M93" s="289">
        <f t="shared" si="103"/>
        <v>43579778</v>
      </c>
      <c r="N93" s="288">
        <f>'lamp. sk'!G105</f>
        <v>693515550</v>
      </c>
      <c r="O93" s="288">
        <f t="shared" si="104"/>
        <v>27296358</v>
      </c>
      <c r="P93" s="291">
        <f t="shared" si="105"/>
        <v>0.04097203792</v>
      </c>
      <c r="Q93" s="286"/>
      <c r="R93" s="286"/>
      <c r="S93" s="286"/>
      <c r="T93" s="286"/>
      <c r="U93" s="286"/>
      <c r="V93" s="286"/>
      <c r="W93" s="286"/>
      <c r="X93" s="286"/>
      <c r="Y93" s="286"/>
      <c r="Z93" s="286"/>
    </row>
    <row r="94" ht="13.5" customHeight="1">
      <c r="A94" s="286"/>
      <c r="B94" s="298" t="s">
        <v>306</v>
      </c>
      <c r="C94" s="298" t="s">
        <v>155</v>
      </c>
      <c r="D94" s="288">
        <v>6.8545370758E8</v>
      </c>
      <c r="E94" s="288">
        <v>8.24052724E8</v>
      </c>
      <c r="F94" s="289">
        <f t="shared" si="99"/>
        <v>138599016.4</v>
      </c>
      <c r="G94" s="288">
        <v>8.620129635062177E8</v>
      </c>
      <c r="H94" s="289">
        <f t="shared" si="100"/>
        <v>37960239.51</v>
      </c>
      <c r="I94" s="288">
        <v>8.57240115E8</v>
      </c>
      <c r="J94" s="289">
        <f t="shared" si="101"/>
        <v>-4772848.506</v>
      </c>
      <c r="K94" s="288">
        <v>9.10598293E8</v>
      </c>
      <c r="L94" s="289">
        <f t="shared" si="102"/>
        <v>48585329.49</v>
      </c>
      <c r="M94" s="289">
        <f t="shared" si="103"/>
        <v>53358178</v>
      </c>
      <c r="N94" s="288">
        <f>'lamp. sk'!G106</f>
        <v>882459833</v>
      </c>
      <c r="O94" s="288">
        <f t="shared" si="104"/>
        <v>25219718</v>
      </c>
      <c r="P94" s="291">
        <f t="shared" si="105"/>
        <v>0.02941966616</v>
      </c>
      <c r="Q94" s="286"/>
      <c r="R94" s="286"/>
      <c r="S94" s="286"/>
      <c r="T94" s="286"/>
      <c r="U94" s="286"/>
      <c r="V94" s="286"/>
      <c r="W94" s="286"/>
      <c r="X94" s="286"/>
      <c r="Y94" s="286"/>
      <c r="Z94" s="286"/>
    </row>
    <row r="95" ht="13.5" customHeight="1">
      <c r="A95" s="286"/>
      <c r="B95" s="298" t="s">
        <v>156</v>
      </c>
      <c r="C95" s="298" t="s">
        <v>157</v>
      </c>
      <c r="D95" s="288"/>
      <c r="E95" s="288"/>
      <c r="F95" s="289"/>
      <c r="G95" s="288"/>
      <c r="H95" s="289"/>
      <c r="I95" s="288"/>
      <c r="J95" s="289"/>
      <c r="K95" s="288"/>
      <c r="L95" s="289"/>
      <c r="M95" s="287"/>
      <c r="N95" s="288"/>
      <c r="O95" s="288"/>
      <c r="P95" s="291"/>
      <c r="Q95" s="286"/>
      <c r="R95" s="286"/>
      <c r="S95" s="286"/>
      <c r="T95" s="286"/>
      <c r="U95" s="286"/>
      <c r="V95" s="286"/>
      <c r="W95" s="286"/>
      <c r="X95" s="286"/>
      <c r="Y95" s="286"/>
      <c r="Z95" s="286"/>
    </row>
    <row r="96" ht="13.5" customHeight="1">
      <c r="A96" s="286"/>
      <c r="B96" s="298" t="s">
        <v>307</v>
      </c>
      <c r="C96" s="298" t="s">
        <v>158</v>
      </c>
      <c r="D96" s="288">
        <v>5.3565874652E8</v>
      </c>
      <c r="E96" s="288">
        <v>7.01496194E8</v>
      </c>
      <c r="F96" s="289">
        <f t="shared" ref="F96:F100" si="106">E96-D96</f>
        <v>165837447.5</v>
      </c>
      <c r="G96" s="288">
        <v>7.295237729118226E8</v>
      </c>
      <c r="H96" s="289">
        <f t="shared" ref="H96:H100" si="107">G96-E96</f>
        <v>28027578.91</v>
      </c>
      <c r="I96" s="288">
        <v>7.30346486E8</v>
      </c>
      <c r="J96" s="289">
        <f t="shared" ref="J96:J100" si="108">I96-G96</f>
        <v>822713.0882</v>
      </c>
      <c r="K96" s="288">
        <v>7.88053966E8</v>
      </c>
      <c r="L96" s="289">
        <f t="shared" ref="L96:L100" si="109">K96-G96</f>
        <v>58530193.09</v>
      </c>
      <c r="M96" s="289">
        <f t="shared" ref="M96:M100" si="110">K96-I96</f>
        <v>57707480</v>
      </c>
      <c r="N96" s="288">
        <f>'lamp. sk'!G108</f>
        <v>788644429</v>
      </c>
      <c r="O96" s="288">
        <f t="shared" ref="O96:O100" si="111">N96-I96</f>
        <v>58297943</v>
      </c>
      <c r="P96" s="291">
        <f t="shared" ref="P96:P100" si="112">O96/I96</f>
        <v>0.07982230916</v>
      </c>
      <c r="Q96" s="286"/>
      <c r="R96" s="286"/>
      <c r="S96" s="286"/>
      <c r="T96" s="286"/>
      <c r="U96" s="286"/>
      <c r="V96" s="286"/>
      <c r="W96" s="286"/>
      <c r="X96" s="286"/>
      <c r="Y96" s="286"/>
      <c r="Z96" s="286"/>
    </row>
    <row r="97" ht="13.5" customHeight="1">
      <c r="A97" s="286"/>
      <c r="B97" s="298" t="s">
        <v>308</v>
      </c>
      <c r="C97" s="298" t="s">
        <v>159</v>
      </c>
      <c r="D97" s="288">
        <v>3.3552211709E8</v>
      </c>
      <c r="E97" s="288">
        <v>4.91863517E8</v>
      </c>
      <c r="F97" s="289">
        <f t="shared" si="106"/>
        <v>156341399.9</v>
      </c>
      <c r="G97" s="288">
        <v>5.111923151537861E8</v>
      </c>
      <c r="H97" s="289">
        <f t="shared" si="107"/>
        <v>19328798.15</v>
      </c>
      <c r="I97" s="288">
        <v>5.06533296E8</v>
      </c>
      <c r="J97" s="289">
        <f t="shared" si="108"/>
        <v>-4659019.154</v>
      </c>
      <c r="K97" s="288">
        <v>5.48944236E8</v>
      </c>
      <c r="L97" s="289">
        <f t="shared" si="109"/>
        <v>37751920.85</v>
      </c>
      <c r="M97" s="289">
        <f t="shared" si="110"/>
        <v>42410940</v>
      </c>
      <c r="N97" s="288">
        <f>'lamp. sk'!G109</f>
        <v>569136329</v>
      </c>
      <c r="O97" s="288">
        <f t="shared" si="111"/>
        <v>62603033</v>
      </c>
      <c r="P97" s="291">
        <f t="shared" si="112"/>
        <v>0.1235911509</v>
      </c>
      <c r="Q97" s="286"/>
      <c r="R97" s="286"/>
      <c r="S97" s="286"/>
      <c r="T97" s="286"/>
      <c r="U97" s="286"/>
      <c r="V97" s="286"/>
      <c r="W97" s="286"/>
      <c r="X97" s="286"/>
      <c r="Y97" s="286"/>
      <c r="Z97" s="286"/>
    </row>
    <row r="98" ht="13.5" customHeight="1">
      <c r="A98" s="286"/>
      <c r="B98" s="298" t="s">
        <v>309</v>
      </c>
      <c r="C98" s="298" t="s">
        <v>160</v>
      </c>
      <c r="D98" s="288">
        <v>3.0731737431E8</v>
      </c>
      <c r="E98" s="288">
        <v>4.16078933E8</v>
      </c>
      <c r="F98" s="289">
        <f t="shared" si="106"/>
        <v>108761558.7</v>
      </c>
      <c r="G98" s="288">
        <v>4.405139622555322E8</v>
      </c>
      <c r="H98" s="289">
        <f t="shared" si="107"/>
        <v>24435029.26</v>
      </c>
      <c r="I98" s="288">
        <v>4.37121235E8</v>
      </c>
      <c r="J98" s="289">
        <f t="shared" si="108"/>
        <v>-3392727.256</v>
      </c>
      <c r="K98" s="288">
        <v>4.75692043E8</v>
      </c>
      <c r="L98" s="289">
        <f t="shared" si="109"/>
        <v>35178080.74</v>
      </c>
      <c r="M98" s="289">
        <f t="shared" si="110"/>
        <v>38570808</v>
      </c>
      <c r="N98" s="288">
        <f>'lamp. sk'!G110</f>
        <v>507008003</v>
      </c>
      <c r="O98" s="288">
        <f t="shared" si="111"/>
        <v>69886768</v>
      </c>
      <c r="P98" s="291">
        <f t="shared" si="112"/>
        <v>0.1598795995</v>
      </c>
      <c r="Q98" s="286"/>
      <c r="R98" s="286"/>
      <c r="S98" s="286"/>
      <c r="T98" s="286"/>
      <c r="U98" s="286"/>
      <c r="V98" s="286"/>
      <c r="W98" s="286"/>
      <c r="X98" s="286"/>
      <c r="Y98" s="286"/>
      <c r="Z98" s="286"/>
    </row>
    <row r="99" ht="13.5" customHeight="1">
      <c r="A99" s="286"/>
      <c r="B99" s="298" t="s">
        <v>310</v>
      </c>
      <c r="C99" s="298" t="s">
        <v>161</v>
      </c>
      <c r="D99" s="288">
        <v>2.3021224553E8</v>
      </c>
      <c r="E99" s="288">
        <v>3.28821547E8</v>
      </c>
      <c r="F99" s="289">
        <f t="shared" si="106"/>
        <v>98609301.47</v>
      </c>
      <c r="G99" s="288">
        <v>3.3544920830644673E8</v>
      </c>
      <c r="H99" s="289">
        <f t="shared" si="107"/>
        <v>6627661.306</v>
      </c>
      <c r="I99" s="288">
        <v>3.3262188E8</v>
      </c>
      <c r="J99" s="289">
        <f t="shared" si="108"/>
        <v>-2827328.306</v>
      </c>
      <c r="K99" s="288">
        <v>3.60692164E8</v>
      </c>
      <c r="L99" s="289">
        <f t="shared" si="109"/>
        <v>25242955.69</v>
      </c>
      <c r="M99" s="289">
        <f t="shared" si="110"/>
        <v>28070284</v>
      </c>
      <c r="N99" s="288">
        <f>'lamp. sk'!G111</f>
        <v>416281962</v>
      </c>
      <c r="O99" s="288">
        <f t="shared" si="111"/>
        <v>83660082</v>
      </c>
      <c r="P99" s="291">
        <f t="shared" si="112"/>
        <v>0.251517074</v>
      </c>
      <c r="Q99" s="286"/>
      <c r="R99" s="286"/>
      <c r="S99" s="286"/>
      <c r="T99" s="286"/>
      <c r="U99" s="286"/>
      <c r="V99" s="286"/>
      <c r="W99" s="286"/>
      <c r="X99" s="286"/>
      <c r="Y99" s="286"/>
      <c r="Z99" s="286"/>
    </row>
    <row r="100" ht="13.5" customHeight="1">
      <c r="A100" s="286"/>
      <c r="B100" s="298" t="s">
        <v>311</v>
      </c>
      <c r="C100" s="298" t="s">
        <v>162</v>
      </c>
      <c r="D100" s="288">
        <v>5.284499786E8</v>
      </c>
      <c r="E100" s="288">
        <v>6.18796448E8</v>
      </c>
      <c r="F100" s="289">
        <f t="shared" si="106"/>
        <v>90346469.4</v>
      </c>
      <c r="G100" s="288">
        <v>6.448087984159803E8</v>
      </c>
      <c r="H100" s="289">
        <f t="shared" si="107"/>
        <v>26012350.42</v>
      </c>
      <c r="I100" s="288">
        <v>6.40721652E8</v>
      </c>
      <c r="J100" s="289">
        <f t="shared" si="108"/>
        <v>-4087146.416</v>
      </c>
      <c r="K100" s="288">
        <v>6.85376514E8</v>
      </c>
      <c r="L100" s="289">
        <f t="shared" si="109"/>
        <v>40567715.58</v>
      </c>
      <c r="M100" s="289">
        <f t="shared" si="110"/>
        <v>44654862</v>
      </c>
      <c r="N100" s="288">
        <f>'lamp. sk'!G112</f>
        <v>715818541</v>
      </c>
      <c r="O100" s="288">
        <f t="shared" si="111"/>
        <v>75096889</v>
      </c>
      <c r="P100" s="291">
        <f t="shared" si="112"/>
        <v>0.117206729</v>
      </c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</row>
    <row r="101" ht="13.5" customHeight="1">
      <c r="A101" s="286"/>
      <c r="B101" s="298" t="s">
        <v>163</v>
      </c>
      <c r="C101" s="298" t="s">
        <v>164</v>
      </c>
      <c r="D101" s="288"/>
      <c r="E101" s="288"/>
      <c r="F101" s="289"/>
      <c r="G101" s="288"/>
      <c r="H101" s="289"/>
      <c r="I101" s="288"/>
      <c r="J101" s="289"/>
      <c r="K101" s="288"/>
      <c r="L101" s="289"/>
      <c r="M101" s="287"/>
      <c r="N101" s="288"/>
      <c r="O101" s="288"/>
      <c r="P101" s="291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</row>
    <row r="102" ht="13.5" customHeight="1">
      <c r="A102" s="286"/>
      <c r="B102" s="298" t="s">
        <v>312</v>
      </c>
      <c r="C102" s="298" t="s">
        <v>165</v>
      </c>
      <c r="D102" s="288">
        <v>4.2688009924E8</v>
      </c>
      <c r="E102" s="288">
        <v>6.80577713E8</v>
      </c>
      <c r="F102" s="289">
        <f t="shared" ref="F102:F106" si="113">E102-D102</f>
        <v>253697613.8</v>
      </c>
      <c r="G102" s="288">
        <v>7.049733586298715E8</v>
      </c>
      <c r="H102" s="289">
        <f t="shared" ref="H102:H106" si="114">G102-E102</f>
        <v>24395645.63</v>
      </c>
      <c r="I102" s="288">
        <v>6.99751432E8</v>
      </c>
      <c r="J102" s="289">
        <f t="shared" ref="J102:J106" si="115">I102-G102</f>
        <v>-5221926.63</v>
      </c>
      <c r="K102" s="288">
        <v>7.58379093E8</v>
      </c>
      <c r="L102" s="289">
        <f t="shared" ref="L102:L106" si="116">K102-G102</f>
        <v>53405734.37</v>
      </c>
      <c r="M102" s="289">
        <f t="shared" ref="M102:M106" si="117">K102-I102</f>
        <v>58627661</v>
      </c>
      <c r="N102" s="288">
        <f>'lamp. sk'!G114</f>
        <v>721902831</v>
      </c>
      <c r="O102" s="288">
        <f t="shared" ref="O102:O106" si="118">N102-I102</f>
        <v>22151399</v>
      </c>
      <c r="P102" s="291">
        <f t="shared" ref="P102:P106" si="119">O102/I102</f>
        <v>0.0316560967</v>
      </c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</row>
    <row r="103" ht="13.5" customHeight="1">
      <c r="A103" s="286"/>
      <c r="B103" s="298" t="s">
        <v>313</v>
      </c>
      <c r="C103" s="298" t="s">
        <v>166</v>
      </c>
      <c r="D103" s="288">
        <v>5.8950438118E8</v>
      </c>
      <c r="E103" s="288">
        <v>8.55879486E8</v>
      </c>
      <c r="F103" s="289">
        <f t="shared" si="113"/>
        <v>266375104.8</v>
      </c>
      <c r="G103" s="288">
        <v>8.887267197422243E8</v>
      </c>
      <c r="H103" s="289">
        <f t="shared" si="114"/>
        <v>32847233.74</v>
      </c>
      <c r="I103" s="288">
        <v>8.84928659E8</v>
      </c>
      <c r="J103" s="289">
        <f t="shared" si="115"/>
        <v>-3798060.742</v>
      </c>
      <c r="K103" s="288">
        <v>9.60749824E8</v>
      </c>
      <c r="L103" s="289">
        <f t="shared" si="116"/>
        <v>72023104.26</v>
      </c>
      <c r="M103" s="289">
        <f t="shared" si="117"/>
        <v>75821165</v>
      </c>
      <c r="N103" s="288">
        <f>'lamp. sk'!G116</f>
        <v>916888648</v>
      </c>
      <c r="O103" s="288">
        <f t="shared" si="118"/>
        <v>31959989</v>
      </c>
      <c r="P103" s="291">
        <f t="shared" si="119"/>
        <v>0.03611589327</v>
      </c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</row>
    <row r="104" ht="13.5" customHeight="1">
      <c r="A104" s="286"/>
      <c r="B104" s="298" t="s">
        <v>314</v>
      </c>
      <c r="C104" s="298" t="s">
        <v>167</v>
      </c>
      <c r="D104" s="288">
        <v>3.447309514E8</v>
      </c>
      <c r="E104" s="288">
        <v>4.51775156E8</v>
      </c>
      <c r="F104" s="289">
        <f t="shared" si="113"/>
        <v>107044204.6</v>
      </c>
      <c r="G104" s="288">
        <v>4.7293006865585864E8</v>
      </c>
      <c r="H104" s="289">
        <f t="shared" si="114"/>
        <v>21154912.66</v>
      </c>
      <c r="I104" s="288">
        <v>4.74342219E8</v>
      </c>
      <c r="J104" s="289">
        <f t="shared" si="115"/>
        <v>1412150.344</v>
      </c>
      <c r="K104" s="288">
        <v>5.08409186E8</v>
      </c>
      <c r="L104" s="289">
        <f t="shared" si="116"/>
        <v>35479117.34</v>
      </c>
      <c r="M104" s="289">
        <f t="shared" si="117"/>
        <v>34066967</v>
      </c>
      <c r="N104" s="288">
        <f>'lamp. sk'!G117</f>
        <v>489729622</v>
      </c>
      <c r="O104" s="288">
        <f t="shared" si="118"/>
        <v>15387403</v>
      </c>
      <c r="P104" s="291">
        <f t="shared" si="119"/>
        <v>0.03243945486</v>
      </c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</row>
    <row r="105" ht="13.5" customHeight="1">
      <c r="A105" s="286"/>
      <c r="B105" s="298" t="s">
        <v>315</v>
      </c>
      <c r="C105" s="298" t="s">
        <v>168</v>
      </c>
      <c r="D105" s="288">
        <v>3.1667487057E8</v>
      </c>
      <c r="E105" s="288">
        <v>4.16156202E8</v>
      </c>
      <c r="F105" s="289">
        <f t="shared" si="113"/>
        <v>99481331.43</v>
      </c>
      <c r="G105" s="288">
        <v>4.3741132882374394E8</v>
      </c>
      <c r="H105" s="289">
        <f t="shared" si="114"/>
        <v>21255126.82</v>
      </c>
      <c r="I105" s="288">
        <v>4.35131497E8</v>
      </c>
      <c r="J105" s="289">
        <f t="shared" si="115"/>
        <v>-2279831.824</v>
      </c>
      <c r="K105" s="288">
        <v>4.66122324E8</v>
      </c>
      <c r="L105" s="289">
        <f t="shared" si="116"/>
        <v>28710995.18</v>
      </c>
      <c r="M105" s="289">
        <f t="shared" si="117"/>
        <v>30990827</v>
      </c>
      <c r="N105" s="288">
        <f>'lamp. sk'!G118</f>
        <v>461017153</v>
      </c>
      <c r="O105" s="288">
        <f t="shared" si="118"/>
        <v>25885656</v>
      </c>
      <c r="P105" s="291">
        <f t="shared" si="119"/>
        <v>0.05948927204</v>
      </c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</row>
    <row r="106" ht="13.5" customHeight="1">
      <c r="A106" s="286"/>
      <c r="B106" s="298" t="s">
        <v>316</v>
      </c>
      <c r="C106" s="298" t="s">
        <v>169</v>
      </c>
      <c r="D106" s="288">
        <v>3.6319002303E8</v>
      </c>
      <c r="E106" s="288">
        <v>4.52106521E8</v>
      </c>
      <c r="F106" s="289">
        <f t="shared" si="113"/>
        <v>88916497.97</v>
      </c>
      <c r="G106" s="288">
        <v>4.752383977926109E8</v>
      </c>
      <c r="H106" s="289">
        <f t="shared" si="114"/>
        <v>23131876.79</v>
      </c>
      <c r="I106" s="288">
        <v>4.72650279E8</v>
      </c>
      <c r="J106" s="289">
        <f t="shared" si="115"/>
        <v>-2588118.793</v>
      </c>
      <c r="K106" s="288">
        <v>5.06349235E8</v>
      </c>
      <c r="L106" s="289">
        <f t="shared" si="116"/>
        <v>31110837.21</v>
      </c>
      <c r="M106" s="289">
        <f t="shared" si="117"/>
        <v>33698956</v>
      </c>
      <c r="N106" s="288">
        <f>'lamp. sk'!G119</f>
        <v>538437896</v>
      </c>
      <c r="O106" s="288">
        <f t="shared" si="118"/>
        <v>65787617</v>
      </c>
      <c r="P106" s="291">
        <f t="shared" si="119"/>
        <v>0.1391887827</v>
      </c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</row>
    <row r="107" ht="13.5" customHeight="1">
      <c r="A107" s="287"/>
      <c r="B107" s="287"/>
      <c r="C107" s="287"/>
      <c r="D107" s="289">
        <f t="shared" ref="D107:O107" si="120">SUM(D5:D106)</f>
        <v>40954781846</v>
      </c>
      <c r="E107" s="289">
        <f t="shared" si="120"/>
        <v>52960356026</v>
      </c>
      <c r="F107" s="289">
        <f t="shared" si="120"/>
        <v>12005574180</v>
      </c>
      <c r="G107" s="289">
        <f t="shared" si="120"/>
        <v>55279810680</v>
      </c>
      <c r="H107" s="289">
        <f t="shared" si="120"/>
        <v>2319454654</v>
      </c>
      <c r="I107" s="289">
        <f t="shared" si="120"/>
        <v>54943374853</v>
      </c>
      <c r="J107" s="289">
        <f t="shared" si="120"/>
        <v>-336435826.8</v>
      </c>
      <c r="K107" s="289">
        <f t="shared" si="120"/>
        <v>58984014243</v>
      </c>
      <c r="L107" s="289">
        <f t="shared" si="120"/>
        <v>3704203563</v>
      </c>
      <c r="M107" s="289">
        <f t="shared" si="120"/>
        <v>4040639390</v>
      </c>
      <c r="N107" s="289">
        <f t="shared" si="120"/>
        <v>59910336179</v>
      </c>
      <c r="O107" s="289">
        <f t="shared" si="120"/>
        <v>4966961326</v>
      </c>
      <c r="P107" s="300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</row>
    <row r="108" ht="13.5" customHeight="1">
      <c r="A108" s="286"/>
      <c r="B108" s="286"/>
      <c r="C108" s="286"/>
      <c r="D108" s="286"/>
      <c r="E108" s="286"/>
      <c r="F108" s="287"/>
      <c r="G108" s="286"/>
      <c r="H108" s="287"/>
      <c r="I108" s="288"/>
      <c r="J108" s="289"/>
      <c r="K108" s="288"/>
      <c r="L108" s="289"/>
      <c r="M108" s="287"/>
      <c r="N108" s="286"/>
      <c r="O108" s="286"/>
      <c r="P108" s="291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</row>
    <row r="109" ht="13.5" customHeight="1">
      <c r="A109" s="286"/>
      <c r="B109" s="286"/>
      <c r="C109" s="286"/>
      <c r="D109" s="286"/>
      <c r="E109" s="286"/>
      <c r="F109" s="287"/>
      <c r="G109" s="286"/>
      <c r="H109" s="287"/>
      <c r="I109" s="288"/>
      <c r="J109" s="289"/>
      <c r="K109" s="288"/>
      <c r="L109" s="289"/>
      <c r="M109" s="287"/>
      <c r="N109" s="288">
        <f>N107-'lamp. sk'!G120</f>
        <v>581345</v>
      </c>
      <c r="O109" s="286"/>
      <c r="P109" s="291">
        <f>AVERAGE(P5:P106)</f>
        <v>0.1056193098</v>
      </c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</row>
    <row r="110" ht="13.5" customHeight="1">
      <c r="A110" s="286"/>
      <c r="B110" s="286"/>
      <c r="C110" s="286"/>
      <c r="D110" s="286"/>
      <c r="E110" s="286"/>
      <c r="F110" s="287"/>
      <c r="G110" s="286"/>
      <c r="H110" s="287"/>
      <c r="I110" s="288"/>
      <c r="J110" s="289"/>
      <c r="K110" s="288"/>
      <c r="L110" s="289"/>
      <c r="M110" s="287"/>
      <c r="N110" s="286"/>
      <c r="O110" s="286"/>
      <c r="P110" s="291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</row>
    <row r="111" ht="13.5" customHeight="1">
      <c r="A111" s="286"/>
      <c r="B111" s="286"/>
      <c r="C111" s="286"/>
      <c r="D111" s="286"/>
      <c r="E111" s="286"/>
      <c r="F111" s="287"/>
      <c r="G111" s="286"/>
      <c r="H111" s="287"/>
      <c r="I111" s="288"/>
      <c r="J111" s="289"/>
      <c r="K111" s="288"/>
      <c r="L111" s="289"/>
      <c r="M111" s="287"/>
      <c r="N111" s="286"/>
      <c r="O111" s="286"/>
      <c r="P111" s="291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</row>
    <row r="112" ht="13.5" customHeight="1">
      <c r="A112" s="286"/>
      <c r="B112" s="286"/>
      <c r="C112" s="286"/>
      <c r="D112" s="286"/>
      <c r="E112" s="286"/>
      <c r="F112" s="287"/>
      <c r="G112" s="286"/>
      <c r="H112" s="287"/>
      <c r="I112" s="288"/>
      <c r="J112" s="289"/>
      <c r="K112" s="288"/>
      <c r="L112" s="289"/>
      <c r="M112" s="287"/>
      <c r="N112" s="286"/>
      <c r="O112" s="286"/>
      <c r="P112" s="291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</row>
    <row r="113" ht="13.5" customHeight="1">
      <c r="A113" s="286"/>
      <c r="B113" s="286"/>
      <c r="C113" s="286"/>
      <c r="D113" s="286"/>
      <c r="E113" s="286"/>
      <c r="F113" s="287"/>
      <c r="G113" s="286"/>
      <c r="H113" s="287"/>
      <c r="I113" s="288"/>
      <c r="J113" s="289"/>
      <c r="K113" s="288"/>
      <c r="L113" s="289"/>
      <c r="M113" s="287"/>
      <c r="N113" s="286"/>
      <c r="O113" s="286"/>
      <c r="P113" s="291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</row>
    <row r="114" ht="13.5" customHeight="1">
      <c r="A114" s="286"/>
      <c r="B114" s="286"/>
      <c r="C114" s="286"/>
      <c r="D114" s="286"/>
      <c r="E114" s="286"/>
      <c r="F114" s="287"/>
      <c r="G114" s="286"/>
      <c r="H114" s="287"/>
      <c r="I114" s="288"/>
      <c r="J114" s="289"/>
      <c r="K114" s="288"/>
      <c r="L114" s="289"/>
      <c r="M114" s="287"/>
      <c r="N114" s="286"/>
      <c r="O114" s="286"/>
      <c r="P114" s="291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</row>
    <row r="115" ht="13.5" customHeight="1">
      <c r="A115" s="286"/>
      <c r="B115" s="286"/>
      <c r="C115" s="286"/>
      <c r="D115" s="286"/>
      <c r="E115" s="286"/>
      <c r="F115" s="287"/>
      <c r="G115" s="286"/>
      <c r="H115" s="287"/>
      <c r="I115" s="288"/>
      <c r="J115" s="289"/>
      <c r="K115" s="288"/>
      <c r="L115" s="289"/>
      <c r="M115" s="287"/>
      <c r="N115" s="286"/>
      <c r="O115" s="286"/>
      <c r="P115" s="291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</row>
    <row r="116" ht="13.5" customHeight="1">
      <c r="A116" s="286"/>
      <c r="B116" s="286"/>
      <c r="C116" s="286"/>
      <c r="D116" s="286"/>
      <c r="E116" s="286"/>
      <c r="F116" s="287"/>
      <c r="G116" s="286"/>
      <c r="H116" s="287"/>
      <c r="I116" s="288"/>
      <c r="J116" s="289"/>
      <c r="K116" s="288"/>
      <c r="L116" s="289"/>
      <c r="M116" s="287"/>
      <c r="N116" s="286"/>
      <c r="O116" s="286"/>
      <c r="P116" s="291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</row>
    <row r="117" ht="13.5" customHeight="1">
      <c r="A117" s="286"/>
      <c r="B117" s="286"/>
      <c r="C117" s="286"/>
      <c r="D117" s="286"/>
      <c r="E117" s="286"/>
      <c r="F117" s="287"/>
      <c r="G117" s="286"/>
      <c r="H117" s="287"/>
      <c r="I117" s="288"/>
      <c r="J117" s="289"/>
      <c r="K117" s="288"/>
      <c r="L117" s="289"/>
      <c r="M117" s="287"/>
      <c r="N117" s="286"/>
      <c r="O117" s="286"/>
      <c r="P117" s="291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</row>
    <row r="118" ht="13.5" customHeight="1">
      <c r="A118" s="286"/>
      <c r="B118" s="286"/>
      <c r="C118" s="286"/>
      <c r="D118" s="286"/>
      <c r="E118" s="286"/>
      <c r="F118" s="287"/>
      <c r="G118" s="286"/>
      <c r="H118" s="287"/>
      <c r="I118" s="288"/>
      <c r="J118" s="289"/>
      <c r="K118" s="288"/>
      <c r="L118" s="289"/>
      <c r="M118" s="287"/>
      <c r="N118" s="286"/>
      <c r="O118" s="286"/>
      <c r="P118" s="291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</row>
    <row r="119" ht="13.5" customHeight="1">
      <c r="A119" s="286"/>
      <c r="B119" s="286"/>
      <c r="C119" s="286"/>
      <c r="D119" s="286"/>
      <c r="E119" s="286"/>
      <c r="F119" s="287"/>
      <c r="G119" s="286"/>
      <c r="H119" s="287"/>
      <c r="I119" s="288"/>
      <c r="J119" s="289"/>
      <c r="K119" s="288"/>
      <c r="L119" s="289"/>
      <c r="M119" s="287"/>
      <c r="N119" s="286"/>
      <c r="O119" s="286"/>
      <c r="P119" s="291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</row>
    <row r="120" ht="13.5" customHeight="1">
      <c r="A120" s="286"/>
      <c r="B120" s="286"/>
      <c r="C120" s="286"/>
      <c r="D120" s="286"/>
      <c r="E120" s="286"/>
      <c r="F120" s="287"/>
      <c r="G120" s="286"/>
      <c r="H120" s="287"/>
      <c r="I120" s="288"/>
      <c r="J120" s="289"/>
      <c r="K120" s="288"/>
      <c r="L120" s="289"/>
      <c r="M120" s="287"/>
      <c r="N120" s="286"/>
      <c r="O120" s="286"/>
      <c r="P120" s="291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</row>
    <row r="121" ht="13.5" customHeight="1">
      <c r="A121" s="286"/>
      <c r="B121" s="286"/>
      <c r="C121" s="286"/>
      <c r="D121" s="286"/>
      <c r="E121" s="286"/>
      <c r="F121" s="287"/>
      <c r="G121" s="286"/>
      <c r="H121" s="287"/>
      <c r="I121" s="288"/>
      <c r="J121" s="289"/>
      <c r="K121" s="288"/>
      <c r="L121" s="289"/>
      <c r="M121" s="287"/>
      <c r="N121" s="286"/>
      <c r="O121" s="286"/>
      <c r="P121" s="291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</row>
    <row r="122" ht="13.5" customHeight="1">
      <c r="A122" s="286"/>
      <c r="B122" s="286"/>
      <c r="C122" s="286"/>
      <c r="D122" s="286"/>
      <c r="E122" s="286"/>
      <c r="F122" s="287"/>
      <c r="G122" s="286"/>
      <c r="H122" s="287"/>
      <c r="I122" s="288"/>
      <c r="J122" s="289"/>
      <c r="K122" s="288"/>
      <c r="L122" s="289"/>
      <c r="M122" s="287"/>
      <c r="N122" s="286"/>
      <c r="O122" s="286"/>
      <c r="P122" s="291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</row>
    <row r="123" ht="13.5" customHeight="1">
      <c r="A123" s="286"/>
      <c r="B123" s="286"/>
      <c r="C123" s="286"/>
      <c r="D123" s="286"/>
      <c r="E123" s="286"/>
      <c r="F123" s="287"/>
      <c r="G123" s="286"/>
      <c r="H123" s="287"/>
      <c r="I123" s="288"/>
      <c r="J123" s="289"/>
      <c r="K123" s="288"/>
      <c r="L123" s="289"/>
      <c r="M123" s="287"/>
      <c r="N123" s="286"/>
      <c r="O123" s="286"/>
      <c r="P123" s="291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</row>
    <row r="124" ht="13.5" customHeight="1">
      <c r="A124" s="286"/>
      <c r="B124" s="286"/>
      <c r="C124" s="286"/>
      <c r="D124" s="286"/>
      <c r="E124" s="286"/>
      <c r="F124" s="287"/>
      <c r="G124" s="286"/>
      <c r="H124" s="287"/>
      <c r="I124" s="288"/>
      <c r="J124" s="289"/>
      <c r="K124" s="288"/>
      <c r="L124" s="289"/>
      <c r="M124" s="287"/>
      <c r="N124" s="286"/>
      <c r="O124" s="286"/>
      <c r="P124" s="291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</row>
    <row r="125" ht="13.5" customHeight="1">
      <c r="A125" s="286"/>
      <c r="B125" s="286"/>
      <c r="C125" s="286"/>
      <c r="D125" s="286"/>
      <c r="E125" s="286"/>
      <c r="F125" s="287"/>
      <c r="G125" s="286"/>
      <c r="H125" s="287"/>
      <c r="I125" s="288"/>
      <c r="J125" s="289"/>
      <c r="K125" s="288"/>
      <c r="L125" s="289"/>
      <c r="M125" s="287"/>
      <c r="N125" s="286"/>
      <c r="O125" s="286"/>
      <c r="P125" s="291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</row>
    <row r="126" ht="13.5" customHeight="1">
      <c r="A126" s="286"/>
      <c r="B126" s="286"/>
      <c r="C126" s="286"/>
      <c r="D126" s="286"/>
      <c r="E126" s="286"/>
      <c r="F126" s="287"/>
      <c r="G126" s="286"/>
      <c r="H126" s="287"/>
      <c r="I126" s="288"/>
      <c r="J126" s="289"/>
      <c r="K126" s="288"/>
      <c r="L126" s="289"/>
      <c r="M126" s="287"/>
      <c r="N126" s="286"/>
      <c r="O126" s="286"/>
      <c r="P126" s="291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</row>
    <row r="127" ht="13.5" customHeight="1">
      <c r="A127" s="286"/>
      <c r="B127" s="286"/>
      <c r="C127" s="286"/>
      <c r="D127" s="286"/>
      <c r="E127" s="286"/>
      <c r="F127" s="287"/>
      <c r="G127" s="286"/>
      <c r="H127" s="287"/>
      <c r="I127" s="288"/>
      <c r="J127" s="289"/>
      <c r="K127" s="288"/>
      <c r="L127" s="289"/>
      <c r="M127" s="287"/>
      <c r="N127" s="286"/>
      <c r="O127" s="286"/>
      <c r="P127" s="291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</row>
    <row r="128" ht="13.5" customHeight="1">
      <c r="A128" s="286"/>
      <c r="B128" s="286"/>
      <c r="C128" s="286"/>
      <c r="D128" s="286"/>
      <c r="E128" s="286"/>
      <c r="F128" s="287"/>
      <c r="G128" s="286"/>
      <c r="H128" s="287"/>
      <c r="I128" s="288"/>
      <c r="J128" s="289"/>
      <c r="K128" s="288"/>
      <c r="L128" s="289"/>
      <c r="M128" s="287"/>
      <c r="N128" s="286"/>
      <c r="O128" s="286"/>
      <c r="P128" s="291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</row>
    <row r="129" ht="13.5" customHeight="1">
      <c r="A129" s="286"/>
      <c r="B129" s="286"/>
      <c r="C129" s="286"/>
      <c r="D129" s="286"/>
      <c r="E129" s="286"/>
      <c r="F129" s="287"/>
      <c r="G129" s="286"/>
      <c r="H129" s="287"/>
      <c r="I129" s="288"/>
      <c r="J129" s="289"/>
      <c r="K129" s="288"/>
      <c r="L129" s="289"/>
      <c r="M129" s="287"/>
      <c r="N129" s="286"/>
      <c r="O129" s="286"/>
      <c r="P129" s="291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</row>
    <row r="130" ht="13.5" customHeight="1">
      <c r="A130" s="286"/>
      <c r="B130" s="286"/>
      <c r="C130" s="286"/>
      <c r="D130" s="286"/>
      <c r="E130" s="286"/>
      <c r="F130" s="287"/>
      <c r="G130" s="286"/>
      <c r="H130" s="287"/>
      <c r="I130" s="288"/>
      <c r="J130" s="289"/>
      <c r="K130" s="288"/>
      <c r="L130" s="289"/>
      <c r="M130" s="287"/>
      <c r="N130" s="286"/>
      <c r="O130" s="286"/>
      <c r="P130" s="291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</row>
    <row r="131" ht="13.5" customHeight="1">
      <c r="A131" s="286"/>
      <c r="B131" s="286"/>
      <c r="C131" s="286"/>
      <c r="D131" s="286"/>
      <c r="E131" s="286"/>
      <c r="F131" s="287"/>
      <c r="G131" s="286"/>
      <c r="H131" s="287"/>
      <c r="I131" s="288"/>
      <c r="J131" s="289"/>
      <c r="K131" s="288"/>
      <c r="L131" s="289"/>
      <c r="M131" s="287"/>
      <c r="N131" s="286"/>
      <c r="O131" s="286"/>
      <c r="P131" s="291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</row>
    <row r="132" ht="13.5" customHeight="1">
      <c r="A132" s="286"/>
      <c r="B132" s="286"/>
      <c r="C132" s="286"/>
      <c r="D132" s="286"/>
      <c r="E132" s="286"/>
      <c r="F132" s="287"/>
      <c r="G132" s="286"/>
      <c r="H132" s="287"/>
      <c r="I132" s="288"/>
      <c r="J132" s="289"/>
      <c r="K132" s="288"/>
      <c r="L132" s="289"/>
      <c r="M132" s="287"/>
      <c r="N132" s="286"/>
      <c r="O132" s="286"/>
      <c r="P132" s="291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</row>
    <row r="133" ht="13.5" customHeight="1">
      <c r="A133" s="286"/>
      <c r="B133" s="286"/>
      <c r="C133" s="286"/>
      <c r="D133" s="286"/>
      <c r="E133" s="286"/>
      <c r="F133" s="287"/>
      <c r="G133" s="286"/>
      <c r="H133" s="287"/>
      <c r="I133" s="288"/>
      <c r="J133" s="289"/>
      <c r="K133" s="288"/>
      <c r="L133" s="289"/>
      <c r="M133" s="287"/>
      <c r="N133" s="286"/>
      <c r="O133" s="286"/>
      <c r="P133" s="291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</row>
    <row r="134" ht="13.5" customHeight="1">
      <c r="A134" s="286"/>
      <c r="B134" s="286"/>
      <c r="C134" s="286"/>
      <c r="D134" s="286"/>
      <c r="E134" s="286"/>
      <c r="F134" s="287"/>
      <c r="G134" s="286"/>
      <c r="H134" s="287"/>
      <c r="I134" s="288"/>
      <c r="J134" s="289"/>
      <c r="K134" s="288"/>
      <c r="L134" s="289"/>
      <c r="M134" s="287"/>
      <c r="N134" s="286"/>
      <c r="O134" s="286"/>
      <c r="P134" s="291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</row>
    <row r="135" ht="13.5" customHeight="1">
      <c r="A135" s="286"/>
      <c r="B135" s="286"/>
      <c r="C135" s="286"/>
      <c r="D135" s="286"/>
      <c r="E135" s="286"/>
      <c r="F135" s="287"/>
      <c r="G135" s="286"/>
      <c r="H135" s="287"/>
      <c r="I135" s="288"/>
      <c r="J135" s="289"/>
      <c r="K135" s="288"/>
      <c r="L135" s="289"/>
      <c r="M135" s="287"/>
      <c r="N135" s="286"/>
      <c r="O135" s="286"/>
      <c r="P135" s="291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</row>
    <row r="136" ht="13.5" customHeight="1">
      <c r="A136" s="286"/>
      <c r="B136" s="286"/>
      <c r="C136" s="286"/>
      <c r="D136" s="286"/>
      <c r="E136" s="286"/>
      <c r="F136" s="287"/>
      <c r="G136" s="286"/>
      <c r="H136" s="287"/>
      <c r="I136" s="288"/>
      <c r="J136" s="289"/>
      <c r="K136" s="288"/>
      <c r="L136" s="289"/>
      <c r="M136" s="287"/>
      <c r="N136" s="286"/>
      <c r="O136" s="286"/>
      <c r="P136" s="291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</row>
    <row r="137" ht="13.5" customHeight="1">
      <c r="A137" s="286"/>
      <c r="B137" s="286"/>
      <c r="C137" s="286"/>
      <c r="D137" s="286"/>
      <c r="E137" s="286"/>
      <c r="F137" s="287"/>
      <c r="G137" s="286"/>
      <c r="H137" s="287"/>
      <c r="I137" s="288"/>
      <c r="J137" s="289"/>
      <c r="K137" s="288"/>
      <c r="L137" s="289"/>
      <c r="M137" s="287"/>
      <c r="N137" s="286"/>
      <c r="O137" s="286"/>
      <c r="P137" s="291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</row>
    <row r="138" ht="13.5" customHeight="1">
      <c r="A138" s="286"/>
      <c r="B138" s="286"/>
      <c r="C138" s="286"/>
      <c r="D138" s="286"/>
      <c r="E138" s="286"/>
      <c r="F138" s="287"/>
      <c r="G138" s="286"/>
      <c r="H138" s="287"/>
      <c r="I138" s="288"/>
      <c r="J138" s="289"/>
      <c r="K138" s="288"/>
      <c r="L138" s="289"/>
      <c r="M138" s="287"/>
      <c r="N138" s="286"/>
      <c r="O138" s="286"/>
      <c r="P138" s="291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</row>
    <row r="139" ht="13.5" customHeight="1">
      <c r="A139" s="286"/>
      <c r="B139" s="286"/>
      <c r="C139" s="286"/>
      <c r="D139" s="286"/>
      <c r="E139" s="286"/>
      <c r="F139" s="287"/>
      <c r="G139" s="286"/>
      <c r="H139" s="287"/>
      <c r="I139" s="288"/>
      <c r="J139" s="289"/>
      <c r="K139" s="288"/>
      <c r="L139" s="289"/>
      <c r="M139" s="287"/>
      <c r="N139" s="286"/>
      <c r="O139" s="286"/>
      <c r="P139" s="291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</row>
    <row r="140" ht="13.5" customHeight="1">
      <c r="A140" s="286"/>
      <c r="B140" s="286"/>
      <c r="C140" s="286"/>
      <c r="D140" s="286"/>
      <c r="E140" s="286"/>
      <c r="F140" s="287"/>
      <c r="G140" s="286"/>
      <c r="H140" s="287"/>
      <c r="I140" s="288"/>
      <c r="J140" s="289"/>
      <c r="K140" s="288"/>
      <c r="L140" s="289"/>
      <c r="M140" s="287"/>
      <c r="N140" s="286"/>
      <c r="O140" s="286"/>
      <c r="P140" s="291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</row>
    <row r="141" ht="13.5" customHeight="1">
      <c r="A141" s="286"/>
      <c r="B141" s="286"/>
      <c r="C141" s="286"/>
      <c r="D141" s="286"/>
      <c r="E141" s="286"/>
      <c r="F141" s="287"/>
      <c r="G141" s="286"/>
      <c r="H141" s="287"/>
      <c r="I141" s="288"/>
      <c r="J141" s="289"/>
      <c r="K141" s="288"/>
      <c r="L141" s="289"/>
      <c r="M141" s="287"/>
      <c r="N141" s="286"/>
      <c r="O141" s="286"/>
      <c r="P141" s="291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</row>
    <row r="142" ht="13.5" customHeight="1">
      <c r="A142" s="286"/>
      <c r="B142" s="286"/>
      <c r="C142" s="286"/>
      <c r="D142" s="286"/>
      <c r="E142" s="286"/>
      <c r="F142" s="287"/>
      <c r="G142" s="286"/>
      <c r="H142" s="287"/>
      <c r="I142" s="288"/>
      <c r="J142" s="289"/>
      <c r="K142" s="288"/>
      <c r="L142" s="289"/>
      <c r="M142" s="287"/>
      <c r="N142" s="286"/>
      <c r="O142" s="286"/>
      <c r="P142" s="291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</row>
    <row r="143" ht="13.5" customHeight="1">
      <c r="A143" s="286"/>
      <c r="B143" s="286"/>
      <c r="C143" s="286"/>
      <c r="D143" s="286"/>
      <c r="E143" s="286"/>
      <c r="F143" s="287"/>
      <c r="G143" s="286"/>
      <c r="H143" s="287"/>
      <c r="I143" s="288"/>
      <c r="J143" s="289"/>
      <c r="K143" s="288"/>
      <c r="L143" s="289"/>
      <c r="M143" s="287"/>
      <c r="N143" s="286"/>
      <c r="O143" s="286"/>
      <c r="P143" s="291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</row>
    <row r="144" ht="13.5" customHeight="1">
      <c r="A144" s="286"/>
      <c r="B144" s="286"/>
      <c r="C144" s="286"/>
      <c r="D144" s="286"/>
      <c r="E144" s="286"/>
      <c r="F144" s="287"/>
      <c r="G144" s="286"/>
      <c r="H144" s="287"/>
      <c r="I144" s="288"/>
      <c r="J144" s="289"/>
      <c r="K144" s="288"/>
      <c r="L144" s="289"/>
      <c r="M144" s="287"/>
      <c r="N144" s="286"/>
      <c r="O144" s="286"/>
      <c r="P144" s="291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</row>
    <row r="145" ht="13.5" customHeight="1">
      <c r="A145" s="286"/>
      <c r="B145" s="286"/>
      <c r="C145" s="286"/>
      <c r="D145" s="286"/>
      <c r="E145" s="286"/>
      <c r="F145" s="287"/>
      <c r="G145" s="286"/>
      <c r="H145" s="287"/>
      <c r="I145" s="288"/>
      <c r="J145" s="289"/>
      <c r="K145" s="288"/>
      <c r="L145" s="289"/>
      <c r="M145" s="287"/>
      <c r="N145" s="286"/>
      <c r="O145" s="286"/>
      <c r="P145" s="291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</row>
    <row r="146" ht="13.5" customHeight="1">
      <c r="A146" s="286"/>
      <c r="B146" s="286"/>
      <c r="C146" s="286"/>
      <c r="D146" s="286"/>
      <c r="E146" s="286"/>
      <c r="F146" s="287"/>
      <c r="G146" s="286"/>
      <c r="H146" s="287"/>
      <c r="I146" s="288"/>
      <c r="J146" s="289"/>
      <c r="K146" s="288"/>
      <c r="L146" s="289"/>
      <c r="M146" s="287"/>
      <c r="N146" s="286"/>
      <c r="O146" s="286"/>
      <c r="P146" s="291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</row>
    <row r="147" ht="13.5" customHeight="1">
      <c r="A147" s="286"/>
      <c r="B147" s="286"/>
      <c r="C147" s="286"/>
      <c r="D147" s="286"/>
      <c r="E147" s="286"/>
      <c r="F147" s="287"/>
      <c r="G147" s="286"/>
      <c r="H147" s="287"/>
      <c r="I147" s="288"/>
      <c r="J147" s="289"/>
      <c r="K147" s="288"/>
      <c r="L147" s="289"/>
      <c r="M147" s="287"/>
      <c r="N147" s="286"/>
      <c r="O147" s="286"/>
      <c r="P147" s="291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</row>
    <row r="148" ht="13.5" customHeight="1">
      <c r="A148" s="286"/>
      <c r="B148" s="286"/>
      <c r="C148" s="286"/>
      <c r="D148" s="286"/>
      <c r="E148" s="286"/>
      <c r="F148" s="287"/>
      <c r="G148" s="286"/>
      <c r="H148" s="287"/>
      <c r="I148" s="288"/>
      <c r="J148" s="289"/>
      <c r="K148" s="288"/>
      <c r="L148" s="289"/>
      <c r="M148" s="287"/>
      <c r="N148" s="286"/>
      <c r="O148" s="286"/>
      <c r="P148" s="291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</row>
    <row r="149" ht="13.5" customHeight="1">
      <c r="A149" s="286"/>
      <c r="B149" s="286"/>
      <c r="C149" s="286"/>
      <c r="D149" s="286"/>
      <c r="E149" s="286"/>
      <c r="F149" s="287"/>
      <c r="G149" s="286"/>
      <c r="H149" s="287"/>
      <c r="I149" s="288"/>
      <c r="J149" s="289"/>
      <c r="K149" s="288"/>
      <c r="L149" s="289"/>
      <c r="M149" s="287"/>
      <c r="N149" s="286"/>
      <c r="O149" s="286"/>
      <c r="P149" s="291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</row>
    <row r="150" ht="13.5" customHeight="1">
      <c r="A150" s="286"/>
      <c r="B150" s="286"/>
      <c r="C150" s="286"/>
      <c r="D150" s="286"/>
      <c r="E150" s="286"/>
      <c r="F150" s="287"/>
      <c r="G150" s="286"/>
      <c r="H150" s="287"/>
      <c r="I150" s="288"/>
      <c r="J150" s="289"/>
      <c r="K150" s="288"/>
      <c r="L150" s="289"/>
      <c r="M150" s="287"/>
      <c r="N150" s="286"/>
      <c r="O150" s="286"/>
      <c r="P150" s="291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</row>
    <row r="151" ht="13.5" customHeight="1">
      <c r="A151" s="286"/>
      <c r="B151" s="286"/>
      <c r="C151" s="286"/>
      <c r="D151" s="286"/>
      <c r="E151" s="286"/>
      <c r="F151" s="287"/>
      <c r="G151" s="286"/>
      <c r="H151" s="287"/>
      <c r="I151" s="288"/>
      <c r="J151" s="289"/>
      <c r="K151" s="288"/>
      <c r="L151" s="289"/>
      <c r="M151" s="287"/>
      <c r="N151" s="286"/>
      <c r="O151" s="286"/>
      <c r="P151" s="291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</row>
    <row r="152" ht="13.5" customHeight="1">
      <c r="A152" s="286"/>
      <c r="B152" s="286"/>
      <c r="C152" s="286"/>
      <c r="D152" s="286"/>
      <c r="E152" s="286"/>
      <c r="F152" s="287"/>
      <c r="G152" s="286"/>
      <c r="H152" s="287"/>
      <c r="I152" s="288"/>
      <c r="J152" s="289"/>
      <c r="K152" s="288"/>
      <c r="L152" s="289"/>
      <c r="M152" s="287"/>
      <c r="N152" s="286"/>
      <c r="O152" s="286"/>
      <c r="P152" s="291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</row>
    <row r="153" ht="13.5" customHeight="1">
      <c r="A153" s="286"/>
      <c r="B153" s="286"/>
      <c r="C153" s="286"/>
      <c r="D153" s="286"/>
      <c r="E153" s="286"/>
      <c r="F153" s="287"/>
      <c r="G153" s="286"/>
      <c r="H153" s="287"/>
      <c r="I153" s="288"/>
      <c r="J153" s="289"/>
      <c r="K153" s="288"/>
      <c r="L153" s="289"/>
      <c r="M153" s="287"/>
      <c r="N153" s="286"/>
      <c r="O153" s="286"/>
      <c r="P153" s="291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</row>
    <row r="154" ht="13.5" customHeight="1">
      <c r="A154" s="286"/>
      <c r="B154" s="286"/>
      <c r="C154" s="286"/>
      <c r="D154" s="286"/>
      <c r="E154" s="286"/>
      <c r="F154" s="287"/>
      <c r="G154" s="286"/>
      <c r="H154" s="287"/>
      <c r="I154" s="288"/>
      <c r="J154" s="289"/>
      <c r="K154" s="288"/>
      <c r="L154" s="289"/>
      <c r="M154" s="287"/>
      <c r="N154" s="286"/>
      <c r="O154" s="286"/>
      <c r="P154" s="291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</row>
    <row r="155" ht="13.5" customHeight="1">
      <c r="A155" s="286"/>
      <c r="B155" s="286"/>
      <c r="C155" s="286"/>
      <c r="D155" s="286"/>
      <c r="E155" s="286"/>
      <c r="F155" s="287"/>
      <c r="G155" s="286"/>
      <c r="H155" s="287"/>
      <c r="I155" s="288"/>
      <c r="J155" s="289"/>
      <c r="K155" s="288"/>
      <c r="L155" s="289"/>
      <c r="M155" s="287"/>
      <c r="N155" s="286"/>
      <c r="O155" s="286"/>
      <c r="P155" s="291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</row>
    <row r="156" ht="13.5" customHeight="1">
      <c r="A156" s="286"/>
      <c r="B156" s="286"/>
      <c r="C156" s="286"/>
      <c r="D156" s="286"/>
      <c r="E156" s="286"/>
      <c r="F156" s="287"/>
      <c r="G156" s="286"/>
      <c r="H156" s="287"/>
      <c r="I156" s="288"/>
      <c r="J156" s="289"/>
      <c r="K156" s="288"/>
      <c r="L156" s="289"/>
      <c r="M156" s="287"/>
      <c r="N156" s="286"/>
      <c r="O156" s="286"/>
      <c r="P156" s="291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</row>
    <row r="157" ht="13.5" customHeight="1">
      <c r="A157" s="286"/>
      <c r="B157" s="286"/>
      <c r="C157" s="286"/>
      <c r="D157" s="286"/>
      <c r="E157" s="286"/>
      <c r="F157" s="287"/>
      <c r="G157" s="286"/>
      <c r="H157" s="287"/>
      <c r="I157" s="288"/>
      <c r="J157" s="289"/>
      <c r="K157" s="288"/>
      <c r="L157" s="289"/>
      <c r="M157" s="287"/>
      <c r="N157" s="286"/>
      <c r="O157" s="286"/>
      <c r="P157" s="291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</row>
    <row r="158" ht="13.5" customHeight="1">
      <c r="A158" s="286"/>
      <c r="B158" s="286"/>
      <c r="C158" s="286"/>
      <c r="D158" s="286"/>
      <c r="E158" s="286"/>
      <c r="F158" s="287"/>
      <c r="G158" s="286"/>
      <c r="H158" s="287"/>
      <c r="I158" s="288"/>
      <c r="J158" s="289"/>
      <c r="K158" s="288"/>
      <c r="L158" s="289"/>
      <c r="M158" s="287"/>
      <c r="N158" s="286"/>
      <c r="O158" s="286"/>
      <c r="P158" s="291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</row>
    <row r="159" ht="13.5" customHeight="1">
      <c r="A159" s="286"/>
      <c r="B159" s="286"/>
      <c r="C159" s="286"/>
      <c r="D159" s="286"/>
      <c r="E159" s="286"/>
      <c r="F159" s="287"/>
      <c r="G159" s="286"/>
      <c r="H159" s="287"/>
      <c r="I159" s="288"/>
      <c r="J159" s="289"/>
      <c r="K159" s="288"/>
      <c r="L159" s="289"/>
      <c r="M159" s="287"/>
      <c r="N159" s="286"/>
      <c r="O159" s="286"/>
      <c r="P159" s="291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</row>
    <row r="160" ht="13.5" customHeight="1">
      <c r="A160" s="286"/>
      <c r="B160" s="286"/>
      <c r="C160" s="286"/>
      <c r="D160" s="286"/>
      <c r="E160" s="286"/>
      <c r="F160" s="287"/>
      <c r="G160" s="286"/>
      <c r="H160" s="287"/>
      <c r="I160" s="288"/>
      <c r="J160" s="289"/>
      <c r="K160" s="288"/>
      <c r="L160" s="289"/>
      <c r="M160" s="287"/>
      <c r="N160" s="286"/>
      <c r="O160" s="286"/>
      <c r="P160" s="291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</row>
    <row r="161" ht="13.5" customHeight="1">
      <c r="A161" s="286"/>
      <c r="B161" s="286"/>
      <c r="C161" s="286"/>
      <c r="D161" s="286"/>
      <c r="E161" s="286"/>
      <c r="F161" s="287"/>
      <c r="G161" s="286"/>
      <c r="H161" s="287"/>
      <c r="I161" s="288"/>
      <c r="J161" s="289"/>
      <c r="K161" s="288"/>
      <c r="L161" s="289"/>
      <c r="M161" s="287"/>
      <c r="N161" s="286"/>
      <c r="O161" s="286"/>
      <c r="P161" s="291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</row>
    <row r="162" ht="13.5" customHeight="1">
      <c r="A162" s="286"/>
      <c r="B162" s="286"/>
      <c r="C162" s="286"/>
      <c r="D162" s="286"/>
      <c r="E162" s="286"/>
      <c r="F162" s="287"/>
      <c r="G162" s="286"/>
      <c r="H162" s="287"/>
      <c r="I162" s="288"/>
      <c r="J162" s="289"/>
      <c r="K162" s="288"/>
      <c r="L162" s="289"/>
      <c r="M162" s="287"/>
      <c r="N162" s="286"/>
      <c r="O162" s="286"/>
      <c r="P162" s="291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</row>
    <row r="163" ht="13.5" customHeight="1">
      <c r="A163" s="286"/>
      <c r="B163" s="286"/>
      <c r="C163" s="286"/>
      <c r="D163" s="286"/>
      <c r="E163" s="286"/>
      <c r="F163" s="287"/>
      <c r="G163" s="286"/>
      <c r="H163" s="287"/>
      <c r="I163" s="288"/>
      <c r="J163" s="289"/>
      <c r="K163" s="288"/>
      <c r="L163" s="289"/>
      <c r="M163" s="287"/>
      <c r="N163" s="286"/>
      <c r="O163" s="286"/>
      <c r="P163" s="291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</row>
    <row r="164" ht="13.5" customHeight="1">
      <c r="A164" s="286"/>
      <c r="B164" s="286"/>
      <c r="C164" s="286"/>
      <c r="D164" s="286"/>
      <c r="E164" s="286"/>
      <c r="F164" s="287"/>
      <c r="G164" s="286"/>
      <c r="H164" s="287"/>
      <c r="I164" s="288"/>
      <c r="J164" s="289"/>
      <c r="K164" s="288"/>
      <c r="L164" s="289"/>
      <c r="M164" s="287"/>
      <c r="N164" s="286"/>
      <c r="O164" s="286"/>
      <c r="P164" s="291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</row>
    <row r="165" ht="13.5" customHeight="1">
      <c r="A165" s="286"/>
      <c r="B165" s="286"/>
      <c r="C165" s="286"/>
      <c r="D165" s="286"/>
      <c r="E165" s="286"/>
      <c r="F165" s="287"/>
      <c r="G165" s="286"/>
      <c r="H165" s="287"/>
      <c r="I165" s="288"/>
      <c r="J165" s="289"/>
      <c r="K165" s="288"/>
      <c r="L165" s="289"/>
      <c r="M165" s="287"/>
      <c r="N165" s="286"/>
      <c r="O165" s="286"/>
      <c r="P165" s="291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</row>
    <row r="166" ht="13.5" customHeight="1">
      <c r="A166" s="286"/>
      <c r="B166" s="286"/>
      <c r="C166" s="286"/>
      <c r="D166" s="286"/>
      <c r="E166" s="286"/>
      <c r="F166" s="287"/>
      <c r="G166" s="286"/>
      <c r="H166" s="287"/>
      <c r="I166" s="288"/>
      <c r="J166" s="289"/>
      <c r="K166" s="288"/>
      <c r="L166" s="289"/>
      <c r="M166" s="287"/>
      <c r="N166" s="286"/>
      <c r="O166" s="286"/>
      <c r="P166" s="291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</row>
    <row r="167" ht="13.5" customHeight="1">
      <c r="A167" s="286"/>
      <c r="B167" s="286"/>
      <c r="C167" s="286"/>
      <c r="D167" s="286"/>
      <c r="E167" s="286"/>
      <c r="F167" s="287"/>
      <c r="G167" s="286"/>
      <c r="H167" s="287"/>
      <c r="I167" s="288"/>
      <c r="J167" s="289"/>
      <c r="K167" s="288"/>
      <c r="L167" s="289"/>
      <c r="M167" s="287"/>
      <c r="N167" s="286"/>
      <c r="O167" s="286"/>
      <c r="P167" s="291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</row>
    <row r="168" ht="13.5" customHeight="1">
      <c r="A168" s="286"/>
      <c r="B168" s="286"/>
      <c r="C168" s="286"/>
      <c r="D168" s="286"/>
      <c r="E168" s="286"/>
      <c r="F168" s="287"/>
      <c r="G168" s="286"/>
      <c r="H168" s="287"/>
      <c r="I168" s="288"/>
      <c r="J168" s="289"/>
      <c r="K168" s="288"/>
      <c r="L168" s="289"/>
      <c r="M168" s="287"/>
      <c r="N168" s="286"/>
      <c r="O168" s="286"/>
      <c r="P168" s="291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</row>
    <row r="169" ht="13.5" customHeight="1">
      <c r="A169" s="286"/>
      <c r="B169" s="286"/>
      <c r="C169" s="286"/>
      <c r="D169" s="286"/>
      <c r="E169" s="286"/>
      <c r="F169" s="287"/>
      <c r="G169" s="286"/>
      <c r="H169" s="287"/>
      <c r="I169" s="288"/>
      <c r="J169" s="289"/>
      <c r="K169" s="288"/>
      <c r="L169" s="289"/>
      <c r="M169" s="287"/>
      <c r="N169" s="286"/>
      <c r="O169" s="286"/>
      <c r="P169" s="291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</row>
    <row r="170" ht="13.5" customHeight="1">
      <c r="A170" s="286"/>
      <c r="B170" s="286"/>
      <c r="C170" s="286"/>
      <c r="D170" s="286"/>
      <c r="E170" s="286"/>
      <c r="F170" s="287"/>
      <c r="G170" s="286"/>
      <c r="H170" s="287"/>
      <c r="I170" s="288"/>
      <c r="J170" s="289"/>
      <c r="K170" s="288"/>
      <c r="L170" s="289"/>
      <c r="M170" s="287"/>
      <c r="N170" s="286"/>
      <c r="O170" s="286"/>
      <c r="P170" s="291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</row>
    <row r="171" ht="13.5" customHeight="1">
      <c r="A171" s="286"/>
      <c r="B171" s="286"/>
      <c r="C171" s="286"/>
      <c r="D171" s="286"/>
      <c r="E171" s="286"/>
      <c r="F171" s="287"/>
      <c r="G171" s="286"/>
      <c r="H171" s="287"/>
      <c r="I171" s="288"/>
      <c r="J171" s="289"/>
      <c r="K171" s="288"/>
      <c r="L171" s="289"/>
      <c r="M171" s="287"/>
      <c r="N171" s="286"/>
      <c r="O171" s="286"/>
      <c r="P171" s="291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</row>
    <row r="172" ht="13.5" customHeight="1">
      <c r="A172" s="286"/>
      <c r="B172" s="286"/>
      <c r="C172" s="286"/>
      <c r="D172" s="286"/>
      <c r="E172" s="286"/>
      <c r="F172" s="287"/>
      <c r="G172" s="286"/>
      <c r="H172" s="287"/>
      <c r="I172" s="288"/>
      <c r="J172" s="289"/>
      <c r="K172" s="288"/>
      <c r="L172" s="289"/>
      <c r="M172" s="287"/>
      <c r="N172" s="286"/>
      <c r="O172" s="286"/>
      <c r="P172" s="291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</row>
    <row r="173" ht="13.5" customHeight="1">
      <c r="A173" s="286"/>
      <c r="B173" s="286"/>
      <c r="C173" s="286"/>
      <c r="D173" s="286"/>
      <c r="E173" s="286"/>
      <c r="F173" s="287"/>
      <c r="G173" s="286"/>
      <c r="H173" s="287"/>
      <c r="I173" s="288"/>
      <c r="J173" s="289"/>
      <c r="K173" s="288"/>
      <c r="L173" s="289"/>
      <c r="M173" s="287"/>
      <c r="N173" s="286"/>
      <c r="O173" s="286"/>
      <c r="P173" s="291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</row>
    <row r="174" ht="13.5" customHeight="1">
      <c r="A174" s="286"/>
      <c r="B174" s="286"/>
      <c r="C174" s="286"/>
      <c r="D174" s="286"/>
      <c r="E174" s="286"/>
      <c r="F174" s="287"/>
      <c r="G174" s="286"/>
      <c r="H174" s="287"/>
      <c r="I174" s="288"/>
      <c r="J174" s="289"/>
      <c r="K174" s="288"/>
      <c r="L174" s="289"/>
      <c r="M174" s="287"/>
      <c r="N174" s="286"/>
      <c r="O174" s="286"/>
      <c r="P174" s="291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</row>
    <row r="175" ht="13.5" customHeight="1">
      <c r="A175" s="286"/>
      <c r="B175" s="286"/>
      <c r="C175" s="286"/>
      <c r="D175" s="286"/>
      <c r="E175" s="286"/>
      <c r="F175" s="287"/>
      <c r="G175" s="286"/>
      <c r="H175" s="287"/>
      <c r="I175" s="288"/>
      <c r="J175" s="289"/>
      <c r="K175" s="288"/>
      <c r="L175" s="289"/>
      <c r="M175" s="287"/>
      <c r="N175" s="286"/>
      <c r="O175" s="286"/>
      <c r="P175" s="291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</row>
    <row r="176" ht="13.5" customHeight="1">
      <c r="A176" s="286"/>
      <c r="B176" s="286"/>
      <c r="C176" s="286"/>
      <c r="D176" s="286"/>
      <c r="E176" s="286"/>
      <c r="F176" s="287"/>
      <c r="G176" s="286"/>
      <c r="H176" s="287"/>
      <c r="I176" s="288"/>
      <c r="J176" s="289"/>
      <c r="K176" s="288"/>
      <c r="L176" s="289"/>
      <c r="M176" s="287"/>
      <c r="N176" s="286"/>
      <c r="O176" s="286"/>
      <c r="P176" s="291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</row>
    <row r="177" ht="13.5" customHeight="1">
      <c r="A177" s="286"/>
      <c r="B177" s="286"/>
      <c r="C177" s="286"/>
      <c r="D177" s="286"/>
      <c r="E177" s="286"/>
      <c r="F177" s="287"/>
      <c r="G177" s="286"/>
      <c r="H177" s="287"/>
      <c r="I177" s="288"/>
      <c r="J177" s="289"/>
      <c r="K177" s="288"/>
      <c r="L177" s="289"/>
      <c r="M177" s="287"/>
      <c r="N177" s="286"/>
      <c r="O177" s="286"/>
      <c r="P177" s="291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</row>
    <row r="178" ht="13.5" customHeight="1">
      <c r="A178" s="286"/>
      <c r="B178" s="286"/>
      <c r="C178" s="286"/>
      <c r="D178" s="286"/>
      <c r="E178" s="286"/>
      <c r="F178" s="287"/>
      <c r="G178" s="286"/>
      <c r="H178" s="287"/>
      <c r="I178" s="288"/>
      <c r="J178" s="289"/>
      <c r="K178" s="288"/>
      <c r="L178" s="289"/>
      <c r="M178" s="287"/>
      <c r="N178" s="286"/>
      <c r="O178" s="286"/>
      <c r="P178" s="291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</row>
    <row r="179" ht="13.5" customHeight="1">
      <c r="A179" s="286"/>
      <c r="B179" s="286"/>
      <c r="C179" s="286"/>
      <c r="D179" s="286"/>
      <c r="E179" s="286"/>
      <c r="F179" s="287"/>
      <c r="G179" s="286"/>
      <c r="H179" s="287"/>
      <c r="I179" s="288"/>
      <c r="J179" s="289"/>
      <c r="K179" s="288"/>
      <c r="L179" s="289"/>
      <c r="M179" s="287"/>
      <c r="N179" s="286"/>
      <c r="O179" s="286"/>
      <c r="P179" s="291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</row>
    <row r="180" ht="13.5" customHeight="1">
      <c r="A180" s="286"/>
      <c r="B180" s="286"/>
      <c r="C180" s="286"/>
      <c r="D180" s="286"/>
      <c r="E180" s="286"/>
      <c r="F180" s="287"/>
      <c r="G180" s="286"/>
      <c r="H180" s="287"/>
      <c r="I180" s="288"/>
      <c r="J180" s="289"/>
      <c r="K180" s="288"/>
      <c r="L180" s="289"/>
      <c r="M180" s="287"/>
      <c r="N180" s="286"/>
      <c r="O180" s="286"/>
      <c r="P180" s="291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</row>
    <row r="181" ht="13.5" customHeight="1">
      <c r="A181" s="286"/>
      <c r="B181" s="286"/>
      <c r="C181" s="286"/>
      <c r="D181" s="286"/>
      <c r="E181" s="286"/>
      <c r="F181" s="287"/>
      <c r="G181" s="286"/>
      <c r="H181" s="287"/>
      <c r="I181" s="288"/>
      <c r="J181" s="289"/>
      <c r="K181" s="288"/>
      <c r="L181" s="289"/>
      <c r="M181" s="287"/>
      <c r="N181" s="286"/>
      <c r="O181" s="286"/>
      <c r="P181" s="291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</row>
    <row r="182" ht="13.5" customHeight="1">
      <c r="A182" s="286"/>
      <c r="B182" s="286"/>
      <c r="C182" s="286"/>
      <c r="D182" s="286"/>
      <c r="E182" s="286"/>
      <c r="F182" s="287"/>
      <c r="G182" s="286"/>
      <c r="H182" s="287"/>
      <c r="I182" s="288"/>
      <c r="J182" s="289"/>
      <c r="K182" s="288"/>
      <c r="L182" s="289"/>
      <c r="M182" s="287"/>
      <c r="N182" s="286"/>
      <c r="O182" s="286"/>
      <c r="P182" s="291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</row>
    <row r="183" ht="13.5" customHeight="1">
      <c r="A183" s="286"/>
      <c r="B183" s="286"/>
      <c r="C183" s="286"/>
      <c r="D183" s="286"/>
      <c r="E183" s="286"/>
      <c r="F183" s="287"/>
      <c r="G183" s="286"/>
      <c r="H183" s="287"/>
      <c r="I183" s="288"/>
      <c r="J183" s="289"/>
      <c r="K183" s="288"/>
      <c r="L183" s="289"/>
      <c r="M183" s="287"/>
      <c r="N183" s="286"/>
      <c r="O183" s="286"/>
      <c r="P183" s="291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</row>
    <row r="184" ht="13.5" customHeight="1">
      <c r="A184" s="286"/>
      <c r="B184" s="286"/>
      <c r="C184" s="286"/>
      <c r="D184" s="286"/>
      <c r="E184" s="286"/>
      <c r="F184" s="287"/>
      <c r="G184" s="286"/>
      <c r="H184" s="287"/>
      <c r="I184" s="288"/>
      <c r="J184" s="289"/>
      <c r="K184" s="288"/>
      <c r="L184" s="289"/>
      <c r="M184" s="287"/>
      <c r="N184" s="286"/>
      <c r="O184" s="286"/>
      <c r="P184" s="291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</row>
    <row r="185" ht="13.5" customHeight="1">
      <c r="A185" s="286"/>
      <c r="B185" s="286"/>
      <c r="C185" s="286"/>
      <c r="D185" s="286"/>
      <c r="E185" s="286"/>
      <c r="F185" s="287"/>
      <c r="G185" s="286"/>
      <c r="H185" s="287"/>
      <c r="I185" s="288"/>
      <c r="J185" s="289"/>
      <c r="K185" s="288"/>
      <c r="L185" s="289"/>
      <c r="M185" s="287"/>
      <c r="N185" s="286"/>
      <c r="O185" s="286"/>
      <c r="P185" s="291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</row>
    <row r="186" ht="13.5" customHeight="1">
      <c r="A186" s="286"/>
      <c r="B186" s="286"/>
      <c r="C186" s="286"/>
      <c r="D186" s="286"/>
      <c r="E186" s="286"/>
      <c r="F186" s="287"/>
      <c r="G186" s="286"/>
      <c r="H186" s="287"/>
      <c r="I186" s="288"/>
      <c r="J186" s="289"/>
      <c r="K186" s="288"/>
      <c r="L186" s="289"/>
      <c r="M186" s="287"/>
      <c r="N186" s="286"/>
      <c r="O186" s="286"/>
      <c r="P186" s="291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</row>
    <row r="187" ht="13.5" customHeight="1">
      <c r="A187" s="286"/>
      <c r="B187" s="286"/>
      <c r="C187" s="286"/>
      <c r="D187" s="286"/>
      <c r="E187" s="286"/>
      <c r="F187" s="287"/>
      <c r="G187" s="286"/>
      <c r="H187" s="287"/>
      <c r="I187" s="288"/>
      <c r="J187" s="289"/>
      <c r="K187" s="288"/>
      <c r="L187" s="289"/>
      <c r="M187" s="287"/>
      <c r="N187" s="286"/>
      <c r="O187" s="286"/>
      <c r="P187" s="291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</row>
    <row r="188" ht="13.5" customHeight="1">
      <c r="A188" s="286"/>
      <c r="B188" s="286"/>
      <c r="C188" s="286"/>
      <c r="D188" s="286"/>
      <c r="E188" s="286"/>
      <c r="F188" s="287"/>
      <c r="G188" s="286"/>
      <c r="H188" s="287"/>
      <c r="I188" s="288"/>
      <c r="J188" s="289"/>
      <c r="K188" s="288"/>
      <c r="L188" s="289"/>
      <c r="M188" s="287"/>
      <c r="N188" s="286"/>
      <c r="O188" s="286"/>
      <c r="P188" s="291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</row>
    <row r="189" ht="13.5" customHeight="1">
      <c r="A189" s="286"/>
      <c r="B189" s="286"/>
      <c r="C189" s="286"/>
      <c r="D189" s="286"/>
      <c r="E189" s="286"/>
      <c r="F189" s="287"/>
      <c r="G189" s="286"/>
      <c r="H189" s="287"/>
      <c r="I189" s="288"/>
      <c r="J189" s="289"/>
      <c r="K189" s="288"/>
      <c r="L189" s="289"/>
      <c r="M189" s="287"/>
      <c r="N189" s="286"/>
      <c r="O189" s="286"/>
      <c r="P189" s="291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</row>
    <row r="190" ht="13.5" customHeight="1">
      <c r="A190" s="286"/>
      <c r="B190" s="286"/>
      <c r="C190" s="286"/>
      <c r="D190" s="286"/>
      <c r="E190" s="286"/>
      <c r="F190" s="287"/>
      <c r="G190" s="286"/>
      <c r="H190" s="287"/>
      <c r="I190" s="288"/>
      <c r="J190" s="289"/>
      <c r="K190" s="288"/>
      <c r="L190" s="289"/>
      <c r="M190" s="287"/>
      <c r="N190" s="286"/>
      <c r="O190" s="286"/>
      <c r="P190" s="291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</row>
    <row r="191" ht="13.5" customHeight="1">
      <c r="A191" s="286"/>
      <c r="B191" s="286"/>
      <c r="C191" s="286"/>
      <c r="D191" s="286"/>
      <c r="E191" s="286"/>
      <c r="F191" s="287"/>
      <c r="G191" s="286"/>
      <c r="H191" s="287"/>
      <c r="I191" s="288"/>
      <c r="J191" s="289"/>
      <c r="K191" s="288"/>
      <c r="L191" s="289"/>
      <c r="M191" s="287"/>
      <c r="N191" s="286"/>
      <c r="O191" s="286"/>
      <c r="P191" s="291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</row>
    <row r="192" ht="13.5" customHeight="1">
      <c r="A192" s="286"/>
      <c r="B192" s="286"/>
      <c r="C192" s="286"/>
      <c r="D192" s="286"/>
      <c r="E192" s="286"/>
      <c r="F192" s="287"/>
      <c r="G192" s="286"/>
      <c r="H192" s="287"/>
      <c r="I192" s="288"/>
      <c r="J192" s="289"/>
      <c r="K192" s="288"/>
      <c r="L192" s="289"/>
      <c r="M192" s="287"/>
      <c r="N192" s="286"/>
      <c r="O192" s="286"/>
      <c r="P192" s="291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</row>
    <row r="193" ht="13.5" customHeight="1">
      <c r="A193" s="286"/>
      <c r="B193" s="286"/>
      <c r="C193" s="286"/>
      <c r="D193" s="286"/>
      <c r="E193" s="286"/>
      <c r="F193" s="287"/>
      <c r="G193" s="286"/>
      <c r="H193" s="287"/>
      <c r="I193" s="288"/>
      <c r="J193" s="289"/>
      <c r="K193" s="288"/>
      <c r="L193" s="289"/>
      <c r="M193" s="287"/>
      <c r="N193" s="286"/>
      <c r="O193" s="286"/>
      <c r="P193" s="291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</row>
    <row r="194" ht="13.5" customHeight="1">
      <c r="A194" s="286"/>
      <c r="B194" s="286"/>
      <c r="C194" s="286"/>
      <c r="D194" s="286"/>
      <c r="E194" s="286"/>
      <c r="F194" s="287"/>
      <c r="G194" s="286"/>
      <c r="H194" s="287"/>
      <c r="I194" s="288"/>
      <c r="J194" s="289"/>
      <c r="K194" s="288"/>
      <c r="L194" s="289"/>
      <c r="M194" s="287"/>
      <c r="N194" s="286"/>
      <c r="O194" s="286"/>
      <c r="P194" s="291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</row>
    <row r="195" ht="13.5" customHeight="1">
      <c r="A195" s="286"/>
      <c r="B195" s="286"/>
      <c r="C195" s="286"/>
      <c r="D195" s="286"/>
      <c r="E195" s="286"/>
      <c r="F195" s="287"/>
      <c r="G195" s="286"/>
      <c r="H195" s="287"/>
      <c r="I195" s="288"/>
      <c r="J195" s="289"/>
      <c r="K195" s="288"/>
      <c r="L195" s="289"/>
      <c r="M195" s="287"/>
      <c r="N195" s="286"/>
      <c r="O195" s="286"/>
      <c r="P195" s="291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</row>
    <row r="196" ht="13.5" customHeight="1">
      <c r="A196" s="286"/>
      <c r="B196" s="286"/>
      <c r="C196" s="286"/>
      <c r="D196" s="286"/>
      <c r="E196" s="286"/>
      <c r="F196" s="287"/>
      <c r="G196" s="286"/>
      <c r="H196" s="287"/>
      <c r="I196" s="288"/>
      <c r="J196" s="289"/>
      <c r="K196" s="288"/>
      <c r="L196" s="289"/>
      <c r="M196" s="287"/>
      <c r="N196" s="286"/>
      <c r="O196" s="286"/>
      <c r="P196" s="291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</row>
    <row r="197" ht="13.5" customHeight="1">
      <c r="A197" s="286"/>
      <c r="B197" s="286"/>
      <c r="C197" s="286"/>
      <c r="D197" s="286"/>
      <c r="E197" s="286"/>
      <c r="F197" s="287"/>
      <c r="G197" s="286"/>
      <c r="H197" s="287"/>
      <c r="I197" s="288"/>
      <c r="J197" s="289"/>
      <c r="K197" s="288"/>
      <c r="L197" s="289"/>
      <c r="M197" s="287"/>
      <c r="N197" s="286"/>
      <c r="O197" s="286"/>
      <c r="P197" s="291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</row>
    <row r="198" ht="13.5" customHeight="1">
      <c r="A198" s="286"/>
      <c r="B198" s="286"/>
      <c r="C198" s="286"/>
      <c r="D198" s="286"/>
      <c r="E198" s="286"/>
      <c r="F198" s="287"/>
      <c r="G198" s="286"/>
      <c r="H198" s="287"/>
      <c r="I198" s="288"/>
      <c r="J198" s="289"/>
      <c r="K198" s="288"/>
      <c r="L198" s="289"/>
      <c r="M198" s="287"/>
      <c r="N198" s="286"/>
      <c r="O198" s="286"/>
      <c r="P198" s="291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</row>
    <row r="199" ht="13.5" customHeight="1">
      <c r="A199" s="286"/>
      <c r="B199" s="286"/>
      <c r="C199" s="286"/>
      <c r="D199" s="286"/>
      <c r="E199" s="286"/>
      <c r="F199" s="287"/>
      <c r="G199" s="286"/>
      <c r="H199" s="287"/>
      <c r="I199" s="288"/>
      <c r="J199" s="289"/>
      <c r="K199" s="288"/>
      <c r="L199" s="289"/>
      <c r="M199" s="287"/>
      <c r="N199" s="286"/>
      <c r="O199" s="286"/>
      <c r="P199" s="291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</row>
    <row r="200" ht="13.5" customHeight="1">
      <c r="A200" s="286"/>
      <c r="B200" s="286"/>
      <c r="C200" s="286"/>
      <c r="D200" s="286"/>
      <c r="E200" s="286"/>
      <c r="F200" s="287"/>
      <c r="G200" s="286"/>
      <c r="H200" s="287"/>
      <c r="I200" s="288"/>
      <c r="J200" s="289"/>
      <c r="K200" s="288"/>
      <c r="L200" s="289"/>
      <c r="M200" s="287"/>
      <c r="N200" s="286"/>
      <c r="O200" s="286"/>
      <c r="P200" s="291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</row>
    <row r="201" ht="13.5" customHeight="1">
      <c r="A201" s="286"/>
      <c r="B201" s="286"/>
      <c r="C201" s="286"/>
      <c r="D201" s="286"/>
      <c r="E201" s="286"/>
      <c r="F201" s="287"/>
      <c r="G201" s="286"/>
      <c r="H201" s="287"/>
      <c r="I201" s="288"/>
      <c r="J201" s="289"/>
      <c r="K201" s="288"/>
      <c r="L201" s="289"/>
      <c r="M201" s="287"/>
      <c r="N201" s="286"/>
      <c r="O201" s="286"/>
      <c r="P201" s="291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</row>
    <row r="202" ht="13.5" customHeight="1">
      <c r="A202" s="286"/>
      <c r="B202" s="286"/>
      <c r="C202" s="286"/>
      <c r="D202" s="286"/>
      <c r="E202" s="286"/>
      <c r="F202" s="287"/>
      <c r="G202" s="286"/>
      <c r="H202" s="287"/>
      <c r="I202" s="288"/>
      <c r="J202" s="289"/>
      <c r="K202" s="288"/>
      <c r="L202" s="289"/>
      <c r="M202" s="287"/>
      <c r="N202" s="286"/>
      <c r="O202" s="286"/>
      <c r="P202" s="291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</row>
    <row r="203" ht="13.5" customHeight="1">
      <c r="A203" s="286"/>
      <c r="B203" s="286"/>
      <c r="C203" s="286"/>
      <c r="D203" s="286"/>
      <c r="E203" s="286"/>
      <c r="F203" s="287"/>
      <c r="G203" s="286"/>
      <c r="H203" s="287"/>
      <c r="I203" s="288"/>
      <c r="J203" s="289"/>
      <c r="K203" s="288"/>
      <c r="L203" s="289"/>
      <c r="M203" s="287"/>
      <c r="N203" s="286"/>
      <c r="O203" s="286"/>
      <c r="P203" s="291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</row>
    <row r="204" ht="13.5" customHeight="1">
      <c r="A204" s="286"/>
      <c r="B204" s="286"/>
      <c r="C204" s="286"/>
      <c r="D204" s="286"/>
      <c r="E204" s="286"/>
      <c r="F204" s="287"/>
      <c r="G204" s="286"/>
      <c r="H204" s="287"/>
      <c r="I204" s="288"/>
      <c r="J204" s="289"/>
      <c r="K204" s="288"/>
      <c r="L204" s="289"/>
      <c r="M204" s="287"/>
      <c r="N204" s="286"/>
      <c r="O204" s="286"/>
      <c r="P204" s="291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</row>
    <row r="205" ht="13.5" customHeight="1">
      <c r="A205" s="286"/>
      <c r="B205" s="286"/>
      <c r="C205" s="286"/>
      <c r="D205" s="286"/>
      <c r="E205" s="286"/>
      <c r="F205" s="287"/>
      <c r="G205" s="286"/>
      <c r="H205" s="287"/>
      <c r="I205" s="288"/>
      <c r="J205" s="289"/>
      <c r="K205" s="288"/>
      <c r="L205" s="289"/>
      <c r="M205" s="287"/>
      <c r="N205" s="286"/>
      <c r="O205" s="286"/>
      <c r="P205" s="291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</row>
    <row r="206" ht="13.5" customHeight="1">
      <c r="A206" s="286"/>
      <c r="B206" s="286"/>
      <c r="C206" s="286"/>
      <c r="D206" s="286"/>
      <c r="E206" s="286"/>
      <c r="F206" s="287"/>
      <c r="G206" s="286"/>
      <c r="H206" s="287"/>
      <c r="I206" s="288"/>
      <c r="J206" s="289"/>
      <c r="K206" s="288"/>
      <c r="L206" s="289"/>
      <c r="M206" s="287"/>
      <c r="N206" s="286"/>
      <c r="O206" s="286"/>
      <c r="P206" s="291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</row>
    <row r="207" ht="13.5" customHeight="1">
      <c r="A207" s="286"/>
      <c r="B207" s="286"/>
      <c r="C207" s="286"/>
      <c r="D207" s="286"/>
      <c r="E207" s="286"/>
      <c r="F207" s="287"/>
      <c r="G207" s="286"/>
      <c r="H207" s="287"/>
      <c r="I207" s="288"/>
      <c r="J207" s="289"/>
      <c r="K207" s="288"/>
      <c r="L207" s="289"/>
      <c r="M207" s="287"/>
      <c r="N207" s="286"/>
      <c r="O207" s="286"/>
      <c r="P207" s="291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</row>
    <row r="208" ht="13.5" customHeight="1">
      <c r="A208" s="286"/>
      <c r="B208" s="286"/>
      <c r="C208" s="286"/>
      <c r="D208" s="286"/>
      <c r="E208" s="286"/>
      <c r="F208" s="287"/>
      <c r="G208" s="286"/>
      <c r="H208" s="287"/>
      <c r="I208" s="288"/>
      <c r="J208" s="289"/>
      <c r="K208" s="288"/>
      <c r="L208" s="289"/>
      <c r="M208" s="287"/>
      <c r="N208" s="286"/>
      <c r="O208" s="286"/>
      <c r="P208" s="291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</row>
    <row r="209" ht="13.5" customHeight="1">
      <c r="A209" s="286"/>
      <c r="B209" s="286"/>
      <c r="C209" s="286"/>
      <c r="D209" s="286"/>
      <c r="E209" s="286"/>
      <c r="F209" s="287"/>
      <c r="G209" s="286"/>
      <c r="H209" s="287"/>
      <c r="I209" s="288"/>
      <c r="J209" s="289"/>
      <c r="K209" s="288"/>
      <c r="L209" s="289"/>
      <c r="M209" s="287"/>
      <c r="N209" s="286"/>
      <c r="O209" s="286"/>
      <c r="P209" s="291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</row>
    <row r="210" ht="13.5" customHeight="1">
      <c r="A210" s="286"/>
      <c r="B210" s="286"/>
      <c r="C210" s="286"/>
      <c r="D210" s="286"/>
      <c r="E210" s="286"/>
      <c r="F210" s="287"/>
      <c r="G210" s="286"/>
      <c r="H210" s="287"/>
      <c r="I210" s="288"/>
      <c r="J210" s="289"/>
      <c r="K210" s="288"/>
      <c r="L210" s="289"/>
      <c r="M210" s="287"/>
      <c r="N210" s="286"/>
      <c r="O210" s="286"/>
      <c r="P210" s="291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</row>
    <row r="211" ht="13.5" customHeight="1">
      <c r="A211" s="286"/>
      <c r="B211" s="286"/>
      <c r="C211" s="286"/>
      <c r="D211" s="286"/>
      <c r="E211" s="286"/>
      <c r="F211" s="287"/>
      <c r="G211" s="286"/>
      <c r="H211" s="287"/>
      <c r="I211" s="288"/>
      <c r="J211" s="289"/>
      <c r="K211" s="288"/>
      <c r="L211" s="289"/>
      <c r="M211" s="287"/>
      <c r="N211" s="286"/>
      <c r="O211" s="286"/>
      <c r="P211" s="291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</row>
    <row r="212" ht="13.5" customHeight="1">
      <c r="A212" s="286"/>
      <c r="B212" s="286"/>
      <c r="C212" s="286"/>
      <c r="D212" s="286"/>
      <c r="E212" s="286"/>
      <c r="F212" s="287"/>
      <c r="G212" s="286"/>
      <c r="H212" s="287"/>
      <c r="I212" s="288"/>
      <c r="J212" s="289"/>
      <c r="K212" s="288"/>
      <c r="L212" s="289"/>
      <c r="M212" s="287"/>
      <c r="N212" s="286"/>
      <c r="O212" s="286"/>
      <c r="P212" s="291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</row>
    <row r="213" ht="13.5" customHeight="1">
      <c r="A213" s="286"/>
      <c r="B213" s="286"/>
      <c r="C213" s="286"/>
      <c r="D213" s="286"/>
      <c r="E213" s="286"/>
      <c r="F213" s="287"/>
      <c r="G213" s="286"/>
      <c r="H213" s="287"/>
      <c r="I213" s="288"/>
      <c r="J213" s="289"/>
      <c r="K213" s="288"/>
      <c r="L213" s="289"/>
      <c r="M213" s="287"/>
      <c r="N213" s="286"/>
      <c r="O213" s="286"/>
      <c r="P213" s="291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</row>
    <row r="214" ht="13.5" customHeight="1">
      <c r="A214" s="286"/>
      <c r="B214" s="286"/>
      <c r="C214" s="286"/>
      <c r="D214" s="286"/>
      <c r="E214" s="286"/>
      <c r="F214" s="287"/>
      <c r="G214" s="286"/>
      <c r="H214" s="287"/>
      <c r="I214" s="288"/>
      <c r="J214" s="289"/>
      <c r="K214" s="288"/>
      <c r="L214" s="289"/>
      <c r="M214" s="287"/>
      <c r="N214" s="286"/>
      <c r="O214" s="286"/>
      <c r="P214" s="291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</row>
    <row r="215" ht="13.5" customHeight="1">
      <c r="A215" s="286"/>
      <c r="B215" s="286"/>
      <c r="C215" s="286"/>
      <c r="D215" s="286"/>
      <c r="E215" s="286"/>
      <c r="F215" s="287"/>
      <c r="G215" s="286"/>
      <c r="H215" s="287"/>
      <c r="I215" s="288"/>
      <c r="J215" s="289"/>
      <c r="K215" s="288"/>
      <c r="L215" s="289"/>
      <c r="M215" s="287"/>
      <c r="N215" s="286"/>
      <c r="O215" s="286"/>
      <c r="P215" s="291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</row>
    <row r="216" ht="13.5" customHeight="1">
      <c r="A216" s="286"/>
      <c r="B216" s="286"/>
      <c r="C216" s="286"/>
      <c r="D216" s="286"/>
      <c r="E216" s="286"/>
      <c r="F216" s="287"/>
      <c r="G216" s="286"/>
      <c r="H216" s="287"/>
      <c r="I216" s="288"/>
      <c r="J216" s="289"/>
      <c r="K216" s="288"/>
      <c r="L216" s="289"/>
      <c r="M216" s="287"/>
      <c r="N216" s="286"/>
      <c r="O216" s="286"/>
      <c r="P216" s="291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</row>
    <row r="217" ht="13.5" customHeight="1">
      <c r="A217" s="286"/>
      <c r="B217" s="286"/>
      <c r="C217" s="286"/>
      <c r="D217" s="286"/>
      <c r="E217" s="286"/>
      <c r="F217" s="287"/>
      <c r="G217" s="286"/>
      <c r="H217" s="287"/>
      <c r="I217" s="288"/>
      <c r="J217" s="289"/>
      <c r="K217" s="288"/>
      <c r="L217" s="289"/>
      <c r="M217" s="287"/>
      <c r="N217" s="286"/>
      <c r="O217" s="286"/>
      <c r="P217" s="291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</row>
    <row r="218" ht="13.5" customHeight="1">
      <c r="A218" s="286"/>
      <c r="B218" s="286"/>
      <c r="C218" s="286"/>
      <c r="D218" s="286"/>
      <c r="E218" s="286"/>
      <c r="F218" s="287"/>
      <c r="G218" s="286"/>
      <c r="H218" s="287"/>
      <c r="I218" s="288"/>
      <c r="J218" s="289"/>
      <c r="K218" s="288"/>
      <c r="L218" s="289"/>
      <c r="M218" s="287"/>
      <c r="N218" s="286"/>
      <c r="O218" s="286"/>
      <c r="P218" s="291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</row>
    <row r="219" ht="13.5" customHeight="1">
      <c r="A219" s="286"/>
      <c r="B219" s="286"/>
      <c r="C219" s="286"/>
      <c r="D219" s="286"/>
      <c r="E219" s="286"/>
      <c r="F219" s="287"/>
      <c r="G219" s="286"/>
      <c r="H219" s="287"/>
      <c r="I219" s="288"/>
      <c r="J219" s="289"/>
      <c r="K219" s="288"/>
      <c r="L219" s="289"/>
      <c r="M219" s="287"/>
      <c r="N219" s="286"/>
      <c r="O219" s="286"/>
      <c r="P219" s="291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</row>
    <row r="220" ht="13.5" customHeight="1">
      <c r="A220" s="286"/>
      <c r="B220" s="286"/>
      <c r="C220" s="286"/>
      <c r="D220" s="286"/>
      <c r="E220" s="286"/>
      <c r="F220" s="287"/>
      <c r="G220" s="286"/>
      <c r="H220" s="287"/>
      <c r="I220" s="288"/>
      <c r="J220" s="289"/>
      <c r="K220" s="288"/>
      <c r="L220" s="289"/>
      <c r="M220" s="287"/>
      <c r="N220" s="286"/>
      <c r="O220" s="286"/>
      <c r="P220" s="291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</row>
    <row r="221" ht="13.5" customHeight="1">
      <c r="A221" s="286"/>
      <c r="B221" s="286"/>
      <c r="C221" s="286"/>
      <c r="D221" s="286"/>
      <c r="E221" s="286"/>
      <c r="F221" s="287"/>
      <c r="G221" s="286"/>
      <c r="H221" s="287"/>
      <c r="I221" s="288"/>
      <c r="J221" s="289"/>
      <c r="K221" s="288"/>
      <c r="L221" s="289"/>
      <c r="M221" s="287"/>
      <c r="N221" s="286"/>
      <c r="O221" s="286"/>
      <c r="P221" s="291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</row>
    <row r="222" ht="13.5" customHeight="1">
      <c r="A222" s="286"/>
      <c r="B222" s="286"/>
      <c r="C222" s="286"/>
      <c r="D222" s="286"/>
      <c r="E222" s="286"/>
      <c r="F222" s="287"/>
      <c r="G222" s="286"/>
      <c r="H222" s="287"/>
      <c r="I222" s="288"/>
      <c r="J222" s="289"/>
      <c r="K222" s="288"/>
      <c r="L222" s="289"/>
      <c r="M222" s="287"/>
      <c r="N222" s="286"/>
      <c r="O222" s="286"/>
      <c r="P222" s="291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</row>
    <row r="223" ht="13.5" customHeight="1">
      <c r="A223" s="286"/>
      <c r="B223" s="286"/>
      <c r="C223" s="286"/>
      <c r="D223" s="286"/>
      <c r="E223" s="286"/>
      <c r="F223" s="287"/>
      <c r="G223" s="286"/>
      <c r="H223" s="287"/>
      <c r="I223" s="288"/>
      <c r="J223" s="289"/>
      <c r="K223" s="288"/>
      <c r="L223" s="289"/>
      <c r="M223" s="287"/>
      <c r="N223" s="286"/>
      <c r="O223" s="286"/>
      <c r="P223" s="291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</row>
    <row r="224" ht="13.5" customHeight="1">
      <c r="A224" s="286"/>
      <c r="B224" s="286"/>
      <c r="C224" s="286"/>
      <c r="D224" s="286"/>
      <c r="E224" s="286"/>
      <c r="F224" s="287"/>
      <c r="G224" s="286"/>
      <c r="H224" s="287"/>
      <c r="I224" s="288"/>
      <c r="J224" s="289"/>
      <c r="K224" s="288"/>
      <c r="L224" s="289"/>
      <c r="M224" s="287"/>
      <c r="N224" s="286"/>
      <c r="O224" s="286"/>
      <c r="P224" s="291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</row>
    <row r="225" ht="13.5" customHeight="1">
      <c r="A225" s="286"/>
      <c r="B225" s="286"/>
      <c r="C225" s="286"/>
      <c r="D225" s="286"/>
      <c r="E225" s="286"/>
      <c r="F225" s="287"/>
      <c r="G225" s="286"/>
      <c r="H225" s="287"/>
      <c r="I225" s="288"/>
      <c r="J225" s="289"/>
      <c r="K225" s="288"/>
      <c r="L225" s="289"/>
      <c r="M225" s="287"/>
      <c r="N225" s="286"/>
      <c r="O225" s="286"/>
      <c r="P225" s="291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</row>
    <row r="226" ht="13.5" customHeight="1">
      <c r="A226" s="286"/>
      <c r="B226" s="286"/>
      <c r="C226" s="286"/>
      <c r="D226" s="286"/>
      <c r="E226" s="286"/>
      <c r="F226" s="287"/>
      <c r="G226" s="286"/>
      <c r="H226" s="287"/>
      <c r="I226" s="288"/>
      <c r="J226" s="289"/>
      <c r="K226" s="288"/>
      <c r="L226" s="289"/>
      <c r="M226" s="287"/>
      <c r="N226" s="286"/>
      <c r="O226" s="286"/>
      <c r="P226" s="291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</row>
    <row r="227" ht="13.5" customHeight="1">
      <c r="A227" s="286"/>
      <c r="B227" s="286"/>
      <c r="C227" s="286"/>
      <c r="D227" s="286"/>
      <c r="E227" s="286"/>
      <c r="F227" s="287"/>
      <c r="G227" s="286"/>
      <c r="H227" s="287"/>
      <c r="I227" s="288"/>
      <c r="J227" s="289"/>
      <c r="K227" s="288"/>
      <c r="L227" s="289"/>
      <c r="M227" s="287"/>
      <c r="N227" s="286"/>
      <c r="O227" s="286"/>
      <c r="P227" s="291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</row>
    <row r="228" ht="13.5" customHeight="1">
      <c r="A228" s="286"/>
      <c r="B228" s="286"/>
      <c r="C228" s="286"/>
      <c r="D228" s="286"/>
      <c r="E228" s="286"/>
      <c r="F228" s="287"/>
      <c r="G228" s="286"/>
      <c r="H228" s="287"/>
      <c r="I228" s="288"/>
      <c r="J228" s="289"/>
      <c r="K228" s="288"/>
      <c r="L228" s="289"/>
      <c r="M228" s="287"/>
      <c r="N228" s="286"/>
      <c r="O228" s="286"/>
      <c r="P228" s="291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</row>
    <row r="229" ht="13.5" customHeight="1">
      <c r="A229" s="286"/>
      <c r="B229" s="286"/>
      <c r="C229" s="286"/>
      <c r="D229" s="286"/>
      <c r="E229" s="286"/>
      <c r="F229" s="287"/>
      <c r="G229" s="286"/>
      <c r="H229" s="287"/>
      <c r="I229" s="288"/>
      <c r="J229" s="289"/>
      <c r="K229" s="288"/>
      <c r="L229" s="289"/>
      <c r="M229" s="287"/>
      <c r="N229" s="286"/>
      <c r="O229" s="286"/>
      <c r="P229" s="291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</row>
    <row r="230" ht="13.5" customHeight="1">
      <c r="A230" s="286"/>
      <c r="B230" s="286"/>
      <c r="C230" s="286"/>
      <c r="D230" s="286"/>
      <c r="E230" s="286"/>
      <c r="F230" s="287"/>
      <c r="G230" s="286"/>
      <c r="H230" s="287"/>
      <c r="I230" s="288"/>
      <c r="J230" s="289"/>
      <c r="K230" s="288"/>
      <c r="L230" s="289"/>
      <c r="M230" s="287"/>
      <c r="N230" s="286"/>
      <c r="O230" s="286"/>
      <c r="P230" s="291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</row>
    <row r="231" ht="13.5" customHeight="1">
      <c r="A231" s="286"/>
      <c r="B231" s="286"/>
      <c r="C231" s="286"/>
      <c r="D231" s="286"/>
      <c r="E231" s="286"/>
      <c r="F231" s="287"/>
      <c r="G231" s="286"/>
      <c r="H231" s="287"/>
      <c r="I231" s="288"/>
      <c r="J231" s="289"/>
      <c r="K231" s="288"/>
      <c r="L231" s="289"/>
      <c r="M231" s="287"/>
      <c r="N231" s="286"/>
      <c r="O231" s="286"/>
      <c r="P231" s="291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</row>
    <row r="232" ht="13.5" customHeight="1">
      <c r="A232" s="286"/>
      <c r="B232" s="286"/>
      <c r="C232" s="286"/>
      <c r="D232" s="286"/>
      <c r="E232" s="286"/>
      <c r="F232" s="287"/>
      <c r="G232" s="286"/>
      <c r="H232" s="287"/>
      <c r="I232" s="288"/>
      <c r="J232" s="289"/>
      <c r="K232" s="288"/>
      <c r="L232" s="289"/>
      <c r="M232" s="287"/>
      <c r="N232" s="286"/>
      <c r="O232" s="286"/>
      <c r="P232" s="291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</row>
    <row r="233" ht="13.5" customHeight="1">
      <c r="A233" s="286"/>
      <c r="B233" s="286"/>
      <c r="C233" s="286"/>
      <c r="D233" s="286"/>
      <c r="E233" s="286"/>
      <c r="F233" s="287"/>
      <c r="G233" s="286"/>
      <c r="H233" s="287"/>
      <c r="I233" s="288"/>
      <c r="J233" s="289"/>
      <c r="K233" s="288"/>
      <c r="L233" s="289"/>
      <c r="M233" s="287"/>
      <c r="N233" s="286"/>
      <c r="O233" s="286"/>
      <c r="P233" s="291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</row>
    <row r="234" ht="13.5" customHeight="1">
      <c r="A234" s="286"/>
      <c r="B234" s="286"/>
      <c r="C234" s="286"/>
      <c r="D234" s="286"/>
      <c r="E234" s="286"/>
      <c r="F234" s="287"/>
      <c r="G234" s="286"/>
      <c r="H234" s="287"/>
      <c r="I234" s="288"/>
      <c r="J234" s="289"/>
      <c r="K234" s="288"/>
      <c r="L234" s="289"/>
      <c r="M234" s="287"/>
      <c r="N234" s="286"/>
      <c r="O234" s="286"/>
      <c r="P234" s="291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</row>
    <row r="235" ht="13.5" customHeight="1">
      <c r="A235" s="286"/>
      <c r="B235" s="286"/>
      <c r="C235" s="286"/>
      <c r="D235" s="286"/>
      <c r="E235" s="286"/>
      <c r="F235" s="287"/>
      <c r="G235" s="286"/>
      <c r="H235" s="287"/>
      <c r="I235" s="288"/>
      <c r="J235" s="289"/>
      <c r="K235" s="288"/>
      <c r="L235" s="289"/>
      <c r="M235" s="287"/>
      <c r="N235" s="286"/>
      <c r="O235" s="286"/>
      <c r="P235" s="291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</row>
    <row r="236" ht="13.5" customHeight="1">
      <c r="A236" s="286"/>
      <c r="B236" s="286"/>
      <c r="C236" s="286"/>
      <c r="D236" s="286"/>
      <c r="E236" s="286"/>
      <c r="F236" s="287"/>
      <c r="G236" s="286"/>
      <c r="H236" s="287"/>
      <c r="I236" s="288"/>
      <c r="J236" s="289"/>
      <c r="K236" s="288"/>
      <c r="L236" s="289"/>
      <c r="M236" s="287"/>
      <c r="N236" s="286"/>
      <c r="O236" s="286"/>
      <c r="P236" s="291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</row>
    <row r="237" ht="13.5" customHeight="1">
      <c r="A237" s="286"/>
      <c r="B237" s="286"/>
      <c r="C237" s="286"/>
      <c r="D237" s="286"/>
      <c r="E237" s="286"/>
      <c r="F237" s="287"/>
      <c r="G237" s="286"/>
      <c r="H237" s="287"/>
      <c r="I237" s="288"/>
      <c r="J237" s="289"/>
      <c r="K237" s="288"/>
      <c r="L237" s="289"/>
      <c r="M237" s="287"/>
      <c r="N237" s="286"/>
      <c r="O237" s="286"/>
      <c r="P237" s="291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</row>
    <row r="238" ht="13.5" customHeight="1">
      <c r="A238" s="286"/>
      <c r="B238" s="286"/>
      <c r="C238" s="286"/>
      <c r="D238" s="286"/>
      <c r="E238" s="286"/>
      <c r="F238" s="287"/>
      <c r="G238" s="286"/>
      <c r="H238" s="287"/>
      <c r="I238" s="288"/>
      <c r="J238" s="289"/>
      <c r="K238" s="288"/>
      <c r="L238" s="289"/>
      <c r="M238" s="287"/>
      <c r="N238" s="286"/>
      <c r="O238" s="286"/>
      <c r="P238" s="291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</row>
    <row r="239" ht="13.5" customHeight="1">
      <c r="A239" s="286"/>
      <c r="B239" s="286"/>
      <c r="C239" s="286"/>
      <c r="D239" s="286"/>
      <c r="E239" s="286"/>
      <c r="F239" s="287"/>
      <c r="G239" s="286"/>
      <c r="H239" s="287"/>
      <c r="I239" s="288"/>
      <c r="J239" s="289"/>
      <c r="K239" s="288"/>
      <c r="L239" s="289"/>
      <c r="M239" s="287"/>
      <c r="N239" s="286"/>
      <c r="O239" s="286"/>
      <c r="P239" s="291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</row>
    <row r="240" ht="13.5" customHeight="1">
      <c r="A240" s="286"/>
      <c r="B240" s="286"/>
      <c r="C240" s="286"/>
      <c r="D240" s="286"/>
      <c r="E240" s="286"/>
      <c r="F240" s="287"/>
      <c r="G240" s="286"/>
      <c r="H240" s="287"/>
      <c r="I240" s="288"/>
      <c r="J240" s="289"/>
      <c r="K240" s="288"/>
      <c r="L240" s="289"/>
      <c r="M240" s="287"/>
      <c r="N240" s="286"/>
      <c r="O240" s="286"/>
      <c r="P240" s="291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</row>
    <row r="241" ht="13.5" customHeight="1">
      <c r="A241" s="286"/>
      <c r="B241" s="286"/>
      <c r="C241" s="286"/>
      <c r="D241" s="286"/>
      <c r="E241" s="286"/>
      <c r="F241" s="287"/>
      <c r="G241" s="286"/>
      <c r="H241" s="287"/>
      <c r="I241" s="288"/>
      <c r="J241" s="289"/>
      <c r="K241" s="288"/>
      <c r="L241" s="289"/>
      <c r="M241" s="287"/>
      <c r="N241" s="286"/>
      <c r="O241" s="286"/>
      <c r="P241" s="291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</row>
    <row r="242" ht="13.5" customHeight="1">
      <c r="A242" s="286"/>
      <c r="B242" s="286"/>
      <c r="C242" s="286"/>
      <c r="D242" s="286"/>
      <c r="E242" s="286"/>
      <c r="F242" s="287"/>
      <c r="G242" s="286"/>
      <c r="H242" s="287"/>
      <c r="I242" s="288"/>
      <c r="J242" s="289"/>
      <c r="K242" s="288"/>
      <c r="L242" s="289"/>
      <c r="M242" s="287"/>
      <c r="N242" s="286"/>
      <c r="O242" s="286"/>
      <c r="P242" s="291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</row>
    <row r="243" ht="13.5" customHeight="1">
      <c r="A243" s="286"/>
      <c r="B243" s="286"/>
      <c r="C243" s="286"/>
      <c r="D243" s="286"/>
      <c r="E243" s="286"/>
      <c r="F243" s="287"/>
      <c r="G243" s="286"/>
      <c r="H243" s="287"/>
      <c r="I243" s="288"/>
      <c r="J243" s="289"/>
      <c r="K243" s="288"/>
      <c r="L243" s="289"/>
      <c r="M243" s="287"/>
      <c r="N243" s="286"/>
      <c r="O243" s="286"/>
      <c r="P243" s="291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</row>
    <row r="244" ht="13.5" customHeight="1">
      <c r="A244" s="286"/>
      <c r="B244" s="286"/>
      <c r="C244" s="286"/>
      <c r="D244" s="286"/>
      <c r="E244" s="286"/>
      <c r="F244" s="287"/>
      <c r="G244" s="286"/>
      <c r="H244" s="287"/>
      <c r="I244" s="288"/>
      <c r="J244" s="289"/>
      <c r="K244" s="288"/>
      <c r="L244" s="289"/>
      <c r="M244" s="287"/>
      <c r="N244" s="286"/>
      <c r="O244" s="286"/>
      <c r="P244" s="291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</row>
    <row r="245" ht="13.5" customHeight="1">
      <c r="A245" s="286"/>
      <c r="B245" s="286"/>
      <c r="C245" s="286"/>
      <c r="D245" s="286"/>
      <c r="E245" s="286"/>
      <c r="F245" s="287"/>
      <c r="G245" s="286"/>
      <c r="H245" s="287"/>
      <c r="I245" s="288"/>
      <c r="J245" s="289"/>
      <c r="K245" s="288"/>
      <c r="L245" s="289"/>
      <c r="M245" s="287"/>
      <c r="N245" s="286"/>
      <c r="O245" s="286"/>
      <c r="P245" s="291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</row>
    <row r="246" ht="13.5" customHeight="1">
      <c r="A246" s="286"/>
      <c r="B246" s="286"/>
      <c r="C246" s="286"/>
      <c r="D246" s="286"/>
      <c r="E246" s="286"/>
      <c r="F246" s="287"/>
      <c r="G246" s="286"/>
      <c r="H246" s="287"/>
      <c r="I246" s="288"/>
      <c r="J246" s="289"/>
      <c r="K246" s="288"/>
      <c r="L246" s="289"/>
      <c r="M246" s="287"/>
      <c r="N246" s="286"/>
      <c r="O246" s="286"/>
      <c r="P246" s="291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</row>
    <row r="247" ht="13.5" customHeight="1">
      <c r="A247" s="286"/>
      <c r="B247" s="286"/>
      <c r="C247" s="286"/>
      <c r="D247" s="286"/>
      <c r="E247" s="286"/>
      <c r="F247" s="287"/>
      <c r="G247" s="286"/>
      <c r="H247" s="287"/>
      <c r="I247" s="288"/>
      <c r="J247" s="289"/>
      <c r="K247" s="288"/>
      <c r="L247" s="289"/>
      <c r="M247" s="287"/>
      <c r="N247" s="286"/>
      <c r="O247" s="286"/>
      <c r="P247" s="291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</row>
    <row r="248" ht="13.5" customHeight="1">
      <c r="A248" s="286"/>
      <c r="B248" s="286"/>
      <c r="C248" s="286"/>
      <c r="D248" s="286"/>
      <c r="E248" s="286"/>
      <c r="F248" s="287"/>
      <c r="G248" s="286"/>
      <c r="H248" s="287"/>
      <c r="I248" s="288"/>
      <c r="J248" s="289"/>
      <c r="K248" s="288"/>
      <c r="L248" s="289"/>
      <c r="M248" s="287"/>
      <c r="N248" s="286"/>
      <c r="O248" s="286"/>
      <c r="P248" s="291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</row>
    <row r="249" ht="13.5" customHeight="1">
      <c r="A249" s="286"/>
      <c r="B249" s="286"/>
      <c r="C249" s="286"/>
      <c r="D249" s="286"/>
      <c r="E249" s="286"/>
      <c r="F249" s="287"/>
      <c r="G249" s="286"/>
      <c r="H249" s="287"/>
      <c r="I249" s="288"/>
      <c r="J249" s="289"/>
      <c r="K249" s="288"/>
      <c r="L249" s="289"/>
      <c r="M249" s="287"/>
      <c r="N249" s="286"/>
      <c r="O249" s="286"/>
      <c r="P249" s="291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</row>
    <row r="250" ht="13.5" customHeight="1">
      <c r="A250" s="286"/>
      <c r="B250" s="286"/>
      <c r="C250" s="286"/>
      <c r="D250" s="286"/>
      <c r="E250" s="286"/>
      <c r="F250" s="287"/>
      <c r="G250" s="286"/>
      <c r="H250" s="287"/>
      <c r="I250" s="288"/>
      <c r="J250" s="289"/>
      <c r="K250" s="288"/>
      <c r="L250" s="289"/>
      <c r="M250" s="287"/>
      <c r="N250" s="286"/>
      <c r="O250" s="286"/>
      <c r="P250" s="291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</row>
    <row r="251" ht="13.5" customHeight="1">
      <c r="A251" s="286"/>
      <c r="B251" s="286"/>
      <c r="C251" s="286"/>
      <c r="D251" s="286"/>
      <c r="E251" s="286"/>
      <c r="F251" s="287"/>
      <c r="G251" s="286"/>
      <c r="H251" s="287"/>
      <c r="I251" s="288"/>
      <c r="J251" s="289"/>
      <c r="K251" s="288"/>
      <c r="L251" s="289"/>
      <c r="M251" s="287"/>
      <c r="N251" s="286"/>
      <c r="O251" s="286"/>
      <c r="P251" s="291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</row>
    <row r="252" ht="13.5" customHeight="1">
      <c r="A252" s="286"/>
      <c r="B252" s="286"/>
      <c r="C252" s="286"/>
      <c r="D252" s="286"/>
      <c r="E252" s="286"/>
      <c r="F252" s="287"/>
      <c r="G252" s="286"/>
      <c r="H252" s="287"/>
      <c r="I252" s="288"/>
      <c r="J252" s="289"/>
      <c r="K252" s="288"/>
      <c r="L252" s="289"/>
      <c r="M252" s="287"/>
      <c r="N252" s="286"/>
      <c r="O252" s="286"/>
      <c r="P252" s="291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</row>
    <row r="253" ht="13.5" customHeight="1">
      <c r="A253" s="286"/>
      <c r="B253" s="286"/>
      <c r="C253" s="286"/>
      <c r="D253" s="286"/>
      <c r="E253" s="286"/>
      <c r="F253" s="287"/>
      <c r="G253" s="286"/>
      <c r="H253" s="287"/>
      <c r="I253" s="288"/>
      <c r="J253" s="289"/>
      <c r="K253" s="288"/>
      <c r="L253" s="289"/>
      <c r="M253" s="287"/>
      <c r="N253" s="286"/>
      <c r="O253" s="286"/>
      <c r="P253" s="291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</row>
    <row r="254" ht="13.5" customHeight="1">
      <c r="A254" s="286"/>
      <c r="B254" s="286"/>
      <c r="C254" s="286"/>
      <c r="D254" s="286"/>
      <c r="E254" s="286"/>
      <c r="F254" s="287"/>
      <c r="G254" s="286"/>
      <c r="H254" s="287"/>
      <c r="I254" s="288"/>
      <c r="J254" s="289"/>
      <c r="K254" s="288"/>
      <c r="L254" s="289"/>
      <c r="M254" s="287"/>
      <c r="N254" s="286"/>
      <c r="O254" s="286"/>
      <c r="P254" s="291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</row>
    <row r="255" ht="13.5" customHeight="1">
      <c r="A255" s="286"/>
      <c r="B255" s="286"/>
      <c r="C255" s="286"/>
      <c r="D255" s="286"/>
      <c r="E255" s="286"/>
      <c r="F255" s="287"/>
      <c r="G255" s="286"/>
      <c r="H255" s="287"/>
      <c r="I255" s="288"/>
      <c r="J255" s="289"/>
      <c r="K255" s="288"/>
      <c r="L255" s="289"/>
      <c r="M255" s="287"/>
      <c r="N255" s="286"/>
      <c r="O255" s="286"/>
      <c r="P255" s="291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</row>
    <row r="256" ht="13.5" customHeight="1">
      <c r="A256" s="286"/>
      <c r="B256" s="286"/>
      <c r="C256" s="286"/>
      <c r="D256" s="286"/>
      <c r="E256" s="286"/>
      <c r="F256" s="287"/>
      <c r="G256" s="286"/>
      <c r="H256" s="287"/>
      <c r="I256" s="288"/>
      <c r="J256" s="289"/>
      <c r="K256" s="288"/>
      <c r="L256" s="289"/>
      <c r="M256" s="287"/>
      <c r="N256" s="286"/>
      <c r="O256" s="286"/>
      <c r="P256" s="291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</row>
    <row r="257" ht="13.5" customHeight="1">
      <c r="A257" s="286"/>
      <c r="B257" s="286"/>
      <c r="C257" s="286"/>
      <c r="D257" s="286"/>
      <c r="E257" s="286"/>
      <c r="F257" s="287"/>
      <c r="G257" s="286"/>
      <c r="H257" s="287"/>
      <c r="I257" s="288"/>
      <c r="J257" s="289"/>
      <c r="K257" s="288"/>
      <c r="L257" s="289"/>
      <c r="M257" s="287"/>
      <c r="N257" s="286"/>
      <c r="O257" s="286"/>
      <c r="P257" s="291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</row>
    <row r="258" ht="13.5" customHeight="1">
      <c r="A258" s="286"/>
      <c r="B258" s="286"/>
      <c r="C258" s="286"/>
      <c r="D258" s="286"/>
      <c r="E258" s="286"/>
      <c r="F258" s="287"/>
      <c r="G258" s="286"/>
      <c r="H258" s="287"/>
      <c r="I258" s="288"/>
      <c r="J258" s="289"/>
      <c r="K258" s="288"/>
      <c r="L258" s="289"/>
      <c r="M258" s="287"/>
      <c r="N258" s="286"/>
      <c r="O258" s="286"/>
      <c r="P258" s="291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</row>
    <row r="259" ht="13.5" customHeight="1">
      <c r="A259" s="286"/>
      <c r="B259" s="286"/>
      <c r="C259" s="286"/>
      <c r="D259" s="286"/>
      <c r="E259" s="286"/>
      <c r="F259" s="287"/>
      <c r="G259" s="286"/>
      <c r="H259" s="287"/>
      <c r="I259" s="288"/>
      <c r="J259" s="289"/>
      <c r="K259" s="288"/>
      <c r="L259" s="289"/>
      <c r="M259" s="287"/>
      <c r="N259" s="286"/>
      <c r="O259" s="286"/>
      <c r="P259" s="291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</row>
    <row r="260" ht="13.5" customHeight="1">
      <c r="A260" s="286"/>
      <c r="B260" s="286"/>
      <c r="C260" s="286"/>
      <c r="D260" s="286"/>
      <c r="E260" s="286"/>
      <c r="F260" s="287"/>
      <c r="G260" s="286"/>
      <c r="H260" s="287"/>
      <c r="I260" s="288"/>
      <c r="J260" s="289"/>
      <c r="K260" s="288"/>
      <c r="L260" s="289"/>
      <c r="M260" s="287"/>
      <c r="N260" s="286"/>
      <c r="O260" s="286"/>
      <c r="P260" s="291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</row>
    <row r="261" ht="13.5" customHeight="1">
      <c r="A261" s="286"/>
      <c r="B261" s="286"/>
      <c r="C261" s="286"/>
      <c r="D261" s="286"/>
      <c r="E261" s="286"/>
      <c r="F261" s="287"/>
      <c r="G261" s="286"/>
      <c r="H261" s="287"/>
      <c r="I261" s="288"/>
      <c r="J261" s="289"/>
      <c r="K261" s="288"/>
      <c r="L261" s="289"/>
      <c r="M261" s="287"/>
      <c r="N261" s="286"/>
      <c r="O261" s="286"/>
      <c r="P261" s="291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</row>
    <row r="262" ht="13.5" customHeight="1">
      <c r="A262" s="286"/>
      <c r="B262" s="286"/>
      <c r="C262" s="286"/>
      <c r="D262" s="286"/>
      <c r="E262" s="286"/>
      <c r="F262" s="287"/>
      <c r="G262" s="286"/>
      <c r="H262" s="287"/>
      <c r="I262" s="288"/>
      <c r="J262" s="289"/>
      <c r="K262" s="288"/>
      <c r="L262" s="289"/>
      <c r="M262" s="287"/>
      <c r="N262" s="286"/>
      <c r="O262" s="286"/>
      <c r="P262" s="291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</row>
    <row r="263" ht="13.5" customHeight="1">
      <c r="A263" s="286"/>
      <c r="B263" s="286"/>
      <c r="C263" s="286"/>
      <c r="D263" s="286"/>
      <c r="E263" s="286"/>
      <c r="F263" s="287"/>
      <c r="G263" s="286"/>
      <c r="H263" s="287"/>
      <c r="I263" s="288"/>
      <c r="J263" s="289"/>
      <c r="K263" s="288"/>
      <c r="L263" s="289"/>
      <c r="M263" s="287"/>
      <c r="N263" s="286"/>
      <c r="O263" s="286"/>
      <c r="P263" s="291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</row>
    <row r="264" ht="13.5" customHeight="1">
      <c r="A264" s="286"/>
      <c r="B264" s="286"/>
      <c r="C264" s="286"/>
      <c r="D264" s="286"/>
      <c r="E264" s="286"/>
      <c r="F264" s="287"/>
      <c r="G264" s="286"/>
      <c r="H264" s="287"/>
      <c r="I264" s="288"/>
      <c r="J264" s="289"/>
      <c r="K264" s="288"/>
      <c r="L264" s="289"/>
      <c r="M264" s="287"/>
      <c r="N264" s="286"/>
      <c r="O264" s="286"/>
      <c r="P264" s="291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</row>
    <row r="265" ht="13.5" customHeight="1">
      <c r="A265" s="286"/>
      <c r="B265" s="286"/>
      <c r="C265" s="286"/>
      <c r="D265" s="286"/>
      <c r="E265" s="286"/>
      <c r="F265" s="287"/>
      <c r="G265" s="286"/>
      <c r="H265" s="287"/>
      <c r="I265" s="288"/>
      <c r="J265" s="289"/>
      <c r="K265" s="288"/>
      <c r="L265" s="289"/>
      <c r="M265" s="287"/>
      <c r="N265" s="286"/>
      <c r="O265" s="286"/>
      <c r="P265" s="291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</row>
    <row r="266" ht="13.5" customHeight="1">
      <c r="A266" s="286"/>
      <c r="B266" s="286"/>
      <c r="C266" s="286"/>
      <c r="D266" s="286"/>
      <c r="E266" s="286"/>
      <c r="F266" s="287"/>
      <c r="G266" s="286"/>
      <c r="H266" s="287"/>
      <c r="I266" s="288"/>
      <c r="J266" s="289"/>
      <c r="K266" s="288"/>
      <c r="L266" s="289"/>
      <c r="M266" s="287"/>
      <c r="N266" s="286"/>
      <c r="O266" s="286"/>
      <c r="P266" s="291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</row>
    <row r="267" ht="13.5" customHeight="1">
      <c r="A267" s="286"/>
      <c r="B267" s="286"/>
      <c r="C267" s="286"/>
      <c r="D267" s="286"/>
      <c r="E267" s="286"/>
      <c r="F267" s="287"/>
      <c r="G267" s="286"/>
      <c r="H267" s="287"/>
      <c r="I267" s="288"/>
      <c r="J267" s="289"/>
      <c r="K267" s="288"/>
      <c r="L267" s="289"/>
      <c r="M267" s="287"/>
      <c r="N267" s="286"/>
      <c r="O267" s="286"/>
      <c r="P267" s="291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</row>
    <row r="268" ht="13.5" customHeight="1">
      <c r="A268" s="286"/>
      <c r="B268" s="286"/>
      <c r="C268" s="286"/>
      <c r="D268" s="286"/>
      <c r="E268" s="286"/>
      <c r="F268" s="287"/>
      <c r="G268" s="286"/>
      <c r="H268" s="287"/>
      <c r="I268" s="288"/>
      <c r="J268" s="289"/>
      <c r="K268" s="288"/>
      <c r="L268" s="289"/>
      <c r="M268" s="287"/>
      <c r="N268" s="286"/>
      <c r="O268" s="286"/>
      <c r="P268" s="291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</row>
    <row r="269" ht="13.5" customHeight="1">
      <c r="A269" s="286"/>
      <c r="B269" s="286"/>
      <c r="C269" s="286"/>
      <c r="D269" s="286"/>
      <c r="E269" s="286"/>
      <c r="F269" s="287"/>
      <c r="G269" s="286"/>
      <c r="H269" s="287"/>
      <c r="I269" s="288"/>
      <c r="J269" s="289"/>
      <c r="K269" s="288"/>
      <c r="L269" s="289"/>
      <c r="M269" s="287"/>
      <c r="N269" s="286"/>
      <c r="O269" s="286"/>
      <c r="P269" s="291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</row>
    <row r="270" ht="13.5" customHeight="1">
      <c r="A270" s="286"/>
      <c r="B270" s="286"/>
      <c r="C270" s="286"/>
      <c r="D270" s="286"/>
      <c r="E270" s="286"/>
      <c r="F270" s="287"/>
      <c r="G270" s="286"/>
      <c r="H270" s="287"/>
      <c r="I270" s="288"/>
      <c r="J270" s="289"/>
      <c r="K270" s="288"/>
      <c r="L270" s="289"/>
      <c r="M270" s="287"/>
      <c r="N270" s="286"/>
      <c r="O270" s="286"/>
      <c r="P270" s="291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</row>
    <row r="271" ht="13.5" customHeight="1">
      <c r="A271" s="286"/>
      <c r="B271" s="286"/>
      <c r="C271" s="286"/>
      <c r="D271" s="286"/>
      <c r="E271" s="286"/>
      <c r="F271" s="287"/>
      <c r="G271" s="286"/>
      <c r="H271" s="287"/>
      <c r="I271" s="288"/>
      <c r="J271" s="289"/>
      <c r="K271" s="288"/>
      <c r="L271" s="289"/>
      <c r="M271" s="287"/>
      <c r="N271" s="286"/>
      <c r="O271" s="286"/>
      <c r="P271" s="291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</row>
    <row r="272" ht="13.5" customHeight="1">
      <c r="A272" s="286"/>
      <c r="B272" s="286"/>
      <c r="C272" s="286"/>
      <c r="D272" s="286"/>
      <c r="E272" s="286"/>
      <c r="F272" s="287"/>
      <c r="G272" s="286"/>
      <c r="H272" s="287"/>
      <c r="I272" s="288"/>
      <c r="J272" s="289"/>
      <c r="K272" s="288"/>
      <c r="L272" s="289"/>
      <c r="M272" s="287"/>
      <c r="N272" s="286"/>
      <c r="O272" s="286"/>
      <c r="P272" s="291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</row>
    <row r="273" ht="13.5" customHeight="1">
      <c r="A273" s="286"/>
      <c r="B273" s="286"/>
      <c r="C273" s="286"/>
      <c r="D273" s="286"/>
      <c r="E273" s="286"/>
      <c r="F273" s="287"/>
      <c r="G273" s="286"/>
      <c r="H273" s="287"/>
      <c r="I273" s="288"/>
      <c r="J273" s="289"/>
      <c r="K273" s="288"/>
      <c r="L273" s="289"/>
      <c r="M273" s="287"/>
      <c r="N273" s="286"/>
      <c r="O273" s="286"/>
      <c r="P273" s="291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</row>
    <row r="274" ht="13.5" customHeight="1">
      <c r="A274" s="286"/>
      <c r="B274" s="286"/>
      <c r="C274" s="286"/>
      <c r="D274" s="286"/>
      <c r="E274" s="286"/>
      <c r="F274" s="287"/>
      <c r="G274" s="286"/>
      <c r="H274" s="287"/>
      <c r="I274" s="288"/>
      <c r="J274" s="289"/>
      <c r="K274" s="288"/>
      <c r="L274" s="289"/>
      <c r="M274" s="287"/>
      <c r="N274" s="286"/>
      <c r="O274" s="286"/>
      <c r="P274" s="291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</row>
    <row r="275" ht="13.5" customHeight="1">
      <c r="A275" s="286"/>
      <c r="B275" s="286"/>
      <c r="C275" s="286"/>
      <c r="D275" s="286"/>
      <c r="E275" s="286"/>
      <c r="F275" s="287"/>
      <c r="G275" s="286"/>
      <c r="H275" s="287"/>
      <c r="I275" s="288"/>
      <c r="J275" s="289"/>
      <c r="K275" s="288"/>
      <c r="L275" s="289"/>
      <c r="M275" s="287"/>
      <c r="N275" s="286"/>
      <c r="O275" s="286"/>
      <c r="P275" s="291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</row>
    <row r="276" ht="13.5" customHeight="1">
      <c r="A276" s="286"/>
      <c r="B276" s="286"/>
      <c r="C276" s="286"/>
      <c r="D276" s="286"/>
      <c r="E276" s="286"/>
      <c r="F276" s="287"/>
      <c r="G276" s="286"/>
      <c r="H276" s="287"/>
      <c r="I276" s="288"/>
      <c r="J276" s="289"/>
      <c r="K276" s="288"/>
      <c r="L276" s="289"/>
      <c r="M276" s="287"/>
      <c r="N276" s="286"/>
      <c r="O276" s="286"/>
      <c r="P276" s="291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</row>
    <row r="277" ht="13.5" customHeight="1">
      <c r="A277" s="286"/>
      <c r="B277" s="286"/>
      <c r="C277" s="286"/>
      <c r="D277" s="286"/>
      <c r="E277" s="286"/>
      <c r="F277" s="287"/>
      <c r="G277" s="286"/>
      <c r="H277" s="287"/>
      <c r="I277" s="288"/>
      <c r="J277" s="289"/>
      <c r="K277" s="288"/>
      <c r="L277" s="289"/>
      <c r="M277" s="287"/>
      <c r="N277" s="286"/>
      <c r="O277" s="286"/>
      <c r="P277" s="291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</row>
    <row r="278" ht="13.5" customHeight="1">
      <c r="A278" s="286"/>
      <c r="B278" s="286"/>
      <c r="C278" s="286"/>
      <c r="D278" s="286"/>
      <c r="E278" s="286"/>
      <c r="F278" s="287"/>
      <c r="G278" s="286"/>
      <c r="H278" s="287"/>
      <c r="I278" s="288"/>
      <c r="J278" s="289"/>
      <c r="K278" s="288"/>
      <c r="L278" s="289"/>
      <c r="M278" s="287"/>
      <c r="N278" s="286"/>
      <c r="O278" s="286"/>
      <c r="P278" s="291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</row>
    <row r="279" ht="13.5" customHeight="1">
      <c r="A279" s="286"/>
      <c r="B279" s="286"/>
      <c r="C279" s="286"/>
      <c r="D279" s="286"/>
      <c r="E279" s="286"/>
      <c r="F279" s="287"/>
      <c r="G279" s="286"/>
      <c r="H279" s="287"/>
      <c r="I279" s="288"/>
      <c r="J279" s="289"/>
      <c r="K279" s="288"/>
      <c r="L279" s="289"/>
      <c r="M279" s="287"/>
      <c r="N279" s="286"/>
      <c r="O279" s="286"/>
      <c r="P279" s="291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</row>
    <row r="280" ht="13.5" customHeight="1">
      <c r="A280" s="286"/>
      <c r="B280" s="286"/>
      <c r="C280" s="286"/>
      <c r="D280" s="286"/>
      <c r="E280" s="286"/>
      <c r="F280" s="287"/>
      <c r="G280" s="286"/>
      <c r="H280" s="287"/>
      <c r="I280" s="288"/>
      <c r="J280" s="289"/>
      <c r="K280" s="288"/>
      <c r="L280" s="289"/>
      <c r="M280" s="287"/>
      <c r="N280" s="286"/>
      <c r="O280" s="286"/>
      <c r="P280" s="291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</row>
    <row r="281" ht="13.5" customHeight="1">
      <c r="A281" s="286"/>
      <c r="B281" s="286"/>
      <c r="C281" s="286"/>
      <c r="D281" s="286"/>
      <c r="E281" s="286"/>
      <c r="F281" s="287"/>
      <c r="G281" s="286"/>
      <c r="H281" s="287"/>
      <c r="I281" s="288"/>
      <c r="J281" s="289"/>
      <c r="K281" s="288"/>
      <c r="L281" s="289"/>
      <c r="M281" s="287"/>
      <c r="N281" s="286"/>
      <c r="O281" s="286"/>
      <c r="P281" s="291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</row>
    <row r="282" ht="13.5" customHeight="1">
      <c r="A282" s="286"/>
      <c r="B282" s="286"/>
      <c r="C282" s="286"/>
      <c r="D282" s="286"/>
      <c r="E282" s="286"/>
      <c r="F282" s="287"/>
      <c r="G282" s="286"/>
      <c r="H282" s="287"/>
      <c r="I282" s="288"/>
      <c r="J282" s="289"/>
      <c r="K282" s="288"/>
      <c r="L282" s="289"/>
      <c r="M282" s="287"/>
      <c r="N282" s="286"/>
      <c r="O282" s="286"/>
      <c r="P282" s="291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</row>
    <row r="283" ht="13.5" customHeight="1">
      <c r="A283" s="286"/>
      <c r="B283" s="286"/>
      <c r="C283" s="286"/>
      <c r="D283" s="286"/>
      <c r="E283" s="286"/>
      <c r="F283" s="287"/>
      <c r="G283" s="286"/>
      <c r="H283" s="287"/>
      <c r="I283" s="288"/>
      <c r="J283" s="289"/>
      <c r="K283" s="288"/>
      <c r="L283" s="289"/>
      <c r="M283" s="287"/>
      <c r="N283" s="286"/>
      <c r="O283" s="286"/>
      <c r="P283" s="291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</row>
    <row r="284" ht="13.5" customHeight="1">
      <c r="A284" s="286"/>
      <c r="B284" s="286"/>
      <c r="C284" s="286"/>
      <c r="D284" s="286"/>
      <c r="E284" s="286"/>
      <c r="F284" s="287"/>
      <c r="G284" s="286"/>
      <c r="H284" s="287"/>
      <c r="I284" s="288"/>
      <c r="J284" s="289"/>
      <c r="K284" s="288"/>
      <c r="L284" s="289"/>
      <c r="M284" s="287"/>
      <c r="N284" s="286"/>
      <c r="O284" s="286"/>
      <c r="P284" s="291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</row>
    <row r="285" ht="13.5" customHeight="1">
      <c r="A285" s="286"/>
      <c r="B285" s="286"/>
      <c r="C285" s="286"/>
      <c r="D285" s="286"/>
      <c r="E285" s="286"/>
      <c r="F285" s="287"/>
      <c r="G285" s="286"/>
      <c r="H285" s="287"/>
      <c r="I285" s="288"/>
      <c r="J285" s="289"/>
      <c r="K285" s="288"/>
      <c r="L285" s="289"/>
      <c r="M285" s="287"/>
      <c r="N285" s="286"/>
      <c r="O285" s="286"/>
      <c r="P285" s="291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</row>
    <row r="286" ht="13.5" customHeight="1">
      <c r="A286" s="286"/>
      <c r="B286" s="286"/>
      <c r="C286" s="286"/>
      <c r="D286" s="286"/>
      <c r="E286" s="286"/>
      <c r="F286" s="287"/>
      <c r="G286" s="286"/>
      <c r="H286" s="287"/>
      <c r="I286" s="288"/>
      <c r="J286" s="289"/>
      <c r="K286" s="288"/>
      <c r="L286" s="289"/>
      <c r="M286" s="287"/>
      <c r="N286" s="286"/>
      <c r="O286" s="286"/>
      <c r="P286" s="291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</row>
    <row r="287" ht="13.5" customHeight="1">
      <c r="A287" s="286"/>
      <c r="B287" s="286"/>
      <c r="C287" s="286"/>
      <c r="D287" s="286"/>
      <c r="E287" s="286"/>
      <c r="F287" s="287"/>
      <c r="G287" s="286"/>
      <c r="H287" s="287"/>
      <c r="I287" s="288"/>
      <c r="J287" s="289"/>
      <c r="K287" s="288"/>
      <c r="L287" s="289"/>
      <c r="M287" s="287"/>
      <c r="N287" s="286"/>
      <c r="O287" s="286"/>
      <c r="P287" s="291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</row>
    <row r="288" ht="13.5" customHeight="1">
      <c r="A288" s="286"/>
      <c r="B288" s="286"/>
      <c r="C288" s="286"/>
      <c r="D288" s="286"/>
      <c r="E288" s="286"/>
      <c r="F288" s="287"/>
      <c r="G288" s="286"/>
      <c r="H288" s="287"/>
      <c r="I288" s="288"/>
      <c r="J288" s="289"/>
      <c r="K288" s="288"/>
      <c r="L288" s="289"/>
      <c r="M288" s="287"/>
      <c r="N288" s="286"/>
      <c r="O288" s="286"/>
      <c r="P288" s="291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</row>
    <row r="289" ht="13.5" customHeight="1">
      <c r="A289" s="286"/>
      <c r="B289" s="286"/>
      <c r="C289" s="286"/>
      <c r="D289" s="286"/>
      <c r="E289" s="286"/>
      <c r="F289" s="287"/>
      <c r="G289" s="286"/>
      <c r="H289" s="287"/>
      <c r="I289" s="288"/>
      <c r="J289" s="289"/>
      <c r="K289" s="288"/>
      <c r="L289" s="289"/>
      <c r="M289" s="287"/>
      <c r="N289" s="286"/>
      <c r="O289" s="286"/>
      <c r="P289" s="291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</row>
    <row r="290" ht="13.5" customHeight="1">
      <c r="A290" s="286"/>
      <c r="B290" s="286"/>
      <c r="C290" s="286"/>
      <c r="D290" s="286"/>
      <c r="E290" s="286"/>
      <c r="F290" s="287"/>
      <c r="G290" s="286"/>
      <c r="H290" s="287"/>
      <c r="I290" s="288"/>
      <c r="J290" s="289"/>
      <c r="K290" s="288"/>
      <c r="L290" s="289"/>
      <c r="M290" s="287"/>
      <c r="N290" s="286"/>
      <c r="O290" s="286"/>
      <c r="P290" s="291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</row>
    <row r="291" ht="13.5" customHeight="1">
      <c r="A291" s="286"/>
      <c r="B291" s="286"/>
      <c r="C291" s="286"/>
      <c r="D291" s="286"/>
      <c r="E291" s="286"/>
      <c r="F291" s="287"/>
      <c r="G291" s="286"/>
      <c r="H291" s="287"/>
      <c r="I291" s="288"/>
      <c r="J291" s="289"/>
      <c r="K291" s="288"/>
      <c r="L291" s="289"/>
      <c r="M291" s="287"/>
      <c r="N291" s="286"/>
      <c r="O291" s="286"/>
      <c r="P291" s="291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</row>
    <row r="292" ht="13.5" customHeight="1">
      <c r="A292" s="286"/>
      <c r="B292" s="286"/>
      <c r="C292" s="286"/>
      <c r="D292" s="286"/>
      <c r="E292" s="286"/>
      <c r="F292" s="287"/>
      <c r="G292" s="286"/>
      <c r="H292" s="287"/>
      <c r="I292" s="288"/>
      <c r="J292" s="289"/>
      <c r="K292" s="288"/>
      <c r="L292" s="289"/>
      <c r="M292" s="287"/>
      <c r="N292" s="286"/>
      <c r="O292" s="286"/>
      <c r="P292" s="291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</row>
    <row r="293" ht="13.5" customHeight="1">
      <c r="A293" s="286"/>
      <c r="B293" s="286"/>
      <c r="C293" s="286"/>
      <c r="D293" s="286"/>
      <c r="E293" s="286"/>
      <c r="F293" s="287"/>
      <c r="G293" s="286"/>
      <c r="H293" s="287"/>
      <c r="I293" s="288"/>
      <c r="J293" s="289"/>
      <c r="K293" s="288"/>
      <c r="L293" s="289"/>
      <c r="M293" s="287"/>
      <c r="N293" s="286"/>
      <c r="O293" s="286"/>
      <c r="P293" s="291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</row>
    <row r="294" ht="13.5" customHeight="1">
      <c r="A294" s="286"/>
      <c r="B294" s="286"/>
      <c r="C294" s="286"/>
      <c r="D294" s="286"/>
      <c r="E294" s="286"/>
      <c r="F294" s="287"/>
      <c r="G294" s="286"/>
      <c r="H294" s="287"/>
      <c r="I294" s="288"/>
      <c r="J294" s="289"/>
      <c r="K294" s="288"/>
      <c r="L294" s="289"/>
      <c r="M294" s="287"/>
      <c r="N294" s="286"/>
      <c r="O294" s="286"/>
      <c r="P294" s="291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</row>
    <row r="295" ht="13.5" customHeight="1">
      <c r="A295" s="286"/>
      <c r="B295" s="286"/>
      <c r="C295" s="286"/>
      <c r="D295" s="286"/>
      <c r="E295" s="286"/>
      <c r="F295" s="287"/>
      <c r="G295" s="286"/>
      <c r="H295" s="287"/>
      <c r="I295" s="288"/>
      <c r="J295" s="289"/>
      <c r="K295" s="288"/>
      <c r="L295" s="289"/>
      <c r="M295" s="287"/>
      <c r="N295" s="286"/>
      <c r="O295" s="286"/>
      <c r="P295" s="291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</row>
    <row r="296" ht="13.5" customHeight="1">
      <c r="A296" s="286"/>
      <c r="B296" s="286"/>
      <c r="C296" s="286"/>
      <c r="D296" s="286"/>
      <c r="E296" s="286"/>
      <c r="F296" s="287"/>
      <c r="G296" s="286"/>
      <c r="H296" s="287"/>
      <c r="I296" s="288"/>
      <c r="J296" s="289"/>
      <c r="K296" s="288"/>
      <c r="L296" s="289"/>
      <c r="M296" s="287"/>
      <c r="N296" s="286"/>
      <c r="O296" s="286"/>
      <c r="P296" s="291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</row>
    <row r="297" ht="13.5" customHeight="1">
      <c r="A297" s="286"/>
      <c r="B297" s="286"/>
      <c r="C297" s="286"/>
      <c r="D297" s="286"/>
      <c r="E297" s="286"/>
      <c r="F297" s="287"/>
      <c r="G297" s="286"/>
      <c r="H297" s="287"/>
      <c r="I297" s="288"/>
      <c r="J297" s="289"/>
      <c r="K297" s="288"/>
      <c r="L297" s="289"/>
      <c r="M297" s="287"/>
      <c r="N297" s="286"/>
      <c r="O297" s="286"/>
      <c r="P297" s="291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</row>
    <row r="298" ht="13.5" customHeight="1">
      <c r="A298" s="286"/>
      <c r="B298" s="286"/>
      <c r="C298" s="286"/>
      <c r="D298" s="286"/>
      <c r="E298" s="286"/>
      <c r="F298" s="287"/>
      <c r="G298" s="286"/>
      <c r="H298" s="287"/>
      <c r="I298" s="288"/>
      <c r="J298" s="289"/>
      <c r="K298" s="288"/>
      <c r="L298" s="289"/>
      <c r="M298" s="287"/>
      <c r="N298" s="286"/>
      <c r="O298" s="286"/>
      <c r="P298" s="291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</row>
    <row r="299" ht="13.5" customHeight="1">
      <c r="A299" s="286"/>
      <c r="B299" s="286"/>
      <c r="C299" s="286"/>
      <c r="D299" s="286"/>
      <c r="E299" s="286"/>
      <c r="F299" s="287"/>
      <c r="G299" s="286"/>
      <c r="H299" s="287"/>
      <c r="I299" s="288"/>
      <c r="J299" s="289"/>
      <c r="K299" s="288"/>
      <c r="L299" s="289"/>
      <c r="M299" s="287"/>
      <c r="N299" s="286"/>
      <c r="O299" s="286"/>
      <c r="P299" s="291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</row>
    <row r="300" ht="13.5" customHeight="1">
      <c r="A300" s="286"/>
      <c r="B300" s="286"/>
      <c r="C300" s="286"/>
      <c r="D300" s="286"/>
      <c r="E300" s="286"/>
      <c r="F300" s="287"/>
      <c r="G300" s="286"/>
      <c r="H300" s="287"/>
      <c r="I300" s="288"/>
      <c r="J300" s="289"/>
      <c r="K300" s="288"/>
      <c r="L300" s="289"/>
      <c r="M300" s="287"/>
      <c r="N300" s="286"/>
      <c r="O300" s="286"/>
      <c r="P300" s="291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</row>
    <row r="301" ht="13.5" customHeight="1">
      <c r="A301" s="286"/>
      <c r="B301" s="286"/>
      <c r="C301" s="286"/>
      <c r="D301" s="286"/>
      <c r="E301" s="286"/>
      <c r="F301" s="287"/>
      <c r="G301" s="286"/>
      <c r="H301" s="287"/>
      <c r="I301" s="288"/>
      <c r="J301" s="289"/>
      <c r="K301" s="288"/>
      <c r="L301" s="289"/>
      <c r="M301" s="287"/>
      <c r="N301" s="286"/>
      <c r="O301" s="286"/>
      <c r="P301" s="291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</row>
    <row r="302" ht="13.5" customHeight="1">
      <c r="A302" s="286"/>
      <c r="B302" s="286"/>
      <c r="C302" s="286"/>
      <c r="D302" s="286"/>
      <c r="E302" s="286"/>
      <c r="F302" s="287"/>
      <c r="G302" s="286"/>
      <c r="H302" s="287"/>
      <c r="I302" s="288"/>
      <c r="J302" s="289"/>
      <c r="K302" s="288"/>
      <c r="L302" s="289"/>
      <c r="M302" s="287"/>
      <c r="N302" s="286"/>
      <c r="O302" s="286"/>
      <c r="P302" s="291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</row>
    <row r="303" ht="13.5" customHeight="1">
      <c r="A303" s="286"/>
      <c r="B303" s="286"/>
      <c r="C303" s="286"/>
      <c r="D303" s="286"/>
      <c r="E303" s="286"/>
      <c r="F303" s="287"/>
      <c r="G303" s="286"/>
      <c r="H303" s="287"/>
      <c r="I303" s="288"/>
      <c r="J303" s="289"/>
      <c r="K303" s="288"/>
      <c r="L303" s="289"/>
      <c r="M303" s="287"/>
      <c r="N303" s="286"/>
      <c r="O303" s="286"/>
      <c r="P303" s="291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</row>
    <row r="304" ht="13.5" customHeight="1">
      <c r="A304" s="286"/>
      <c r="B304" s="286"/>
      <c r="C304" s="286"/>
      <c r="D304" s="286"/>
      <c r="E304" s="286"/>
      <c r="F304" s="287"/>
      <c r="G304" s="286"/>
      <c r="H304" s="287"/>
      <c r="I304" s="288"/>
      <c r="J304" s="289"/>
      <c r="K304" s="288"/>
      <c r="L304" s="289"/>
      <c r="M304" s="287"/>
      <c r="N304" s="286"/>
      <c r="O304" s="286"/>
      <c r="P304" s="291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</row>
    <row r="305" ht="13.5" customHeight="1">
      <c r="A305" s="286"/>
      <c r="B305" s="286"/>
      <c r="C305" s="286"/>
      <c r="D305" s="286"/>
      <c r="E305" s="286"/>
      <c r="F305" s="287"/>
      <c r="G305" s="286"/>
      <c r="H305" s="287"/>
      <c r="I305" s="288"/>
      <c r="J305" s="289"/>
      <c r="K305" s="288"/>
      <c r="L305" s="289"/>
      <c r="M305" s="287"/>
      <c r="N305" s="286"/>
      <c r="O305" s="286"/>
      <c r="P305" s="291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</row>
    <row r="306" ht="13.5" customHeight="1">
      <c r="A306" s="286"/>
      <c r="B306" s="286"/>
      <c r="C306" s="286"/>
      <c r="D306" s="286"/>
      <c r="E306" s="286"/>
      <c r="F306" s="287"/>
      <c r="G306" s="286"/>
      <c r="H306" s="287"/>
      <c r="I306" s="288"/>
      <c r="J306" s="289"/>
      <c r="K306" s="288"/>
      <c r="L306" s="289"/>
      <c r="M306" s="287"/>
      <c r="N306" s="286"/>
      <c r="O306" s="286"/>
      <c r="P306" s="291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</row>
    <row r="307" ht="13.5" customHeight="1">
      <c r="A307" s="286"/>
      <c r="B307" s="286"/>
      <c r="C307" s="286"/>
      <c r="D307" s="286"/>
      <c r="E307" s="286"/>
      <c r="F307" s="287"/>
      <c r="G307" s="286"/>
      <c r="H307" s="287"/>
      <c r="I307" s="288"/>
      <c r="J307" s="289"/>
      <c r="K307" s="288"/>
      <c r="L307" s="289"/>
      <c r="M307" s="287"/>
      <c r="N307" s="286"/>
      <c r="O307" s="286"/>
      <c r="P307" s="291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</row>
    <row r="308" ht="13.5" customHeight="1">
      <c r="A308" s="286"/>
      <c r="B308" s="286"/>
      <c r="C308" s="286"/>
      <c r="D308" s="286"/>
      <c r="E308" s="286"/>
      <c r="F308" s="287"/>
      <c r="G308" s="286"/>
      <c r="H308" s="287"/>
      <c r="I308" s="288"/>
      <c r="J308" s="289"/>
      <c r="K308" s="288"/>
      <c r="L308" s="289"/>
      <c r="M308" s="287"/>
      <c r="N308" s="286"/>
      <c r="O308" s="286"/>
      <c r="P308" s="291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</row>
    <row r="309" ht="13.5" customHeight="1">
      <c r="A309" s="286"/>
      <c r="B309" s="286"/>
      <c r="C309" s="286"/>
      <c r="D309" s="286"/>
      <c r="E309" s="286"/>
      <c r="F309" s="287"/>
      <c r="G309" s="286"/>
      <c r="H309" s="287"/>
      <c r="I309" s="288"/>
      <c r="J309" s="289"/>
      <c r="K309" s="288"/>
      <c r="L309" s="289"/>
      <c r="M309" s="287"/>
      <c r="N309" s="286"/>
      <c r="O309" s="286"/>
      <c r="P309" s="291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</row>
    <row r="310" ht="13.5" customHeight="1">
      <c r="A310" s="286"/>
      <c r="B310" s="286"/>
      <c r="C310" s="286"/>
      <c r="D310" s="286"/>
      <c r="E310" s="286"/>
      <c r="F310" s="287"/>
      <c r="G310" s="286"/>
      <c r="H310" s="287"/>
      <c r="I310" s="288"/>
      <c r="J310" s="289"/>
      <c r="K310" s="288"/>
      <c r="L310" s="289"/>
      <c r="M310" s="287"/>
      <c r="N310" s="286"/>
      <c r="O310" s="286"/>
      <c r="P310" s="291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</row>
    <row r="311" ht="13.5" customHeight="1">
      <c r="A311" s="286"/>
      <c r="B311" s="286"/>
      <c r="C311" s="286"/>
      <c r="D311" s="286"/>
      <c r="E311" s="286"/>
      <c r="F311" s="287"/>
      <c r="G311" s="286"/>
      <c r="H311" s="287"/>
      <c r="I311" s="288"/>
      <c r="J311" s="289"/>
      <c r="K311" s="288"/>
      <c r="L311" s="289"/>
      <c r="M311" s="287"/>
      <c r="N311" s="286"/>
      <c r="O311" s="286"/>
      <c r="P311" s="291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</row>
    <row r="312" ht="13.5" customHeight="1">
      <c r="A312" s="286"/>
      <c r="B312" s="286"/>
      <c r="C312" s="286"/>
      <c r="D312" s="286"/>
      <c r="E312" s="286"/>
      <c r="F312" s="287"/>
      <c r="G312" s="286"/>
      <c r="H312" s="287"/>
      <c r="I312" s="288"/>
      <c r="J312" s="289"/>
      <c r="K312" s="288"/>
      <c r="L312" s="289"/>
      <c r="M312" s="287"/>
      <c r="N312" s="286"/>
      <c r="O312" s="286"/>
      <c r="P312" s="291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</row>
    <row r="313" ht="13.5" customHeight="1">
      <c r="A313" s="286"/>
      <c r="B313" s="286"/>
      <c r="C313" s="286"/>
      <c r="D313" s="286"/>
      <c r="E313" s="286"/>
      <c r="F313" s="287"/>
      <c r="G313" s="286"/>
      <c r="H313" s="287"/>
      <c r="I313" s="288"/>
      <c r="J313" s="289"/>
      <c r="K313" s="288"/>
      <c r="L313" s="289"/>
      <c r="M313" s="287"/>
      <c r="N313" s="286"/>
      <c r="O313" s="286"/>
      <c r="P313" s="291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</row>
    <row r="314" ht="13.5" customHeight="1">
      <c r="A314" s="286"/>
      <c r="B314" s="286"/>
      <c r="C314" s="286"/>
      <c r="D314" s="286"/>
      <c r="E314" s="286"/>
      <c r="F314" s="287"/>
      <c r="G314" s="286"/>
      <c r="H314" s="287"/>
      <c r="I314" s="288"/>
      <c r="J314" s="289"/>
      <c r="K314" s="288"/>
      <c r="L314" s="289"/>
      <c r="M314" s="287"/>
      <c r="N314" s="286"/>
      <c r="O314" s="286"/>
      <c r="P314" s="291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</row>
    <row r="315" ht="13.5" customHeight="1">
      <c r="A315" s="286"/>
      <c r="B315" s="286"/>
      <c r="C315" s="286"/>
      <c r="D315" s="286"/>
      <c r="E315" s="286"/>
      <c r="F315" s="287"/>
      <c r="G315" s="286"/>
      <c r="H315" s="287"/>
      <c r="I315" s="288"/>
      <c r="J315" s="289"/>
      <c r="K315" s="288"/>
      <c r="L315" s="289"/>
      <c r="M315" s="287"/>
      <c r="N315" s="286"/>
      <c r="O315" s="286"/>
      <c r="P315" s="291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</row>
    <row r="316" ht="13.5" customHeight="1">
      <c r="A316" s="286"/>
      <c r="B316" s="286"/>
      <c r="C316" s="286"/>
      <c r="D316" s="286"/>
      <c r="E316" s="286"/>
      <c r="F316" s="287"/>
      <c r="G316" s="286"/>
      <c r="H316" s="287"/>
      <c r="I316" s="288"/>
      <c r="J316" s="289"/>
      <c r="K316" s="288"/>
      <c r="L316" s="289"/>
      <c r="M316" s="287"/>
      <c r="N316" s="286"/>
      <c r="O316" s="286"/>
      <c r="P316" s="291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</row>
    <row r="317" ht="13.5" customHeight="1">
      <c r="A317" s="286"/>
      <c r="B317" s="286"/>
      <c r="C317" s="286"/>
      <c r="D317" s="286"/>
      <c r="E317" s="286"/>
      <c r="F317" s="287"/>
      <c r="G317" s="286"/>
      <c r="H317" s="287"/>
      <c r="I317" s="288"/>
      <c r="J317" s="289"/>
      <c r="K317" s="288"/>
      <c r="L317" s="289"/>
      <c r="M317" s="287"/>
      <c r="N317" s="286"/>
      <c r="O317" s="286"/>
      <c r="P317" s="291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</row>
    <row r="318" ht="13.5" customHeight="1">
      <c r="A318" s="286"/>
      <c r="B318" s="286"/>
      <c r="C318" s="286"/>
      <c r="D318" s="286"/>
      <c r="E318" s="286"/>
      <c r="F318" s="287"/>
      <c r="G318" s="286"/>
      <c r="H318" s="287"/>
      <c r="I318" s="288"/>
      <c r="J318" s="289"/>
      <c r="K318" s="288"/>
      <c r="L318" s="289"/>
      <c r="M318" s="287"/>
      <c r="N318" s="286"/>
      <c r="O318" s="286"/>
      <c r="P318" s="291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</row>
    <row r="319" ht="13.5" customHeight="1">
      <c r="A319" s="286"/>
      <c r="B319" s="286"/>
      <c r="C319" s="286"/>
      <c r="D319" s="286"/>
      <c r="E319" s="286"/>
      <c r="F319" s="287"/>
      <c r="G319" s="286"/>
      <c r="H319" s="287"/>
      <c r="I319" s="288"/>
      <c r="J319" s="289"/>
      <c r="K319" s="288"/>
      <c r="L319" s="289"/>
      <c r="M319" s="287"/>
      <c r="N319" s="286"/>
      <c r="O319" s="286"/>
      <c r="P319" s="291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</row>
    <row r="320" ht="13.5" customHeight="1">
      <c r="A320" s="286"/>
      <c r="B320" s="286"/>
      <c r="C320" s="286"/>
      <c r="D320" s="286"/>
      <c r="E320" s="286"/>
      <c r="F320" s="287"/>
      <c r="G320" s="286"/>
      <c r="H320" s="287"/>
      <c r="I320" s="288"/>
      <c r="J320" s="289"/>
      <c r="K320" s="288"/>
      <c r="L320" s="289"/>
      <c r="M320" s="287"/>
      <c r="N320" s="286"/>
      <c r="O320" s="286"/>
      <c r="P320" s="291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</row>
    <row r="321" ht="13.5" customHeight="1">
      <c r="A321" s="286"/>
      <c r="B321" s="286"/>
      <c r="C321" s="286"/>
      <c r="D321" s="286"/>
      <c r="E321" s="286"/>
      <c r="F321" s="287"/>
      <c r="G321" s="286"/>
      <c r="H321" s="287"/>
      <c r="I321" s="288"/>
      <c r="J321" s="289"/>
      <c r="K321" s="288"/>
      <c r="L321" s="289"/>
      <c r="M321" s="287"/>
      <c r="N321" s="286"/>
      <c r="O321" s="286"/>
      <c r="P321" s="291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</row>
    <row r="322" ht="13.5" customHeight="1">
      <c r="A322" s="286"/>
      <c r="B322" s="286"/>
      <c r="C322" s="286"/>
      <c r="D322" s="286"/>
      <c r="E322" s="286"/>
      <c r="F322" s="287"/>
      <c r="G322" s="286"/>
      <c r="H322" s="287"/>
      <c r="I322" s="288"/>
      <c r="J322" s="289"/>
      <c r="K322" s="288"/>
      <c r="L322" s="289"/>
      <c r="M322" s="287"/>
      <c r="N322" s="286"/>
      <c r="O322" s="286"/>
      <c r="P322" s="291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</row>
    <row r="323" ht="13.5" customHeight="1">
      <c r="A323" s="286"/>
      <c r="B323" s="286"/>
      <c r="C323" s="286"/>
      <c r="D323" s="286"/>
      <c r="E323" s="286"/>
      <c r="F323" s="287"/>
      <c r="G323" s="286"/>
      <c r="H323" s="287"/>
      <c r="I323" s="288"/>
      <c r="J323" s="289"/>
      <c r="K323" s="288"/>
      <c r="L323" s="289"/>
      <c r="M323" s="287"/>
      <c r="N323" s="286"/>
      <c r="O323" s="286"/>
      <c r="P323" s="291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</row>
    <row r="324" ht="13.5" customHeight="1">
      <c r="A324" s="286"/>
      <c r="B324" s="286"/>
      <c r="C324" s="286"/>
      <c r="D324" s="286"/>
      <c r="E324" s="286"/>
      <c r="F324" s="287"/>
      <c r="G324" s="286"/>
      <c r="H324" s="287"/>
      <c r="I324" s="288"/>
      <c r="J324" s="289"/>
      <c r="K324" s="288"/>
      <c r="L324" s="289"/>
      <c r="M324" s="287"/>
      <c r="N324" s="286"/>
      <c r="O324" s="286"/>
      <c r="P324" s="291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</row>
    <row r="325" ht="13.5" customHeight="1">
      <c r="A325" s="286"/>
      <c r="B325" s="286"/>
      <c r="C325" s="286"/>
      <c r="D325" s="286"/>
      <c r="E325" s="286"/>
      <c r="F325" s="287"/>
      <c r="G325" s="286"/>
      <c r="H325" s="287"/>
      <c r="I325" s="288"/>
      <c r="J325" s="289"/>
      <c r="K325" s="288"/>
      <c r="L325" s="289"/>
      <c r="M325" s="287"/>
      <c r="N325" s="286"/>
      <c r="O325" s="286"/>
      <c r="P325" s="291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</row>
    <row r="326" ht="13.5" customHeight="1">
      <c r="A326" s="286"/>
      <c r="B326" s="286"/>
      <c r="C326" s="286"/>
      <c r="D326" s="286"/>
      <c r="E326" s="286"/>
      <c r="F326" s="287"/>
      <c r="G326" s="286"/>
      <c r="H326" s="287"/>
      <c r="I326" s="288"/>
      <c r="J326" s="289"/>
      <c r="K326" s="288"/>
      <c r="L326" s="289"/>
      <c r="M326" s="287"/>
      <c r="N326" s="286"/>
      <c r="O326" s="286"/>
      <c r="P326" s="291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</row>
    <row r="327" ht="13.5" customHeight="1">
      <c r="A327" s="286"/>
      <c r="B327" s="286"/>
      <c r="C327" s="286"/>
      <c r="D327" s="286"/>
      <c r="E327" s="286"/>
      <c r="F327" s="287"/>
      <c r="G327" s="286"/>
      <c r="H327" s="287"/>
      <c r="I327" s="288"/>
      <c r="J327" s="289"/>
      <c r="K327" s="288"/>
      <c r="L327" s="289"/>
      <c r="M327" s="287"/>
      <c r="N327" s="286"/>
      <c r="O327" s="286"/>
      <c r="P327" s="291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</row>
    <row r="328" ht="13.5" customHeight="1">
      <c r="A328" s="286"/>
      <c r="B328" s="286"/>
      <c r="C328" s="286"/>
      <c r="D328" s="286"/>
      <c r="E328" s="286"/>
      <c r="F328" s="287"/>
      <c r="G328" s="286"/>
      <c r="H328" s="287"/>
      <c r="I328" s="288"/>
      <c r="J328" s="289"/>
      <c r="K328" s="288"/>
      <c r="L328" s="289"/>
      <c r="M328" s="287"/>
      <c r="N328" s="286"/>
      <c r="O328" s="286"/>
      <c r="P328" s="291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</row>
    <row r="329" ht="13.5" customHeight="1">
      <c r="A329" s="286"/>
      <c r="B329" s="286"/>
      <c r="C329" s="286"/>
      <c r="D329" s="286"/>
      <c r="E329" s="286"/>
      <c r="F329" s="287"/>
      <c r="G329" s="286"/>
      <c r="H329" s="287"/>
      <c r="I329" s="288"/>
      <c r="J329" s="289"/>
      <c r="K329" s="288"/>
      <c r="L329" s="289"/>
      <c r="M329" s="287"/>
      <c r="N329" s="286"/>
      <c r="O329" s="286"/>
      <c r="P329" s="291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</row>
    <row r="330" ht="13.5" customHeight="1">
      <c r="A330" s="286"/>
      <c r="B330" s="286"/>
      <c r="C330" s="286"/>
      <c r="D330" s="286"/>
      <c r="E330" s="286"/>
      <c r="F330" s="287"/>
      <c r="G330" s="286"/>
      <c r="H330" s="287"/>
      <c r="I330" s="288"/>
      <c r="J330" s="289"/>
      <c r="K330" s="288"/>
      <c r="L330" s="289"/>
      <c r="M330" s="287"/>
      <c r="N330" s="286"/>
      <c r="O330" s="286"/>
      <c r="P330" s="291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</row>
    <row r="331" ht="13.5" customHeight="1">
      <c r="A331" s="286"/>
      <c r="B331" s="286"/>
      <c r="C331" s="286"/>
      <c r="D331" s="286"/>
      <c r="E331" s="286"/>
      <c r="F331" s="287"/>
      <c r="G331" s="286"/>
      <c r="H331" s="287"/>
      <c r="I331" s="288"/>
      <c r="J331" s="289"/>
      <c r="K331" s="288"/>
      <c r="L331" s="289"/>
      <c r="M331" s="287"/>
      <c r="N331" s="286"/>
      <c r="O331" s="286"/>
      <c r="P331" s="291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</row>
    <row r="332" ht="13.5" customHeight="1">
      <c r="A332" s="286"/>
      <c r="B332" s="286"/>
      <c r="C332" s="286"/>
      <c r="D332" s="286"/>
      <c r="E332" s="286"/>
      <c r="F332" s="287"/>
      <c r="G332" s="286"/>
      <c r="H332" s="287"/>
      <c r="I332" s="288"/>
      <c r="J332" s="289"/>
      <c r="K332" s="288"/>
      <c r="L332" s="289"/>
      <c r="M332" s="287"/>
      <c r="N332" s="286"/>
      <c r="O332" s="286"/>
      <c r="P332" s="291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</row>
    <row r="333" ht="13.5" customHeight="1">
      <c r="A333" s="286"/>
      <c r="B333" s="286"/>
      <c r="C333" s="286"/>
      <c r="D333" s="286"/>
      <c r="E333" s="286"/>
      <c r="F333" s="287"/>
      <c r="G333" s="286"/>
      <c r="H333" s="287"/>
      <c r="I333" s="288"/>
      <c r="J333" s="289"/>
      <c r="K333" s="288"/>
      <c r="L333" s="289"/>
      <c r="M333" s="287"/>
      <c r="N333" s="286"/>
      <c r="O333" s="286"/>
      <c r="P333" s="291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</row>
    <row r="334" ht="13.5" customHeight="1">
      <c r="A334" s="286"/>
      <c r="B334" s="286"/>
      <c r="C334" s="286"/>
      <c r="D334" s="286"/>
      <c r="E334" s="286"/>
      <c r="F334" s="287"/>
      <c r="G334" s="286"/>
      <c r="H334" s="287"/>
      <c r="I334" s="288"/>
      <c r="J334" s="289"/>
      <c r="K334" s="288"/>
      <c r="L334" s="289"/>
      <c r="M334" s="287"/>
      <c r="N334" s="286"/>
      <c r="O334" s="286"/>
      <c r="P334" s="291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</row>
    <row r="335" ht="13.5" customHeight="1">
      <c r="A335" s="286"/>
      <c r="B335" s="286"/>
      <c r="C335" s="286"/>
      <c r="D335" s="286"/>
      <c r="E335" s="286"/>
      <c r="F335" s="287"/>
      <c r="G335" s="286"/>
      <c r="H335" s="287"/>
      <c r="I335" s="288"/>
      <c r="J335" s="289"/>
      <c r="K335" s="288"/>
      <c r="L335" s="289"/>
      <c r="M335" s="287"/>
      <c r="N335" s="286"/>
      <c r="O335" s="286"/>
      <c r="P335" s="291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</row>
    <row r="336" ht="13.5" customHeight="1">
      <c r="A336" s="286"/>
      <c r="B336" s="286"/>
      <c r="C336" s="286"/>
      <c r="D336" s="286"/>
      <c r="E336" s="286"/>
      <c r="F336" s="287"/>
      <c r="G336" s="286"/>
      <c r="H336" s="287"/>
      <c r="I336" s="288"/>
      <c r="J336" s="289"/>
      <c r="K336" s="288"/>
      <c r="L336" s="289"/>
      <c r="M336" s="287"/>
      <c r="N336" s="286"/>
      <c r="O336" s="286"/>
      <c r="P336" s="291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</row>
    <row r="337" ht="13.5" customHeight="1">
      <c r="A337" s="286"/>
      <c r="B337" s="286"/>
      <c r="C337" s="286"/>
      <c r="D337" s="286"/>
      <c r="E337" s="286"/>
      <c r="F337" s="287"/>
      <c r="G337" s="286"/>
      <c r="H337" s="287"/>
      <c r="I337" s="288"/>
      <c r="J337" s="289"/>
      <c r="K337" s="288"/>
      <c r="L337" s="289"/>
      <c r="M337" s="287"/>
      <c r="N337" s="286"/>
      <c r="O337" s="286"/>
      <c r="P337" s="291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</row>
    <row r="338" ht="13.5" customHeight="1">
      <c r="A338" s="286"/>
      <c r="B338" s="286"/>
      <c r="C338" s="286"/>
      <c r="D338" s="286"/>
      <c r="E338" s="286"/>
      <c r="F338" s="287"/>
      <c r="G338" s="286"/>
      <c r="H338" s="287"/>
      <c r="I338" s="288"/>
      <c r="J338" s="289"/>
      <c r="K338" s="288"/>
      <c r="L338" s="289"/>
      <c r="M338" s="287"/>
      <c r="N338" s="286"/>
      <c r="O338" s="286"/>
      <c r="P338" s="291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</row>
    <row r="339" ht="13.5" customHeight="1">
      <c r="A339" s="286"/>
      <c r="B339" s="286"/>
      <c r="C339" s="286"/>
      <c r="D339" s="286"/>
      <c r="E339" s="286"/>
      <c r="F339" s="287"/>
      <c r="G339" s="286"/>
      <c r="H339" s="287"/>
      <c r="I339" s="288"/>
      <c r="J339" s="289"/>
      <c r="K339" s="288"/>
      <c r="L339" s="289"/>
      <c r="M339" s="287"/>
      <c r="N339" s="286"/>
      <c r="O339" s="286"/>
      <c r="P339" s="291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</row>
    <row r="340" ht="13.5" customHeight="1">
      <c r="A340" s="286"/>
      <c r="B340" s="286"/>
      <c r="C340" s="286"/>
      <c r="D340" s="286"/>
      <c r="E340" s="286"/>
      <c r="F340" s="287"/>
      <c r="G340" s="286"/>
      <c r="H340" s="287"/>
      <c r="I340" s="288"/>
      <c r="J340" s="289"/>
      <c r="K340" s="288"/>
      <c r="L340" s="289"/>
      <c r="M340" s="287"/>
      <c r="N340" s="286"/>
      <c r="O340" s="286"/>
      <c r="P340" s="291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</row>
    <row r="341" ht="13.5" customHeight="1">
      <c r="A341" s="286"/>
      <c r="B341" s="286"/>
      <c r="C341" s="286"/>
      <c r="D341" s="286"/>
      <c r="E341" s="286"/>
      <c r="F341" s="287"/>
      <c r="G341" s="286"/>
      <c r="H341" s="287"/>
      <c r="I341" s="288"/>
      <c r="J341" s="289"/>
      <c r="K341" s="288"/>
      <c r="L341" s="289"/>
      <c r="M341" s="287"/>
      <c r="N341" s="286"/>
      <c r="O341" s="286"/>
      <c r="P341" s="291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</row>
    <row r="342" ht="13.5" customHeight="1">
      <c r="A342" s="286"/>
      <c r="B342" s="286"/>
      <c r="C342" s="286"/>
      <c r="D342" s="286"/>
      <c r="E342" s="286"/>
      <c r="F342" s="287"/>
      <c r="G342" s="286"/>
      <c r="H342" s="287"/>
      <c r="I342" s="288"/>
      <c r="J342" s="289"/>
      <c r="K342" s="288"/>
      <c r="L342" s="289"/>
      <c r="M342" s="287"/>
      <c r="N342" s="286"/>
      <c r="O342" s="286"/>
      <c r="P342" s="291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</row>
    <row r="343" ht="13.5" customHeight="1">
      <c r="A343" s="286"/>
      <c r="B343" s="286"/>
      <c r="C343" s="286"/>
      <c r="D343" s="286"/>
      <c r="E343" s="286"/>
      <c r="F343" s="287"/>
      <c r="G343" s="286"/>
      <c r="H343" s="287"/>
      <c r="I343" s="288"/>
      <c r="J343" s="289"/>
      <c r="K343" s="288"/>
      <c r="L343" s="289"/>
      <c r="M343" s="287"/>
      <c r="N343" s="286"/>
      <c r="O343" s="286"/>
      <c r="P343" s="291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</row>
    <row r="344" ht="13.5" customHeight="1">
      <c r="A344" s="286"/>
      <c r="B344" s="286"/>
      <c r="C344" s="286"/>
      <c r="D344" s="286"/>
      <c r="E344" s="286"/>
      <c r="F344" s="287"/>
      <c r="G344" s="286"/>
      <c r="H344" s="287"/>
      <c r="I344" s="288"/>
      <c r="J344" s="289"/>
      <c r="K344" s="288"/>
      <c r="L344" s="289"/>
      <c r="M344" s="287"/>
      <c r="N344" s="286"/>
      <c r="O344" s="286"/>
      <c r="P344" s="291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</row>
    <row r="345" ht="13.5" customHeight="1">
      <c r="A345" s="286"/>
      <c r="B345" s="286"/>
      <c r="C345" s="286"/>
      <c r="D345" s="286"/>
      <c r="E345" s="286"/>
      <c r="F345" s="287"/>
      <c r="G345" s="286"/>
      <c r="H345" s="287"/>
      <c r="I345" s="288"/>
      <c r="J345" s="289"/>
      <c r="K345" s="288"/>
      <c r="L345" s="289"/>
      <c r="M345" s="287"/>
      <c r="N345" s="286"/>
      <c r="O345" s="286"/>
      <c r="P345" s="291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</row>
    <row r="346" ht="13.5" customHeight="1">
      <c r="A346" s="286"/>
      <c r="B346" s="286"/>
      <c r="C346" s="286"/>
      <c r="D346" s="286"/>
      <c r="E346" s="286"/>
      <c r="F346" s="287"/>
      <c r="G346" s="286"/>
      <c r="H346" s="287"/>
      <c r="I346" s="288"/>
      <c r="J346" s="289"/>
      <c r="K346" s="288"/>
      <c r="L346" s="289"/>
      <c r="M346" s="287"/>
      <c r="N346" s="286"/>
      <c r="O346" s="286"/>
      <c r="P346" s="291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</row>
    <row r="347" ht="13.5" customHeight="1">
      <c r="A347" s="286"/>
      <c r="B347" s="286"/>
      <c r="C347" s="286"/>
      <c r="D347" s="286"/>
      <c r="E347" s="286"/>
      <c r="F347" s="287"/>
      <c r="G347" s="286"/>
      <c r="H347" s="287"/>
      <c r="I347" s="288"/>
      <c r="J347" s="289"/>
      <c r="K347" s="288"/>
      <c r="L347" s="289"/>
      <c r="M347" s="287"/>
      <c r="N347" s="286"/>
      <c r="O347" s="286"/>
      <c r="P347" s="291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</row>
    <row r="348" ht="13.5" customHeight="1">
      <c r="A348" s="286"/>
      <c r="B348" s="286"/>
      <c r="C348" s="286"/>
      <c r="D348" s="286"/>
      <c r="E348" s="286"/>
      <c r="F348" s="287"/>
      <c r="G348" s="286"/>
      <c r="H348" s="287"/>
      <c r="I348" s="288"/>
      <c r="J348" s="289"/>
      <c r="K348" s="288"/>
      <c r="L348" s="289"/>
      <c r="M348" s="287"/>
      <c r="N348" s="286"/>
      <c r="O348" s="286"/>
      <c r="P348" s="291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</row>
    <row r="349" ht="13.5" customHeight="1">
      <c r="A349" s="286"/>
      <c r="B349" s="286"/>
      <c r="C349" s="286"/>
      <c r="D349" s="286"/>
      <c r="E349" s="286"/>
      <c r="F349" s="287"/>
      <c r="G349" s="286"/>
      <c r="H349" s="287"/>
      <c r="I349" s="288"/>
      <c r="J349" s="289"/>
      <c r="K349" s="288"/>
      <c r="L349" s="289"/>
      <c r="M349" s="287"/>
      <c r="N349" s="286"/>
      <c r="O349" s="286"/>
      <c r="P349" s="291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</row>
    <row r="350" ht="13.5" customHeight="1">
      <c r="A350" s="286"/>
      <c r="B350" s="286"/>
      <c r="C350" s="286"/>
      <c r="D350" s="286"/>
      <c r="E350" s="286"/>
      <c r="F350" s="287"/>
      <c r="G350" s="286"/>
      <c r="H350" s="287"/>
      <c r="I350" s="288"/>
      <c r="J350" s="289"/>
      <c r="K350" s="288"/>
      <c r="L350" s="289"/>
      <c r="M350" s="287"/>
      <c r="N350" s="286"/>
      <c r="O350" s="286"/>
      <c r="P350" s="291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</row>
    <row r="351" ht="13.5" customHeight="1">
      <c r="A351" s="286"/>
      <c r="B351" s="286"/>
      <c r="C351" s="286"/>
      <c r="D351" s="286"/>
      <c r="E351" s="286"/>
      <c r="F351" s="287"/>
      <c r="G351" s="286"/>
      <c r="H351" s="287"/>
      <c r="I351" s="288"/>
      <c r="J351" s="289"/>
      <c r="K351" s="288"/>
      <c r="L351" s="289"/>
      <c r="M351" s="287"/>
      <c r="N351" s="286"/>
      <c r="O351" s="286"/>
      <c r="P351" s="291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</row>
    <row r="352" ht="13.5" customHeight="1">
      <c r="A352" s="286"/>
      <c r="B352" s="286"/>
      <c r="C352" s="286"/>
      <c r="D352" s="286"/>
      <c r="E352" s="286"/>
      <c r="F352" s="287"/>
      <c r="G352" s="286"/>
      <c r="H352" s="287"/>
      <c r="I352" s="288"/>
      <c r="J352" s="289"/>
      <c r="K352" s="288"/>
      <c r="L352" s="289"/>
      <c r="M352" s="287"/>
      <c r="N352" s="286"/>
      <c r="O352" s="286"/>
      <c r="P352" s="291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</row>
    <row r="353" ht="13.5" customHeight="1">
      <c r="A353" s="286"/>
      <c r="B353" s="286"/>
      <c r="C353" s="286"/>
      <c r="D353" s="286"/>
      <c r="E353" s="286"/>
      <c r="F353" s="287"/>
      <c r="G353" s="286"/>
      <c r="H353" s="287"/>
      <c r="I353" s="288"/>
      <c r="J353" s="289"/>
      <c r="K353" s="288"/>
      <c r="L353" s="289"/>
      <c r="M353" s="287"/>
      <c r="N353" s="286"/>
      <c r="O353" s="286"/>
      <c r="P353" s="291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</row>
    <row r="354" ht="13.5" customHeight="1">
      <c r="A354" s="286"/>
      <c r="B354" s="286"/>
      <c r="C354" s="286"/>
      <c r="D354" s="286"/>
      <c r="E354" s="286"/>
      <c r="F354" s="287"/>
      <c r="G354" s="286"/>
      <c r="H354" s="287"/>
      <c r="I354" s="288"/>
      <c r="J354" s="289"/>
      <c r="K354" s="288"/>
      <c r="L354" s="289"/>
      <c r="M354" s="287"/>
      <c r="N354" s="286"/>
      <c r="O354" s="286"/>
      <c r="P354" s="291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</row>
    <row r="355" ht="13.5" customHeight="1">
      <c r="A355" s="286"/>
      <c r="B355" s="286"/>
      <c r="C355" s="286"/>
      <c r="D355" s="286"/>
      <c r="E355" s="286"/>
      <c r="F355" s="287"/>
      <c r="G355" s="286"/>
      <c r="H355" s="287"/>
      <c r="I355" s="288"/>
      <c r="J355" s="289"/>
      <c r="K355" s="288"/>
      <c r="L355" s="289"/>
      <c r="M355" s="287"/>
      <c r="N355" s="286"/>
      <c r="O355" s="286"/>
      <c r="P355" s="291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</row>
    <row r="356" ht="13.5" customHeight="1">
      <c r="A356" s="286"/>
      <c r="B356" s="286"/>
      <c r="C356" s="286"/>
      <c r="D356" s="286"/>
      <c r="E356" s="286"/>
      <c r="F356" s="287"/>
      <c r="G356" s="286"/>
      <c r="H356" s="287"/>
      <c r="I356" s="288"/>
      <c r="J356" s="289"/>
      <c r="K356" s="288"/>
      <c r="L356" s="289"/>
      <c r="M356" s="287"/>
      <c r="N356" s="286"/>
      <c r="O356" s="286"/>
      <c r="P356" s="291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</row>
    <row r="357" ht="13.5" customHeight="1">
      <c r="A357" s="286"/>
      <c r="B357" s="286"/>
      <c r="C357" s="286"/>
      <c r="D357" s="286"/>
      <c r="E357" s="286"/>
      <c r="F357" s="287"/>
      <c r="G357" s="286"/>
      <c r="H357" s="287"/>
      <c r="I357" s="288"/>
      <c r="J357" s="289"/>
      <c r="K357" s="288"/>
      <c r="L357" s="289"/>
      <c r="M357" s="287"/>
      <c r="N357" s="286"/>
      <c r="O357" s="286"/>
      <c r="P357" s="291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</row>
    <row r="358" ht="13.5" customHeight="1">
      <c r="A358" s="286"/>
      <c r="B358" s="286"/>
      <c r="C358" s="286"/>
      <c r="D358" s="286"/>
      <c r="E358" s="286"/>
      <c r="F358" s="287"/>
      <c r="G358" s="286"/>
      <c r="H358" s="287"/>
      <c r="I358" s="288"/>
      <c r="J358" s="289"/>
      <c r="K358" s="288"/>
      <c r="L358" s="289"/>
      <c r="M358" s="287"/>
      <c r="N358" s="286"/>
      <c r="O358" s="286"/>
      <c r="P358" s="291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</row>
    <row r="359" ht="13.5" customHeight="1">
      <c r="A359" s="286"/>
      <c r="B359" s="286"/>
      <c r="C359" s="286"/>
      <c r="D359" s="286"/>
      <c r="E359" s="286"/>
      <c r="F359" s="287"/>
      <c r="G359" s="286"/>
      <c r="H359" s="287"/>
      <c r="I359" s="288"/>
      <c r="J359" s="289"/>
      <c r="K359" s="288"/>
      <c r="L359" s="289"/>
      <c r="M359" s="287"/>
      <c r="N359" s="286"/>
      <c r="O359" s="286"/>
      <c r="P359" s="291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</row>
    <row r="360" ht="13.5" customHeight="1">
      <c r="A360" s="286"/>
      <c r="B360" s="286"/>
      <c r="C360" s="286"/>
      <c r="D360" s="286"/>
      <c r="E360" s="286"/>
      <c r="F360" s="287"/>
      <c r="G360" s="286"/>
      <c r="H360" s="287"/>
      <c r="I360" s="288"/>
      <c r="J360" s="289"/>
      <c r="K360" s="288"/>
      <c r="L360" s="289"/>
      <c r="M360" s="287"/>
      <c r="N360" s="286"/>
      <c r="O360" s="286"/>
      <c r="P360" s="291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</row>
    <row r="361" ht="13.5" customHeight="1">
      <c r="A361" s="286"/>
      <c r="B361" s="286"/>
      <c r="C361" s="286"/>
      <c r="D361" s="286"/>
      <c r="E361" s="286"/>
      <c r="F361" s="287"/>
      <c r="G361" s="286"/>
      <c r="H361" s="287"/>
      <c r="I361" s="288"/>
      <c r="J361" s="289"/>
      <c r="K361" s="288"/>
      <c r="L361" s="289"/>
      <c r="M361" s="287"/>
      <c r="N361" s="286"/>
      <c r="O361" s="286"/>
      <c r="P361" s="291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</row>
    <row r="362" ht="13.5" customHeight="1">
      <c r="A362" s="286"/>
      <c r="B362" s="286"/>
      <c r="C362" s="286"/>
      <c r="D362" s="286"/>
      <c r="E362" s="286"/>
      <c r="F362" s="287"/>
      <c r="G362" s="286"/>
      <c r="H362" s="287"/>
      <c r="I362" s="288"/>
      <c r="J362" s="289"/>
      <c r="K362" s="288"/>
      <c r="L362" s="289"/>
      <c r="M362" s="287"/>
      <c r="N362" s="286"/>
      <c r="O362" s="286"/>
      <c r="P362" s="291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</row>
    <row r="363" ht="13.5" customHeight="1">
      <c r="A363" s="286"/>
      <c r="B363" s="286"/>
      <c r="C363" s="286"/>
      <c r="D363" s="286"/>
      <c r="E363" s="286"/>
      <c r="F363" s="287"/>
      <c r="G363" s="286"/>
      <c r="H363" s="287"/>
      <c r="I363" s="288"/>
      <c r="J363" s="289"/>
      <c r="K363" s="288"/>
      <c r="L363" s="289"/>
      <c r="M363" s="287"/>
      <c r="N363" s="286"/>
      <c r="O363" s="286"/>
      <c r="P363" s="291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</row>
    <row r="364" ht="13.5" customHeight="1">
      <c r="A364" s="286"/>
      <c r="B364" s="286"/>
      <c r="C364" s="286"/>
      <c r="D364" s="286"/>
      <c r="E364" s="286"/>
      <c r="F364" s="287"/>
      <c r="G364" s="286"/>
      <c r="H364" s="287"/>
      <c r="I364" s="288"/>
      <c r="J364" s="289"/>
      <c r="K364" s="288"/>
      <c r="L364" s="289"/>
      <c r="M364" s="287"/>
      <c r="N364" s="286"/>
      <c r="O364" s="286"/>
      <c r="P364" s="291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</row>
    <row r="365" ht="13.5" customHeight="1">
      <c r="A365" s="286"/>
      <c r="B365" s="286"/>
      <c r="C365" s="286"/>
      <c r="D365" s="286"/>
      <c r="E365" s="286"/>
      <c r="F365" s="287"/>
      <c r="G365" s="286"/>
      <c r="H365" s="287"/>
      <c r="I365" s="288"/>
      <c r="J365" s="289"/>
      <c r="K365" s="288"/>
      <c r="L365" s="289"/>
      <c r="M365" s="287"/>
      <c r="N365" s="286"/>
      <c r="O365" s="286"/>
      <c r="P365" s="291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</row>
    <row r="366" ht="13.5" customHeight="1">
      <c r="A366" s="286"/>
      <c r="B366" s="286"/>
      <c r="C366" s="286"/>
      <c r="D366" s="286"/>
      <c r="E366" s="286"/>
      <c r="F366" s="287"/>
      <c r="G366" s="286"/>
      <c r="H366" s="287"/>
      <c r="I366" s="288"/>
      <c r="J366" s="289"/>
      <c r="K366" s="288"/>
      <c r="L366" s="289"/>
      <c r="M366" s="287"/>
      <c r="N366" s="286"/>
      <c r="O366" s="286"/>
      <c r="P366" s="291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</row>
    <row r="367" ht="13.5" customHeight="1">
      <c r="A367" s="286"/>
      <c r="B367" s="286"/>
      <c r="C367" s="286"/>
      <c r="D367" s="286"/>
      <c r="E367" s="286"/>
      <c r="F367" s="287"/>
      <c r="G367" s="286"/>
      <c r="H367" s="287"/>
      <c r="I367" s="288"/>
      <c r="J367" s="289"/>
      <c r="K367" s="288"/>
      <c r="L367" s="289"/>
      <c r="M367" s="287"/>
      <c r="N367" s="286"/>
      <c r="O367" s="286"/>
      <c r="P367" s="291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</row>
    <row r="368" ht="13.5" customHeight="1">
      <c r="A368" s="286"/>
      <c r="B368" s="286"/>
      <c r="C368" s="286"/>
      <c r="D368" s="286"/>
      <c r="E368" s="286"/>
      <c r="F368" s="287"/>
      <c r="G368" s="286"/>
      <c r="H368" s="287"/>
      <c r="I368" s="288"/>
      <c r="J368" s="289"/>
      <c r="K368" s="288"/>
      <c r="L368" s="289"/>
      <c r="M368" s="287"/>
      <c r="N368" s="286"/>
      <c r="O368" s="286"/>
      <c r="P368" s="291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</row>
    <row r="369" ht="13.5" customHeight="1">
      <c r="A369" s="286"/>
      <c r="B369" s="286"/>
      <c r="C369" s="286"/>
      <c r="D369" s="286"/>
      <c r="E369" s="286"/>
      <c r="F369" s="287"/>
      <c r="G369" s="286"/>
      <c r="H369" s="287"/>
      <c r="I369" s="288"/>
      <c r="J369" s="289"/>
      <c r="K369" s="288"/>
      <c r="L369" s="289"/>
      <c r="M369" s="287"/>
      <c r="N369" s="286"/>
      <c r="O369" s="286"/>
      <c r="P369" s="291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</row>
    <row r="370" ht="13.5" customHeight="1">
      <c r="A370" s="286"/>
      <c r="B370" s="286"/>
      <c r="C370" s="286"/>
      <c r="D370" s="286"/>
      <c r="E370" s="286"/>
      <c r="F370" s="287"/>
      <c r="G370" s="286"/>
      <c r="H370" s="287"/>
      <c r="I370" s="288"/>
      <c r="J370" s="289"/>
      <c r="K370" s="288"/>
      <c r="L370" s="289"/>
      <c r="M370" s="287"/>
      <c r="N370" s="286"/>
      <c r="O370" s="286"/>
      <c r="P370" s="291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</row>
    <row r="371" ht="13.5" customHeight="1">
      <c r="A371" s="286"/>
      <c r="B371" s="286"/>
      <c r="C371" s="286"/>
      <c r="D371" s="286"/>
      <c r="E371" s="286"/>
      <c r="F371" s="287"/>
      <c r="G371" s="286"/>
      <c r="H371" s="287"/>
      <c r="I371" s="288"/>
      <c r="J371" s="289"/>
      <c r="K371" s="288"/>
      <c r="L371" s="289"/>
      <c r="M371" s="287"/>
      <c r="N371" s="286"/>
      <c r="O371" s="286"/>
      <c r="P371" s="291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</row>
    <row r="372" ht="13.5" customHeight="1">
      <c r="A372" s="286"/>
      <c r="B372" s="286"/>
      <c r="C372" s="286"/>
      <c r="D372" s="286"/>
      <c r="E372" s="286"/>
      <c r="F372" s="287"/>
      <c r="G372" s="286"/>
      <c r="H372" s="287"/>
      <c r="I372" s="288"/>
      <c r="J372" s="289"/>
      <c r="K372" s="288"/>
      <c r="L372" s="289"/>
      <c r="M372" s="287"/>
      <c r="N372" s="286"/>
      <c r="O372" s="286"/>
      <c r="P372" s="291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</row>
    <row r="373" ht="13.5" customHeight="1">
      <c r="A373" s="286"/>
      <c r="B373" s="286"/>
      <c r="C373" s="286"/>
      <c r="D373" s="286"/>
      <c r="E373" s="286"/>
      <c r="F373" s="287"/>
      <c r="G373" s="286"/>
      <c r="H373" s="287"/>
      <c r="I373" s="288"/>
      <c r="J373" s="289"/>
      <c r="K373" s="288"/>
      <c r="L373" s="289"/>
      <c r="M373" s="287"/>
      <c r="N373" s="286"/>
      <c r="O373" s="286"/>
      <c r="P373" s="291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</row>
    <row r="374" ht="13.5" customHeight="1">
      <c r="A374" s="286"/>
      <c r="B374" s="286"/>
      <c r="C374" s="286"/>
      <c r="D374" s="286"/>
      <c r="E374" s="286"/>
      <c r="F374" s="287"/>
      <c r="G374" s="286"/>
      <c r="H374" s="287"/>
      <c r="I374" s="288"/>
      <c r="J374" s="289"/>
      <c r="K374" s="288"/>
      <c r="L374" s="289"/>
      <c r="M374" s="287"/>
      <c r="N374" s="286"/>
      <c r="O374" s="286"/>
      <c r="P374" s="291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</row>
    <row r="375" ht="13.5" customHeight="1">
      <c r="A375" s="286"/>
      <c r="B375" s="286"/>
      <c r="C375" s="286"/>
      <c r="D375" s="286"/>
      <c r="E375" s="286"/>
      <c r="F375" s="287"/>
      <c r="G375" s="286"/>
      <c r="H375" s="287"/>
      <c r="I375" s="288"/>
      <c r="J375" s="289"/>
      <c r="K375" s="288"/>
      <c r="L375" s="289"/>
      <c r="M375" s="287"/>
      <c r="N375" s="286"/>
      <c r="O375" s="286"/>
      <c r="P375" s="291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</row>
    <row r="376" ht="13.5" customHeight="1">
      <c r="A376" s="286"/>
      <c r="B376" s="286"/>
      <c r="C376" s="286"/>
      <c r="D376" s="286"/>
      <c r="E376" s="286"/>
      <c r="F376" s="287"/>
      <c r="G376" s="286"/>
      <c r="H376" s="287"/>
      <c r="I376" s="288"/>
      <c r="J376" s="289"/>
      <c r="K376" s="288"/>
      <c r="L376" s="289"/>
      <c r="M376" s="287"/>
      <c r="N376" s="286"/>
      <c r="O376" s="286"/>
      <c r="P376" s="291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</row>
    <row r="377" ht="13.5" customHeight="1">
      <c r="A377" s="286"/>
      <c r="B377" s="286"/>
      <c r="C377" s="286"/>
      <c r="D377" s="286"/>
      <c r="E377" s="286"/>
      <c r="F377" s="287"/>
      <c r="G377" s="286"/>
      <c r="H377" s="287"/>
      <c r="I377" s="288"/>
      <c r="J377" s="289"/>
      <c r="K377" s="288"/>
      <c r="L377" s="289"/>
      <c r="M377" s="287"/>
      <c r="N377" s="286"/>
      <c r="O377" s="286"/>
      <c r="P377" s="291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</row>
    <row r="378" ht="13.5" customHeight="1">
      <c r="A378" s="286"/>
      <c r="B378" s="286"/>
      <c r="C378" s="286"/>
      <c r="D378" s="286"/>
      <c r="E378" s="286"/>
      <c r="F378" s="287"/>
      <c r="G378" s="286"/>
      <c r="H378" s="287"/>
      <c r="I378" s="288"/>
      <c r="J378" s="289"/>
      <c r="K378" s="288"/>
      <c r="L378" s="289"/>
      <c r="M378" s="287"/>
      <c r="N378" s="286"/>
      <c r="O378" s="286"/>
      <c r="P378" s="291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</row>
    <row r="379" ht="13.5" customHeight="1">
      <c r="A379" s="286"/>
      <c r="B379" s="286"/>
      <c r="C379" s="286"/>
      <c r="D379" s="286"/>
      <c r="E379" s="286"/>
      <c r="F379" s="287"/>
      <c r="G379" s="286"/>
      <c r="H379" s="287"/>
      <c r="I379" s="288"/>
      <c r="J379" s="289"/>
      <c r="K379" s="288"/>
      <c r="L379" s="289"/>
      <c r="M379" s="287"/>
      <c r="N379" s="286"/>
      <c r="O379" s="286"/>
      <c r="P379" s="291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</row>
    <row r="380" ht="13.5" customHeight="1">
      <c r="A380" s="286"/>
      <c r="B380" s="286"/>
      <c r="C380" s="286"/>
      <c r="D380" s="286"/>
      <c r="E380" s="286"/>
      <c r="F380" s="287"/>
      <c r="G380" s="286"/>
      <c r="H380" s="287"/>
      <c r="I380" s="288"/>
      <c r="J380" s="289"/>
      <c r="K380" s="288"/>
      <c r="L380" s="289"/>
      <c r="M380" s="287"/>
      <c r="N380" s="286"/>
      <c r="O380" s="286"/>
      <c r="P380" s="291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</row>
    <row r="381" ht="13.5" customHeight="1">
      <c r="A381" s="286"/>
      <c r="B381" s="286"/>
      <c r="C381" s="286"/>
      <c r="D381" s="286"/>
      <c r="E381" s="286"/>
      <c r="F381" s="287"/>
      <c r="G381" s="286"/>
      <c r="H381" s="287"/>
      <c r="I381" s="288"/>
      <c r="J381" s="289"/>
      <c r="K381" s="288"/>
      <c r="L381" s="289"/>
      <c r="M381" s="287"/>
      <c r="N381" s="286"/>
      <c r="O381" s="286"/>
      <c r="P381" s="291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</row>
    <row r="382" ht="13.5" customHeight="1">
      <c r="A382" s="286"/>
      <c r="B382" s="286"/>
      <c r="C382" s="286"/>
      <c r="D382" s="286"/>
      <c r="E382" s="286"/>
      <c r="F382" s="287"/>
      <c r="G382" s="286"/>
      <c r="H382" s="287"/>
      <c r="I382" s="288"/>
      <c r="J382" s="289"/>
      <c r="K382" s="288"/>
      <c r="L382" s="289"/>
      <c r="M382" s="287"/>
      <c r="N382" s="286"/>
      <c r="O382" s="286"/>
      <c r="P382" s="291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</row>
    <row r="383" ht="13.5" customHeight="1">
      <c r="A383" s="286"/>
      <c r="B383" s="286"/>
      <c r="C383" s="286"/>
      <c r="D383" s="286"/>
      <c r="E383" s="286"/>
      <c r="F383" s="287"/>
      <c r="G383" s="286"/>
      <c r="H383" s="287"/>
      <c r="I383" s="288"/>
      <c r="J383" s="289"/>
      <c r="K383" s="288"/>
      <c r="L383" s="289"/>
      <c r="M383" s="287"/>
      <c r="N383" s="286"/>
      <c r="O383" s="286"/>
      <c r="P383" s="291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</row>
    <row r="384" ht="13.5" customHeight="1">
      <c r="A384" s="286"/>
      <c r="B384" s="286"/>
      <c r="C384" s="286"/>
      <c r="D384" s="286"/>
      <c r="E384" s="286"/>
      <c r="F384" s="287"/>
      <c r="G384" s="286"/>
      <c r="H384" s="287"/>
      <c r="I384" s="288"/>
      <c r="J384" s="289"/>
      <c r="K384" s="288"/>
      <c r="L384" s="289"/>
      <c r="M384" s="287"/>
      <c r="N384" s="286"/>
      <c r="O384" s="286"/>
      <c r="P384" s="291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</row>
    <row r="385" ht="13.5" customHeight="1">
      <c r="A385" s="286"/>
      <c r="B385" s="286"/>
      <c r="C385" s="286"/>
      <c r="D385" s="286"/>
      <c r="E385" s="286"/>
      <c r="F385" s="287"/>
      <c r="G385" s="286"/>
      <c r="H385" s="287"/>
      <c r="I385" s="288"/>
      <c r="J385" s="289"/>
      <c r="K385" s="288"/>
      <c r="L385" s="289"/>
      <c r="M385" s="287"/>
      <c r="N385" s="286"/>
      <c r="O385" s="286"/>
      <c r="P385" s="291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</row>
    <row r="386" ht="13.5" customHeight="1">
      <c r="A386" s="286"/>
      <c r="B386" s="286"/>
      <c r="C386" s="286"/>
      <c r="D386" s="286"/>
      <c r="E386" s="286"/>
      <c r="F386" s="287"/>
      <c r="G386" s="286"/>
      <c r="H386" s="287"/>
      <c r="I386" s="288"/>
      <c r="J386" s="289"/>
      <c r="K386" s="288"/>
      <c r="L386" s="289"/>
      <c r="M386" s="287"/>
      <c r="N386" s="286"/>
      <c r="O386" s="286"/>
      <c r="P386" s="291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</row>
    <row r="387" ht="13.5" customHeight="1">
      <c r="A387" s="286"/>
      <c r="B387" s="286"/>
      <c r="C387" s="286"/>
      <c r="D387" s="286"/>
      <c r="E387" s="286"/>
      <c r="F387" s="287"/>
      <c r="G387" s="286"/>
      <c r="H387" s="287"/>
      <c r="I387" s="288"/>
      <c r="J387" s="289"/>
      <c r="K387" s="288"/>
      <c r="L387" s="289"/>
      <c r="M387" s="287"/>
      <c r="N387" s="286"/>
      <c r="O387" s="286"/>
      <c r="P387" s="291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</row>
    <row r="388" ht="13.5" customHeight="1">
      <c r="A388" s="286"/>
      <c r="B388" s="286"/>
      <c r="C388" s="286"/>
      <c r="D388" s="286"/>
      <c r="E388" s="286"/>
      <c r="F388" s="287"/>
      <c r="G388" s="286"/>
      <c r="H388" s="287"/>
      <c r="I388" s="288"/>
      <c r="J388" s="289"/>
      <c r="K388" s="288"/>
      <c r="L388" s="289"/>
      <c r="M388" s="287"/>
      <c r="N388" s="286"/>
      <c r="O388" s="286"/>
      <c r="P388" s="291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</row>
    <row r="389" ht="13.5" customHeight="1">
      <c r="A389" s="286"/>
      <c r="B389" s="286"/>
      <c r="C389" s="286"/>
      <c r="D389" s="286"/>
      <c r="E389" s="286"/>
      <c r="F389" s="287"/>
      <c r="G389" s="286"/>
      <c r="H389" s="287"/>
      <c r="I389" s="288"/>
      <c r="J389" s="289"/>
      <c r="K389" s="288"/>
      <c r="L389" s="289"/>
      <c r="M389" s="287"/>
      <c r="N389" s="286"/>
      <c r="O389" s="286"/>
      <c r="P389" s="291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</row>
    <row r="390" ht="13.5" customHeight="1">
      <c r="A390" s="286"/>
      <c r="B390" s="286"/>
      <c r="C390" s="286"/>
      <c r="D390" s="286"/>
      <c r="E390" s="286"/>
      <c r="F390" s="287"/>
      <c r="G390" s="286"/>
      <c r="H390" s="287"/>
      <c r="I390" s="288"/>
      <c r="J390" s="289"/>
      <c r="K390" s="288"/>
      <c r="L390" s="289"/>
      <c r="M390" s="287"/>
      <c r="N390" s="286"/>
      <c r="O390" s="286"/>
      <c r="P390" s="291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</row>
    <row r="391" ht="13.5" customHeight="1">
      <c r="A391" s="286"/>
      <c r="B391" s="286"/>
      <c r="C391" s="286"/>
      <c r="D391" s="286"/>
      <c r="E391" s="286"/>
      <c r="F391" s="287"/>
      <c r="G391" s="286"/>
      <c r="H391" s="287"/>
      <c r="I391" s="288"/>
      <c r="J391" s="289"/>
      <c r="K391" s="288"/>
      <c r="L391" s="289"/>
      <c r="M391" s="287"/>
      <c r="N391" s="286"/>
      <c r="O391" s="286"/>
      <c r="P391" s="291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</row>
    <row r="392" ht="13.5" customHeight="1">
      <c r="A392" s="286"/>
      <c r="B392" s="286"/>
      <c r="C392" s="286"/>
      <c r="D392" s="286"/>
      <c r="E392" s="286"/>
      <c r="F392" s="287"/>
      <c r="G392" s="286"/>
      <c r="H392" s="287"/>
      <c r="I392" s="288"/>
      <c r="J392" s="289"/>
      <c r="K392" s="288"/>
      <c r="L392" s="289"/>
      <c r="M392" s="287"/>
      <c r="N392" s="286"/>
      <c r="O392" s="286"/>
      <c r="P392" s="291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</row>
    <row r="393" ht="13.5" customHeight="1">
      <c r="A393" s="286"/>
      <c r="B393" s="286"/>
      <c r="C393" s="286"/>
      <c r="D393" s="286"/>
      <c r="E393" s="286"/>
      <c r="F393" s="287"/>
      <c r="G393" s="286"/>
      <c r="H393" s="287"/>
      <c r="I393" s="288"/>
      <c r="J393" s="289"/>
      <c r="K393" s="288"/>
      <c r="L393" s="289"/>
      <c r="M393" s="287"/>
      <c r="N393" s="286"/>
      <c r="O393" s="286"/>
      <c r="P393" s="291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</row>
    <row r="394" ht="13.5" customHeight="1">
      <c r="A394" s="286"/>
      <c r="B394" s="286"/>
      <c r="C394" s="286"/>
      <c r="D394" s="286"/>
      <c r="E394" s="286"/>
      <c r="F394" s="287"/>
      <c r="G394" s="286"/>
      <c r="H394" s="287"/>
      <c r="I394" s="288"/>
      <c r="J394" s="289"/>
      <c r="K394" s="288"/>
      <c r="L394" s="289"/>
      <c r="M394" s="287"/>
      <c r="N394" s="286"/>
      <c r="O394" s="286"/>
      <c r="P394" s="291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</row>
    <row r="395" ht="13.5" customHeight="1">
      <c r="A395" s="286"/>
      <c r="B395" s="286"/>
      <c r="C395" s="286"/>
      <c r="D395" s="286"/>
      <c r="E395" s="286"/>
      <c r="F395" s="287"/>
      <c r="G395" s="286"/>
      <c r="H395" s="287"/>
      <c r="I395" s="288"/>
      <c r="J395" s="289"/>
      <c r="K395" s="288"/>
      <c r="L395" s="289"/>
      <c r="M395" s="287"/>
      <c r="N395" s="286"/>
      <c r="O395" s="286"/>
      <c r="P395" s="291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</row>
    <row r="396" ht="13.5" customHeight="1">
      <c r="A396" s="286"/>
      <c r="B396" s="286"/>
      <c r="C396" s="286"/>
      <c r="D396" s="286"/>
      <c r="E396" s="286"/>
      <c r="F396" s="287"/>
      <c r="G396" s="286"/>
      <c r="H396" s="287"/>
      <c r="I396" s="288"/>
      <c r="J396" s="289"/>
      <c r="K396" s="288"/>
      <c r="L396" s="289"/>
      <c r="M396" s="287"/>
      <c r="N396" s="286"/>
      <c r="O396" s="286"/>
      <c r="P396" s="291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</row>
    <row r="397" ht="13.5" customHeight="1">
      <c r="A397" s="286"/>
      <c r="B397" s="286"/>
      <c r="C397" s="286"/>
      <c r="D397" s="286"/>
      <c r="E397" s="286"/>
      <c r="F397" s="287"/>
      <c r="G397" s="286"/>
      <c r="H397" s="287"/>
      <c r="I397" s="288"/>
      <c r="J397" s="289"/>
      <c r="K397" s="288"/>
      <c r="L397" s="289"/>
      <c r="M397" s="287"/>
      <c r="N397" s="286"/>
      <c r="O397" s="286"/>
      <c r="P397" s="291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</row>
    <row r="398" ht="13.5" customHeight="1">
      <c r="A398" s="286"/>
      <c r="B398" s="286"/>
      <c r="C398" s="286"/>
      <c r="D398" s="286"/>
      <c r="E398" s="286"/>
      <c r="F398" s="287"/>
      <c r="G398" s="286"/>
      <c r="H398" s="287"/>
      <c r="I398" s="288"/>
      <c r="J398" s="289"/>
      <c r="K398" s="288"/>
      <c r="L398" s="289"/>
      <c r="M398" s="287"/>
      <c r="N398" s="286"/>
      <c r="O398" s="286"/>
      <c r="P398" s="291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</row>
    <row r="399" ht="13.5" customHeight="1">
      <c r="A399" s="286"/>
      <c r="B399" s="286"/>
      <c r="C399" s="286"/>
      <c r="D399" s="286"/>
      <c r="E399" s="286"/>
      <c r="F399" s="287"/>
      <c r="G399" s="286"/>
      <c r="H399" s="287"/>
      <c r="I399" s="288"/>
      <c r="J399" s="289"/>
      <c r="K399" s="288"/>
      <c r="L399" s="289"/>
      <c r="M399" s="287"/>
      <c r="N399" s="286"/>
      <c r="O399" s="286"/>
      <c r="P399" s="291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</row>
    <row r="400" ht="13.5" customHeight="1">
      <c r="A400" s="286"/>
      <c r="B400" s="286"/>
      <c r="C400" s="286"/>
      <c r="D400" s="286"/>
      <c r="E400" s="286"/>
      <c r="F400" s="287"/>
      <c r="G400" s="286"/>
      <c r="H400" s="287"/>
      <c r="I400" s="288"/>
      <c r="J400" s="289"/>
      <c r="K400" s="288"/>
      <c r="L400" s="289"/>
      <c r="M400" s="287"/>
      <c r="N400" s="286"/>
      <c r="O400" s="286"/>
      <c r="P400" s="291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</row>
    <row r="401" ht="13.5" customHeight="1">
      <c r="A401" s="286"/>
      <c r="B401" s="286"/>
      <c r="C401" s="286"/>
      <c r="D401" s="286"/>
      <c r="E401" s="286"/>
      <c r="F401" s="287"/>
      <c r="G401" s="286"/>
      <c r="H401" s="287"/>
      <c r="I401" s="288"/>
      <c r="J401" s="289"/>
      <c r="K401" s="288"/>
      <c r="L401" s="289"/>
      <c r="M401" s="287"/>
      <c r="N401" s="286"/>
      <c r="O401" s="286"/>
      <c r="P401" s="291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</row>
    <row r="402" ht="13.5" customHeight="1">
      <c r="A402" s="286"/>
      <c r="B402" s="286"/>
      <c r="C402" s="286"/>
      <c r="D402" s="286"/>
      <c r="E402" s="286"/>
      <c r="F402" s="287"/>
      <c r="G402" s="286"/>
      <c r="H402" s="287"/>
      <c r="I402" s="288"/>
      <c r="J402" s="289"/>
      <c r="K402" s="288"/>
      <c r="L402" s="289"/>
      <c r="M402" s="287"/>
      <c r="N402" s="286"/>
      <c r="O402" s="286"/>
      <c r="P402" s="291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</row>
    <row r="403" ht="13.5" customHeight="1">
      <c r="A403" s="286"/>
      <c r="B403" s="286"/>
      <c r="C403" s="286"/>
      <c r="D403" s="286"/>
      <c r="E403" s="286"/>
      <c r="F403" s="287"/>
      <c r="G403" s="286"/>
      <c r="H403" s="287"/>
      <c r="I403" s="288"/>
      <c r="J403" s="289"/>
      <c r="K403" s="288"/>
      <c r="L403" s="289"/>
      <c r="M403" s="287"/>
      <c r="N403" s="286"/>
      <c r="O403" s="286"/>
      <c r="P403" s="291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</row>
    <row r="404" ht="13.5" customHeight="1">
      <c r="A404" s="286"/>
      <c r="B404" s="286"/>
      <c r="C404" s="286"/>
      <c r="D404" s="286"/>
      <c r="E404" s="286"/>
      <c r="F404" s="287"/>
      <c r="G404" s="286"/>
      <c r="H404" s="287"/>
      <c r="I404" s="288"/>
      <c r="J404" s="289"/>
      <c r="K404" s="288"/>
      <c r="L404" s="289"/>
      <c r="M404" s="287"/>
      <c r="N404" s="286"/>
      <c r="O404" s="286"/>
      <c r="P404" s="291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</row>
    <row r="405" ht="13.5" customHeight="1">
      <c r="A405" s="286"/>
      <c r="B405" s="286"/>
      <c r="C405" s="286"/>
      <c r="D405" s="286"/>
      <c r="E405" s="286"/>
      <c r="F405" s="287"/>
      <c r="G405" s="286"/>
      <c r="H405" s="287"/>
      <c r="I405" s="288"/>
      <c r="J405" s="289"/>
      <c r="K405" s="288"/>
      <c r="L405" s="289"/>
      <c r="M405" s="287"/>
      <c r="N405" s="286"/>
      <c r="O405" s="286"/>
      <c r="P405" s="291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</row>
    <row r="406" ht="13.5" customHeight="1">
      <c r="A406" s="286"/>
      <c r="B406" s="286"/>
      <c r="C406" s="286"/>
      <c r="D406" s="286"/>
      <c r="E406" s="286"/>
      <c r="F406" s="287"/>
      <c r="G406" s="286"/>
      <c r="H406" s="287"/>
      <c r="I406" s="288"/>
      <c r="J406" s="289"/>
      <c r="K406" s="288"/>
      <c r="L406" s="289"/>
      <c r="M406" s="287"/>
      <c r="N406" s="286"/>
      <c r="O406" s="286"/>
      <c r="P406" s="291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</row>
    <row r="407" ht="13.5" customHeight="1">
      <c r="A407" s="286"/>
      <c r="B407" s="286"/>
      <c r="C407" s="286"/>
      <c r="D407" s="286"/>
      <c r="E407" s="286"/>
      <c r="F407" s="287"/>
      <c r="G407" s="286"/>
      <c r="H407" s="287"/>
      <c r="I407" s="288"/>
      <c r="J407" s="289"/>
      <c r="K407" s="288"/>
      <c r="L407" s="289"/>
      <c r="M407" s="287"/>
      <c r="N407" s="286"/>
      <c r="O407" s="286"/>
      <c r="P407" s="291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</row>
    <row r="408" ht="13.5" customHeight="1">
      <c r="A408" s="286"/>
      <c r="B408" s="286"/>
      <c r="C408" s="286"/>
      <c r="D408" s="286"/>
      <c r="E408" s="286"/>
      <c r="F408" s="287"/>
      <c r="G408" s="286"/>
      <c r="H408" s="287"/>
      <c r="I408" s="288"/>
      <c r="J408" s="289"/>
      <c r="K408" s="288"/>
      <c r="L408" s="289"/>
      <c r="M408" s="287"/>
      <c r="N408" s="286"/>
      <c r="O408" s="286"/>
      <c r="P408" s="291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</row>
    <row r="409" ht="13.5" customHeight="1">
      <c r="A409" s="286"/>
      <c r="B409" s="286"/>
      <c r="C409" s="286"/>
      <c r="D409" s="286"/>
      <c r="E409" s="286"/>
      <c r="F409" s="287"/>
      <c r="G409" s="286"/>
      <c r="H409" s="287"/>
      <c r="I409" s="288"/>
      <c r="J409" s="289"/>
      <c r="K409" s="288"/>
      <c r="L409" s="289"/>
      <c r="M409" s="287"/>
      <c r="N409" s="286"/>
      <c r="O409" s="286"/>
      <c r="P409" s="291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</row>
    <row r="410" ht="13.5" customHeight="1">
      <c r="A410" s="286"/>
      <c r="B410" s="286"/>
      <c r="C410" s="286"/>
      <c r="D410" s="286"/>
      <c r="E410" s="286"/>
      <c r="F410" s="287"/>
      <c r="G410" s="286"/>
      <c r="H410" s="287"/>
      <c r="I410" s="288"/>
      <c r="J410" s="289"/>
      <c r="K410" s="288"/>
      <c r="L410" s="289"/>
      <c r="M410" s="287"/>
      <c r="N410" s="286"/>
      <c r="O410" s="286"/>
      <c r="P410" s="291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</row>
    <row r="411" ht="13.5" customHeight="1">
      <c r="A411" s="286"/>
      <c r="B411" s="286"/>
      <c r="C411" s="286"/>
      <c r="D411" s="286"/>
      <c r="E411" s="286"/>
      <c r="F411" s="287"/>
      <c r="G411" s="286"/>
      <c r="H411" s="287"/>
      <c r="I411" s="288"/>
      <c r="J411" s="289"/>
      <c r="K411" s="288"/>
      <c r="L411" s="289"/>
      <c r="M411" s="287"/>
      <c r="N411" s="286"/>
      <c r="O411" s="286"/>
      <c r="P411" s="291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</row>
    <row r="412" ht="13.5" customHeight="1">
      <c r="A412" s="286"/>
      <c r="B412" s="286"/>
      <c r="C412" s="286"/>
      <c r="D412" s="286"/>
      <c r="E412" s="286"/>
      <c r="F412" s="287"/>
      <c r="G412" s="286"/>
      <c r="H412" s="287"/>
      <c r="I412" s="288"/>
      <c r="J412" s="289"/>
      <c r="K412" s="288"/>
      <c r="L412" s="289"/>
      <c r="M412" s="287"/>
      <c r="N412" s="286"/>
      <c r="O412" s="286"/>
      <c r="P412" s="291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</row>
    <row r="413" ht="13.5" customHeight="1">
      <c r="A413" s="286"/>
      <c r="B413" s="286"/>
      <c r="C413" s="286"/>
      <c r="D413" s="286"/>
      <c r="E413" s="286"/>
      <c r="F413" s="287"/>
      <c r="G413" s="286"/>
      <c r="H413" s="287"/>
      <c r="I413" s="288"/>
      <c r="J413" s="289"/>
      <c r="K413" s="288"/>
      <c r="L413" s="289"/>
      <c r="M413" s="287"/>
      <c r="N413" s="286"/>
      <c r="O413" s="286"/>
      <c r="P413" s="291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</row>
    <row r="414" ht="13.5" customHeight="1">
      <c r="A414" s="286"/>
      <c r="B414" s="286"/>
      <c r="C414" s="286"/>
      <c r="D414" s="286"/>
      <c r="E414" s="286"/>
      <c r="F414" s="287"/>
      <c r="G414" s="286"/>
      <c r="H414" s="287"/>
      <c r="I414" s="288"/>
      <c r="J414" s="289"/>
      <c r="K414" s="288"/>
      <c r="L414" s="289"/>
      <c r="M414" s="287"/>
      <c r="N414" s="286"/>
      <c r="O414" s="286"/>
      <c r="P414" s="291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</row>
    <row r="415" ht="13.5" customHeight="1">
      <c r="A415" s="286"/>
      <c r="B415" s="286"/>
      <c r="C415" s="286"/>
      <c r="D415" s="286"/>
      <c r="E415" s="286"/>
      <c r="F415" s="287"/>
      <c r="G415" s="286"/>
      <c r="H415" s="287"/>
      <c r="I415" s="288"/>
      <c r="J415" s="289"/>
      <c r="K415" s="288"/>
      <c r="L415" s="289"/>
      <c r="M415" s="287"/>
      <c r="N415" s="286"/>
      <c r="O415" s="286"/>
      <c r="P415" s="291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</row>
    <row r="416" ht="13.5" customHeight="1">
      <c r="A416" s="286"/>
      <c r="B416" s="286"/>
      <c r="C416" s="286"/>
      <c r="D416" s="286"/>
      <c r="E416" s="286"/>
      <c r="F416" s="287"/>
      <c r="G416" s="286"/>
      <c r="H416" s="287"/>
      <c r="I416" s="288"/>
      <c r="J416" s="289"/>
      <c r="K416" s="288"/>
      <c r="L416" s="289"/>
      <c r="M416" s="287"/>
      <c r="N416" s="286"/>
      <c r="O416" s="286"/>
      <c r="P416" s="291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</row>
    <row r="417" ht="13.5" customHeight="1">
      <c r="A417" s="286"/>
      <c r="B417" s="286"/>
      <c r="C417" s="286"/>
      <c r="D417" s="286"/>
      <c r="E417" s="286"/>
      <c r="F417" s="287"/>
      <c r="G417" s="286"/>
      <c r="H417" s="287"/>
      <c r="I417" s="288"/>
      <c r="J417" s="289"/>
      <c r="K417" s="288"/>
      <c r="L417" s="289"/>
      <c r="M417" s="287"/>
      <c r="N417" s="286"/>
      <c r="O417" s="286"/>
      <c r="P417" s="291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</row>
    <row r="418" ht="13.5" customHeight="1">
      <c r="A418" s="286"/>
      <c r="B418" s="286"/>
      <c r="C418" s="286"/>
      <c r="D418" s="286"/>
      <c r="E418" s="286"/>
      <c r="F418" s="287"/>
      <c r="G418" s="286"/>
      <c r="H418" s="287"/>
      <c r="I418" s="288"/>
      <c r="J418" s="289"/>
      <c r="K418" s="288"/>
      <c r="L418" s="289"/>
      <c r="M418" s="287"/>
      <c r="N418" s="286"/>
      <c r="O418" s="286"/>
      <c r="P418" s="291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</row>
    <row r="419" ht="13.5" customHeight="1">
      <c r="A419" s="286"/>
      <c r="B419" s="286"/>
      <c r="C419" s="286"/>
      <c r="D419" s="286"/>
      <c r="E419" s="286"/>
      <c r="F419" s="287"/>
      <c r="G419" s="286"/>
      <c r="H419" s="287"/>
      <c r="I419" s="288"/>
      <c r="J419" s="289"/>
      <c r="K419" s="288"/>
      <c r="L419" s="289"/>
      <c r="M419" s="287"/>
      <c r="N419" s="286"/>
      <c r="O419" s="286"/>
      <c r="P419" s="291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</row>
    <row r="420" ht="13.5" customHeight="1">
      <c r="A420" s="286"/>
      <c r="B420" s="286"/>
      <c r="C420" s="286"/>
      <c r="D420" s="286"/>
      <c r="E420" s="286"/>
      <c r="F420" s="287"/>
      <c r="G420" s="286"/>
      <c r="H420" s="287"/>
      <c r="I420" s="288"/>
      <c r="J420" s="289"/>
      <c r="K420" s="288"/>
      <c r="L420" s="289"/>
      <c r="M420" s="287"/>
      <c r="N420" s="286"/>
      <c r="O420" s="286"/>
      <c r="P420" s="291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</row>
    <row r="421" ht="13.5" customHeight="1">
      <c r="A421" s="286"/>
      <c r="B421" s="286"/>
      <c r="C421" s="286"/>
      <c r="D421" s="286"/>
      <c r="E421" s="286"/>
      <c r="F421" s="287"/>
      <c r="G421" s="286"/>
      <c r="H421" s="287"/>
      <c r="I421" s="288"/>
      <c r="J421" s="289"/>
      <c r="K421" s="288"/>
      <c r="L421" s="289"/>
      <c r="M421" s="287"/>
      <c r="N421" s="286"/>
      <c r="O421" s="286"/>
      <c r="P421" s="291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</row>
    <row r="422" ht="13.5" customHeight="1">
      <c r="A422" s="286"/>
      <c r="B422" s="286"/>
      <c r="C422" s="286"/>
      <c r="D422" s="286"/>
      <c r="E422" s="286"/>
      <c r="F422" s="287"/>
      <c r="G422" s="286"/>
      <c r="H422" s="287"/>
      <c r="I422" s="288"/>
      <c r="J422" s="289"/>
      <c r="K422" s="288"/>
      <c r="L422" s="289"/>
      <c r="M422" s="287"/>
      <c r="N422" s="286"/>
      <c r="O422" s="286"/>
      <c r="P422" s="291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</row>
    <row r="423" ht="13.5" customHeight="1">
      <c r="A423" s="286"/>
      <c r="B423" s="286"/>
      <c r="C423" s="286"/>
      <c r="D423" s="286"/>
      <c r="E423" s="286"/>
      <c r="F423" s="287"/>
      <c r="G423" s="286"/>
      <c r="H423" s="287"/>
      <c r="I423" s="288"/>
      <c r="J423" s="289"/>
      <c r="K423" s="288"/>
      <c r="L423" s="289"/>
      <c r="M423" s="287"/>
      <c r="N423" s="286"/>
      <c r="O423" s="286"/>
      <c r="P423" s="291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</row>
    <row r="424" ht="13.5" customHeight="1">
      <c r="A424" s="286"/>
      <c r="B424" s="286"/>
      <c r="C424" s="286"/>
      <c r="D424" s="286"/>
      <c r="E424" s="286"/>
      <c r="F424" s="287"/>
      <c r="G424" s="286"/>
      <c r="H424" s="287"/>
      <c r="I424" s="288"/>
      <c r="J424" s="289"/>
      <c r="K424" s="288"/>
      <c r="L424" s="289"/>
      <c r="M424" s="287"/>
      <c r="N424" s="286"/>
      <c r="O424" s="286"/>
      <c r="P424" s="291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</row>
    <row r="425" ht="13.5" customHeight="1">
      <c r="A425" s="286"/>
      <c r="B425" s="286"/>
      <c r="C425" s="286"/>
      <c r="D425" s="286"/>
      <c r="E425" s="286"/>
      <c r="F425" s="287"/>
      <c r="G425" s="286"/>
      <c r="H425" s="287"/>
      <c r="I425" s="288"/>
      <c r="J425" s="289"/>
      <c r="K425" s="288"/>
      <c r="L425" s="289"/>
      <c r="M425" s="287"/>
      <c r="N425" s="286"/>
      <c r="O425" s="286"/>
      <c r="P425" s="291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</row>
    <row r="426" ht="13.5" customHeight="1">
      <c r="A426" s="286"/>
      <c r="B426" s="286"/>
      <c r="C426" s="286"/>
      <c r="D426" s="286"/>
      <c r="E426" s="286"/>
      <c r="F426" s="287"/>
      <c r="G426" s="286"/>
      <c r="H426" s="287"/>
      <c r="I426" s="288"/>
      <c r="J426" s="289"/>
      <c r="K426" s="288"/>
      <c r="L426" s="289"/>
      <c r="M426" s="287"/>
      <c r="N426" s="286"/>
      <c r="O426" s="286"/>
      <c r="P426" s="291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</row>
    <row r="427" ht="13.5" customHeight="1">
      <c r="A427" s="286"/>
      <c r="B427" s="286"/>
      <c r="C427" s="286"/>
      <c r="D427" s="286"/>
      <c r="E427" s="286"/>
      <c r="F427" s="287"/>
      <c r="G427" s="286"/>
      <c r="H427" s="287"/>
      <c r="I427" s="288"/>
      <c r="J427" s="289"/>
      <c r="K427" s="288"/>
      <c r="L427" s="289"/>
      <c r="M427" s="287"/>
      <c r="N427" s="286"/>
      <c r="O427" s="286"/>
      <c r="P427" s="291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</row>
    <row r="428" ht="13.5" customHeight="1">
      <c r="A428" s="286"/>
      <c r="B428" s="286"/>
      <c r="C428" s="286"/>
      <c r="D428" s="286"/>
      <c r="E428" s="286"/>
      <c r="F428" s="287"/>
      <c r="G428" s="286"/>
      <c r="H428" s="287"/>
      <c r="I428" s="288"/>
      <c r="J428" s="289"/>
      <c r="K428" s="288"/>
      <c r="L428" s="289"/>
      <c r="M428" s="287"/>
      <c r="N428" s="286"/>
      <c r="O428" s="286"/>
      <c r="P428" s="291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</row>
    <row r="429" ht="13.5" customHeight="1">
      <c r="A429" s="286"/>
      <c r="B429" s="286"/>
      <c r="C429" s="286"/>
      <c r="D429" s="286"/>
      <c r="E429" s="286"/>
      <c r="F429" s="287"/>
      <c r="G429" s="286"/>
      <c r="H429" s="287"/>
      <c r="I429" s="288"/>
      <c r="J429" s="289"/>
      <c r="K429" s="288"/>
      <c r="L429" s="289"/>
      <c r="M429" s="287"/>
      <c r="N429" s="286"/>
      <c r="O429" s="286"/>
      <c r="P429" s="291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</row>
    <row r="430" ht="13.5" customHeight="1">
      <c r="A430" s="286"/>
      <c r="B430" s="286"/>
      <c r="C430" s="286"/>
      <c r="D430" s="286"/>
      <c r="E430" s="286"/>
      <c r="F430" s="287"/>
      <c r="G430" s="286"/>
      <c r="H430" s="287"/>
      <c r="I430" s="288"/>
      <c r="J430" s="289"/>
      <c r="K430" s="288"/>
      <c r="L430" s="289"/>
      <c r="M430" s="287"/>
      <c r="N430" s="286"/>
      <c r="O430" s="286"/>
      <c r="P430" s="291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</row>
    <row r="431" ht="13.5" customHeight="1">
      <c r="A431" s="286"/>
      <c r="B431" s="286"/>
      <c r="C431" s="286"/>
      <c r="D431" s="286"/>
      <c r="E431" s="286"/>
      <c r="F431" s="287"/>
      <c r="G431" s="286"/>
      <c r="H431" s="287"/>
      <c r="I431" s="288"/>
      <c r="J431" s="289"/>
      <c r="K431" s="288"/>
      <c r="L431" s="289"/>
      <c r="M431" s="287"/>
      <c r="N431" s="286"/>
      <c r="O431" s="286"/>
      <c r="P431" s="291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</row>
    <row r="432" ht="13.5" customHeight="1">
      <c r="A432" s="286"/>
      <c r="B432" s="286"/>
      <c r="C432" s="286"/>
      <c r="D432" s="286"/>
      <c r="E432" s="286"/>
      <c r="F432" s="287"/>
      <c r="G432" s="286"/>
      <c r="H432" s="287"/>
      <c r="I432" s="288"/>
      <c r="J432" s="289"/>
      <c r="K432" s="288"/>
      <c r="L432" s="289"/>
      <c r="M432" s="287"/>
      <c r="N432" s="286"/>
      <c r="O432" s="286"/>
      <c r="P432" s="291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</row>
    <row r="433" ht="13.5" customHeight="1">
      <c r="A433" s="286"/>
      <c r="B433" s="286"/>
      <c r="C433" s="286"/>
      <c r="D433" s="286"/>
      <c r="E433" s="286"/>
      <c r="F433" s="287"/>
      <c r="G433" s="286"/>
      <c r="H433" s="287"/>
      <c r="I433" s="288"/>
      <c r="J433" s="289"/>
      <c r="K433" s="288"/>
      <c r="L433" s="289"/>
      <c r="M433" s="287"/>
      <c r="N433" s="286"/>
      <c r="O433" s="286"/>
      <c r="P433" s="291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</row>
    <row r="434" ht="13.5" customHeight="1">
      <c r="A434" s="286"/>
      <c r="B434" s="286"/>
      <c r="C434" s="286"/>
      <c r="D434" s="286"/>
      <c r="E434" s="286"/>
      <c r="F434" s="287"/>
      <c r="G434" s="286"/>
      <c r="H434" s="287"/>
      <c r="I434" s="288"/>
      <c r="J434" s="289"/>
      <c r="K434" s="288"/>
      <c r="L434" s="289"/>
      <c r="M434" s="287"/>
      <c r="N434" s="286"/>
      <c r="O434" s="286"/>
      <c r="P434" s="291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</row>
    <row r="435" ht="13.5" customHeight="1">
      <c r="A435" s="286"/>
      <c r="B435" s="286"/>
      <c r="C435" s="286"/>
      <c r="D435" s="286"/>
      <c r="E435" s="286"/>
      <c r="F435" s="287"/>
      <c r="G435" s="286"/>
      <c r="H435" s="287"/>
      <c r="I435" s="288"/>
      <c r="J435" s="289"/>
      <c r="K435" s="288"/>
      <c r="L435" s="289"/>
      <c r="M435" s="287"/>
      <c r="N435" s="286"/>
      <c r="O435" s="286"/>
      <c r="P435" s="291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</row>
    <row r="436" ht="13.5" customHeight="1">
      <c r="A436" s="286"/>
      <c r="B436" s="286"/>
      <c r="C436" s="286"/>
      <c r="D436" s="286"/>
      <c r="E436" s="286"/>
      <c r="F436" s="287"/>
      <c r="G436" s="286"/>
      <c r="H436" s="287"/>
      <c r="I436" s="288"/>
      <c r="J436" s="289"/>
      <c r="K436" s="288"/>
      <c r="L436" s="289"/>
      <c r="M436" s="287"/>
      <c r="N436" s="286"/>
      <c r="O436" s="286"/>
      <c r="P436" s="291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</row>
    <row r="437" ht="13.5" customHeight="1">
      <c r="A437" s="286"/>
      <c r="B437" s="286"/>
      <c r="C437" s="286"/>
      <c r="D437" s="286"/>
      <c r="E437" s="286"/>
      <c r="F437" s="287"/>
      <c r="G437" s="286"/>
      <c r="H437" s="287"/>
      <c r="I437" s="288"/>
      <c r="J437" s="289"/>
      <c r="K437" s="288"/>
      <c r="L437" s="289"/>
      <c r="M437" s="287"/>
      <c r="N437" s="286"/>
      <c r="O437" s="286"/>
      <c r="P437" s="291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</row>
    <row r="438" ht="13.5" customHeight="1">
      <c r="A438" s="286"/>
      <c r="B438" s="286"/>
      <c r="C438" s="286"/>
      <c r="D438" s="286"/>
      <c r="E438" s="286"/>
      <c r="F438" s="287"/>
      <c r="G438" s="286"/>
      <c r="H438" s="287"/>
      <c r="I438" s="288"/>
      <c r="J438" s="289"/>
      <c r="K438" s="288"/>
      <c r="L438" s="289"/>
      <c r="M438" s="287"/>
      <c r="N438" s="286"/>
      <c r="O438" s="286"/>
      <c r="P438" s="291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</row>
    <row r="439" ht="13.5" customHeight="1">
      <c r="A439" s="286"/>
      <c r="B439" s="286"/>
      <c r="C439" s="286"/>
      <c r="D439" s="286"/>
      <c r="E439" s="286"/>
      <c r="F439" s="287"/>
      <c r="G439" s="286"/>
      <c r="H439" s="287"/>
      <c r="I439" s="288"/>
      <c r="J439" s="289"/>
      <c r="K439" s="288"/>
      <c r="L439" s="289"/>
      <c r="M439" s="287"/>
      <c r="N439" s="286"/>
      <c r="O439" s="286"/>
      <c r="P439" s="291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</row>
    <row r="440" ht="13.5" customHeight="1">
      <c r="A440" s="286"/>
      <c r="B440" s="286"/>
      <c r="C440" s="286"/>
      <c r="D440" s="286"/>
      <c r="E440" s="286"/>
      <c r="F440" s="287"/>
      <c r="G440" s="286"/>
      <c r="H440" s="287"/>
      <c r="I440" s="288"/>
      <c r="J440" s="289"/>
      <c r="K440" s="288"/>
      <c r="L440" s="289"/>
      <c r="M440" s="287"/>
      <c r="N440" s="286"/>
      <c r="O440" s="286"/>
      <c r="P440" s="291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</row>
    <row r="441" ht="13.5" customHeight="1">
      <c r="A441" s="286"/>
      <c r="B441" s="286"/>
      <c r="C441" s="286"/>
      <c r="D441" s="286"/>
      <c r="E441" s="286"/>
      <c r="F441" s="287"/>
      <c r="G441" s="286"/>
      <c r="H441" s="287"/>
      <c r="I441" s="288"/>
      <c r="J441" s="289"/>
      <c r="K441" s="288"/>
      <c r="L441" s="289"/>
      <c r="M441" s="287"/>
      <c r="N441" s="286"/>
      <c r="O441" s="286"/>
      <c r="P441" s="291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</row>
    <row r="442" ht="13.5" customHeight="1">
      <c r="A442" s="286"/>
      <c r="B442" s="286"/>
      <c r="C442" s="286"/>
      <c r="D442" s="286"/>
      <c r="E442" s="286"/>
      <c r="F442" s="287"/>
      <c r="G442" s="286"/>
      <c r="H442" s="287"/>
      <c r="I442" s="288"/>
      <c r="J442" s="289"/>
      <c r="K442" s="288"/>
      <c r="L442" s="289"/>
      <c r="M442" s="287"/>
      <c r="N442" s="286"/>
      <c r="O442" s="286"/>
      <c r="P442" s="291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</row>
    <row r="443" ht="13.5" customHeight="1">
      <c r="A443" s="286"/>
      <c r="B443" s="286"/>
      <c r="C443" s="286"/>
      <c r="D443" s="286"/>
      <c r="E443" s="286"/>
      <c r="F443" s="287"/>
      <c r="G443" s="286"/>
      <c r="H443" s="287"/>
      <c r="I443" s="288"/>
      <c r="J443" s="289"/>
      <c r="K443" s="288"/>
      <c r="L443" s="289"/>
      <c r="M443" s="287"/>
      <c r="N443" s="286"/>
      <c r="O443" s="286"/>
      <c r="P443" s="291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</row>
    <row r="444" ht="13.5" customHeight="1">
      <c r="A444" s="286"/>
      <c r="B444" s="286"/>
      <c r="C444" s="286"/>
      <c r="D444" s="286"/>
      <c r="E444" s="286"/>
      <c r="F444" s="287"/>
      <c r="G444" s="286"/>
      <c r="H444" s="287"/>
      <c r="I444" s="288"/>
      <c r="J444" s="289"/>
      <c r="K444" s="288"/>
      <c r="L444" s="289"/>
      <c r="M444" s="287"/>
      <c r="N444" s="286"/>
      <c r="O444" s="286"/>
      <c r="P444" s="291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</row>
    <row r="445" ht="13.5" customHeight="1">
      <c r="A445" s="286"/>
      <c r="B445" s="286"/>
      <c r="C445" s="286"/>
      <c r="D445" s="286"/>
      <c r="E445" s="286"/>
      <c r="F445" s="287"/>
      <c r="G445" s="286"/>
      <c r="H445" s="287"/>
      <c r="I445" s="288"/>
      <c r="J445" s="289"/>
      <c r="K445" s="288"/>
      <c r="L445" s="289"/>
      <c r="M445" s="287"/>
      <c r="N445" s="286"/>
      <c r="O445" s="286"/>
      <c r="P445" s="291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</row>
    <row r="446" ht="13.5" customHeight="1">
      <c r="A446" s="286"/>
      <c r="B446" s="286"/>
      <c r="C446" s="286"/>
      <c r="D446" s="286"/>
      <c r="E446" s="286"/>
      <c r="F446" s="287"/>
      <c r="G446" s="286"/>
      <c r="H446" s="287"/>
      <c r="I446" s="288"/>
      <c r="J446" s="289"/>
      <c r="K446" s="288"/>
      <c r="L446" s="289"/>
      <c r="M446" s="287"/>
      <c r="N446" s="286"/>
      <c r="O446" s="286"/>
      <c r="P446" s="291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</row>
    <row r="447" ht="13.5" customHeight="1">
      <c r="A447" s="286"/>
      <c r="B447" s="286"/>
      <c r="C447" s="286"/>
      <c r="D447" s="286"/>
      <c r="E447" s="286"/>
      <c r="F447" s="287"/>
      <c r="G447" s="286"/>
      <c r="H447" s="287"/>
      <c r="I447" s="288"/>
      <c r="J447" s="289"/>
      <c r="K447" s="288"/>
      <c r="L447" s="289"/>
      <c r="M447" s="287"/>
      <c r="N447" s="286"/>
      <c r="O447" s="286"/>
      <c r="P447" s="291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</row>
    <row r="448" ht="13.5" customHeight="1">
      <c r="A448" s="286"/>
      <c r="B448" s="286"/>
      <c r="C448" s="286"/>
      <c r="D448" s="286"/>
      <c r="E448" s="286"/>
      <c r="F448" s="287"/>
      <c r="G448" s="286"/>
      <c r="H448" s="287"/>
      <c r="I448" s="288"/>
      <c r="J448" s="289"/>
      <c r="K448" s="288"/>
      <c r="L448" s="289"/>
      <c r="M448" s="287"/>
      <c r="N448" s="286"/>
      <c r="O448" s="286"/>
      <c r="P448" s="291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</row>
    <row r="449" ht="13.5" customHeight="1">
      <c r="A449" s="286"/>
      <c r="B449" s="286"/>
      <c r="C449" s="286"/>
      <c r="D449" s="286"/>
      <c r="E449" s="286"/>
      <c r="F449" s="287"/>
      <c r="G449" s="286"/>
      <c r="H449" s="287"/>
      <c r="I449" s="288"/>
      <c r="J449" s="289"/>
      <c r="K449" s="288"/>
      <c r="L449" s="289"/>
      <c r="M449" s="287"/>
      <c r="N449" s="286"/>
      <c r="O449" s="286"/>
      <c r="P449" s="291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</row>
    <row r="450" ht="13.5" customHeight="1">
      <c r="A450" s="286"/>
      <c r="B450" s="286"/>
      <c r="C450" s="286"/>
      <c r="D450" s="286"/>
      <c r="E450" s="286"/>
      <c r="F450" s="287"/>
      <c r="G450" s="286"/>
      <c r="H450" s="287"/>
      <c r="I450" s="288"/>
      <c r="J450" s="289"/>
      <c r="K450" s="288"/>
      <c r="L450" s="289"/>
      <c r="M450" s="287"/>
      <c r="N450" s="286"/>
      <c r="O450" s="286"/>
      <c r="P450" s="291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</row>
    <row r="451" ht="13.5" customHeight="1">
      <c r="A451" s="286"/>
      <c r="B451" s="286"/>
      <c r="C451" s="286"/>
      <c r="D451" s="286"/>
      <c r="E451" s="286"/>
      <c r="F451" s="287"/>
      <c r="G451" s="286"/>
      <c r="H451" s="287"/>
      <c r="I451" s="288"/>
      <c r="J451" s="289"/>
      <c r="K451" s="288"/>
      <c r="L451" s="289"/>
      <c r="M451" s="287"/>
      <c r="N451" s="286"/>
      <c r="O451" s="286"/>
      <c r="P451" s="291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</row>
    <row r="452" ht="13.5" customHeight="1">
      <c r="A452" s="286"/>
      <c r="B452" s="286"/>
      <c r="C452" s="286"/>
      <c r="D452" s="286"/>
      <c r="E452" s="286"/>
      <c r="F452" s="287"/>
      <c r="G452" s="286"/>
      <c r="H452" s="287"/>
      <c r="I452" s="288"/>
      <c r="J452" s="289"/>
      <c r="K452" s="288"/>
      <c r="L452" s="289"/>
      <c r="M452" s="287"/>
      <c r="N452" s="286"/>
      <c r="O452" s="286"/>
      <c r="P452" s="291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</row>
    <row r="453" ht="13.5" customHeight="1">
      <c r="A453" s="286"/>
      <c r="B453" s="286"/>
      <c r="C453" s="286"/>
      <c r="D453" s="286"/>
      <c r="E453" s="286"/>
      <c r="F453" s="287"/>
      <c r="G453" s="286"/>
      <c r="H453" s="287"/>
      <c r="I453" s="288"/>
      <c r="J453" s="289"/>
      <c r="K453" s="288"/>
      <c r="L453" s="289"/>
      <c r="M453" s="287"/>
      <c r="N453" s="286"/>
      <c r="O453" s="286"/>
      <c r="P453" s="291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</row>
    <row r="454" ht="13.5" customHeight="1">
      <c r="A454" s="286"/>
      <c r="B454" s="286"/>
      <c r="C454" s="286"/>
      <c r="D454" s="286"/>
      <c r="E454" s="286"/>
      <c r="F454" s="287"/>
      <c r="G454" s="286"/>
      <c r="H454" s="287"/>
      <c r="I454" s="288"/>
      <c r="J454" s="289"/>
      <c r="K454" s="288"/>
      <c r="L454" s="289"/>
      <c r="M454" s="287"/>
      <c r="N454" s="286"/>
      <c r="O454" s="286"/>
      <c r="P454" s="291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</row>
    <row r="455" ht="13.5" customHeight="1">
      <c r="A455" s="286"/>
      <c r="B455" s="286"/>
      <c r="C455" s="286"/>
      <c r="D455" s="286"/>
      <c r="E455" s="286"/>
      <c r="F455" s="287"/>
      <c r="G455" s="286"/>
      <c r="H455" s="287"/>
      <c r="I455" s="288"/>
      <c r="J455" s="289"/>
      <c r="K455" s="288"/>
      <c r="L455" s="289"/>
      <c r="M455" s="287"/>
      <c r="N455" s="286"/>
      <c r="O455" s="286"/>
      <c r="P455" s="291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</row>
    <row r="456" ht="13.5" customHeight="1">
      <c r="A456" s="286"/>
      <c r="B456" s="286"/>
      <c r="C456" s="286"/>
      <c r="D456" s="286"/>
      <c r="E456" s="286"/>
      <c r="F456" s="287"/>
      <c r="G456" s="286"/>
      <c r="H456" s="287"/>
      <c r="I456" s="288"/>
      <c r="J456" s="289"/>
      <c r="K456" s="288"/>
      <c r="L456" s="289"/>
      <c r="M456" s="287"/>
      <c r="N456" s="286"/>
      <c r="O456" s="286"/>
      <c r="P456" s="291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</row>
    <row r="457" ht="13.5" customHeight="1">
      <c r="A457" s="286"/>
      <c r="B457" s="286"/>
      <c r="C457" s="286"/>
      <c r="D457" s="286"/>
      <c r="E457" s="286"/>
      <c r="F457" s="287"/>
      <c r="G457" s="286"/>
      <c r="H457" s="287"/>
      <c r="I457" s="288"/>
      <c r="J457" s="289"/>
      <c r="K457" s="288"/>
      <c r="L457" s="289"/>
      <c r="M457" s="287"/>
      <c r="N457" s="286"/>
      <c r="O457" s="286"/>
      <c r="P457" s="291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</row>
    <row r="458" ht="13.5" customHeight="1">
      <c r="A458" s="286"/>
      <c r="B458" s="286"/>
      <c r="C458" s="286"/>
      <c r="D458" s="286"/>
      <c r="E458" s="286"/>
      <c r="F458" s="287"/>
      <c r="G458" s="286"/>
      <c r="H458" s="287"/>
      <c r="I458" s="288"/>
      <c r="J458" s="289"/>
      <c r="K458" s="288"/>
      <c r="L458" s="289"/>
      <c r="M458" s="287"/>
      <c r="N458" s="286"/>
      <c r="O458" s="286"/>
      <c r="P458" s="291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</row>
    <row r="459" ht="13.5" customHeight="1">
      <c r="A459" s="286"/>
      <c r="B459" s="286"/>
      <c r="C459" s="286"/>
      <c r="D459" s="286"/>
      <c r="E459" s="286"/>
      <c r="F459" s="287"/>
      <c r="G459" s="286"/>
      <c r="H459" s="287"/>
      <c r="I459" s="288"/>
      <c r="J459" s="289"/>
      <c r="K459" s="288"/>
      <c r="L459" s="289"/>
      <c r="M459" s="287"/>
      <c r="N459" s="286"/>
      <c r="O459" s="286"/>
      <c r="P459" s="291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</row>
    <row r="460" ht="13.5" customHeight="1">
      <c r="A460" s="286"/>
      <c r="B460" s="286"/>
      <c r="C460" s="286"/>
      <c r="D460" s="286"/>
      <c r="E460" s="286"/>
      <c r="F460" s="287"/>
      <c r="G460" s="286"/>
      <c r="H460" s="287"/>
      <c r="I460" s="288"/>
      <c r="J460" s="289"/>
      <c r="K460" s="288"/>
      <c r="L460" s="289"/>
      <c r="M460" s="287"/>
      <c r="N460" s="286"/>
      <c r="O460" s="286"/>
      <c r="P460" s="291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</row>
    <row r="461" ht="13.5" customHeight="1">
      <c r="A461" s="286"/>
      <c r="B461" s="286"/>
      <c r="C461" s="286"/>
      <c r="D461" s="286"/>
      <c r="E461" s="286"/>
      <c r="F461" s="287"/>
      <c r="G461" s="286"/>
      <c r="H461" s="287"/>
      <c r="I461" s="288"/>
      <c r="J461" s="289"/>
      <c r="K461" s="288"/>
      <c r="L461" s="289"/>
      <c r="M461" s="287"/>
      <c r="N461" s="286"/>
      <c r="O461" s="286"/>
      <c r="P461" s="291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</row>
    <row r="462" ht="13.5" customHeight="1">
      <c r="A462" s="286"/>
      <c r="B462" s="286"/>
      <c r="C462" s="286"/>
      <c r="D462" s="286"/>
      <c r="E462" s="286"/>
      <c r="F462" s="287"/>
      <c r="G462" s="286"/>
      <c r="H462" s="287"/>
      <c r="I462" s="288"/>
      <c r="J462" s="289"/>
      <c r="K462" s="288"/>
      <c r="L462" s="289"/>
      <c r="M462" s="287"/>
      <c r="N462" s="286"/>
      <c r="O462" s="286"/>
      <c r="P462" s="291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</row>
    <row r="463" ht="13.5" customHeight="1">
      <c r="A463" s="286"/>
      <c r="B463" s="286"/>
      <c r="C463" s="286"/>
      <c r="D463" s="286"/>
      <c r="E463" s="286"/>
      <c r="F463" s="287"/>
      <c r="G463" s="286"/>
      <c r="H463" s="287"/>
      <c r="I463" s="288"/>
      <c r="J463" s="289"/>
      <c r="K463" s="288"/>
      <c r="L463" s="289"/>
      <c r="M463" s="287"/>
      <c r="N463" s="286"/>
      <c r="O463" s="286"/>
      <c r="P463" s="291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</row>
    <row r="464" ht="13.5" customHeight="1">
      <c r="A464" s="286"/>
      <c r="B464" s="286"/>
      <c r="C464" s="286"/>
      <c r="D464" s="286"/>
      <c r="E464" s="286"/>
      <c r="F464" s="287"/>
      <c r="G464" s="286"/>
      <c r="H464" s="287"/>
      <c r="I464" s="288"/>
      <c r="J464" s="289"/>
      <c r="K464" s="288"/>
      <c r="L464" s="289"/>
      <c r="M464" s="287"/>
      <c r="N464" s="286"/>
      <c r="O464" s="286"/>
      <c r="P464" s="291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</row>
    <row r="465" ht="13.5" customHeight="1">
      <c r="A465" s="286"/>
      <c r="B465" s="286"/>
      <c r="C465" s="286"/>
      <c r="D465" s="286"/>
      <c r="E465" s="286"/>
      <c r="F465" s="287"/>
      <c r="G465" s="286"/>
      <c r="H465" s="287"/>
      <c r="I465" s="288"/>
      <c r="J465" s="289"/>
      <c r="K465" s="288"/>
      <c r="L465" s="289"/>
      <c r="M465" s="287"/>
      <c r="N465" s="286"/>
      <c r="O465" s="286"/>
      <c r="P465" s="291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</row>
    <row r="466" ht="13.5" customHeight="1">
      <c r="A466" s="286"/>
      <c r="B466" s="286"/>
      <c r="C466" s="286"/>
      <c r="D466" s="286"/>
      <c r="E466" s="286"/>
      <c r="F466" s="287"/>
      <c r="G466" s="286"/>
      <c r="H466" s="287"/>
      <c r="I466" s="288"/>
      <c r="J466" s="289"/>
      <c r="K466" s="288"/>
      <c r="L466" s="289"/>
      <c r="M466" s="287"/>
      <c r="N466" s="286"/>
      <c r="O466" s="286"/>
      <c r="P466" s="291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</row>
    <row r="467" ht="13.5" customHeight="1">
      <c r="A467" s="286"/>
      <c r="B467" s="286"/>
      <c r="C467" s="286"/>
      <c r="D467" s="286"/>
      <c r="E467" s="286"/>
      <c r="F467" s="287"/>
      <c r="G467" s="286"/>
      <c r="H467" s="287"/>
      <c r="I467" s="288"/>
      <c r="J467" s="289"/>
      <c r="K467" s="288"/>
      <c r="L467" s="289"/>
      <c r="M467" s="287"/>
      <c r="N467" s="286"/>
      <c r="O467" s="286"/>
      <c r="P467" s="291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</row>
    <row r="468" ht="13.5" customHeight="1">
      <c r="A468" s="286"/>
      <c r="B468" s="286"/>
      <c r="C468" s="286"/>
      <c r="D468" s="286"/>
      <c r="E468" s="286"/>
      <c r="F468" s="287"/>
      <c r="G468" s="286"/>
      <c r="H468" s="287"/>
      <c r="I468" s="288"/>
      <c r="J468" s="289"/>
      <c r="K468" s="288"/>
      <c r="L468" s="289"/>
      <c r="M468" s="287"/>
      <c r="N468" s="286"/>
      <c r="O468" s="286"/>
      <c r="P468" s="291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</row>
    <row r="469" ht="13.5" customHeight="1">
      <c r="A469" s="286"/>
      <c r="B469" s="286"/>
      <c r="C469" s="286"/>
      <c r="D469" s="286"/>
      <c r="E469" s="286"/>
      <c r="F469" s="287"/>
      <c r="G469" s="286"/>
      <c r="H469" s="287"/>
      <c r="I469" s="288"/>
      <c r="J469" s="289"/>
      <c r="K469" s="288"/>
      <c r="L469" s="289"/>
      <c r="M469" s="287"/>
      <c r="N469" s="286"/>
      <c r="O469" s="286"/>
      <c r="P469" s="291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</row>
    <row r="470" ht="13.5" customHeight="1">
      <c r="A470" s="286"/>
      <c r="B470" s="286"/>
      <c r="C470" s="286"/>
      <c r="D470" s="286"/>
      <c r="E470" s="286"/>
      <c r="F470" s="287"/>
      <c r="G470" s="286"/>
      <c r="H470" s="287"/>
      <c r="I470" s="288"/>
      <c r="J470" s="289"/>
      <c r="K470" s="288"/>
      <c r="L470" s="289"/>
      <c r="M470" s="287"/>
      <c r="N470" s="286"/>
      <c r="O470" s="286"/>
      <c r="P470" s="291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</row>
    <row r="471" ht="13.5" customHeight="1">
      <c r="A471" s="286"/>
      <c r="B471" s="286"/>
      <c r="C471" s="286"/>
      <c r="D471" s="286"/>
      <c r="E471" s="286"/>
      <c r="F471" s="287"/>
      <c r="G471" s="286"/>
      <c r="H471" s="287"/>
      <c r="I471" s="288"/>
      <c r="J471" s="289"/>
      <c r="K471" s="288"/>
      <c r="L471" s="289"/>
      <c r="M471" s="287"/>
      <c r="N471" s="286"/>
      <c r="O471" s="286"/>
      <c r="P471" s="291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</row>
    <row r="472" ht="13.5" customHeight="1">
      <c r="A472" s="286"/>
      <c r="B472" s="286"/>
      <c r="C472" s="286"/>
      <c r="D472" s="286"/>
      <c r="E472" s="286"/>
      <c r="F472" s="287"/>
      <c r="G472" s="286"/>
      <c r="H472" s="287"/>
      <c r="I472" s="288"/>
      <c r="J472" s="289"/>
      <c r="K472" s="288"/>
      <c r="L472" s="289"/>
      <c r="M472" s="287"/>
      <c r="N472" s="286"/>
      <c r="O472" s="286"/>
      <c r="P472" s="291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</row>
    <row r="473" ht="13.5" customHeight="1">
      <c r="A473" s="286"/>
      <c r="B473" s="286"/>
      <c r="C473" s="286"/>
      <c r="D473" s="286"/>
      <c r="E473" s="286"/>
      <c r="F473" s="287"/>
      <c r="G473" s="286"/>
      <c r="H473" s="287"/>
      <c r="I473" s="288"/>
      <c r="J473" s="289"/>
      <c r="K473" s="288"/>
      <c r="L473" s="289"/>
      <c r="M473" s="287"/>
      <c r="N473" s="286"/>
      <c r="O473" s="286"/>
      <c r="P473" s="291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</row>
    <row r="474" ht="13.5" customHeight="1">
      <c r="A474" s="286"/>
      <c r="B474" s="286"/>
      <c r="C474" s="286"/>
      <c r="D474" s="286"/>
      <c r="E474" s="286"/>
      <c r="F474" s="287"/>
      <c r="G474" s="286"/>
      <c r="H474" s="287"/>
      <c r="I474" s="288"/>
      <c r="J474" s="289"/>
      <c r="K474" s="288"/>
      <c r="L474" s="289"/>
      <c r="M474" s="287"/>
      <c r="N474" s="286"/>
      <c r="O474" s="286"/>
      <c r="P474" s="291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</row>
    <row r="475" ht="13.5" customHeight="1">
      <c r="A475" s="286"/>
      <c r="B475" s="286"/>
      <c r="C475" s="286"/>
      <c r="D475" s="286"/>
      <c r="E475" s="286"/>
      <c r="F475" s="287"/>
      <c r="G475" s="286"/>
      <c r="H475" s="287"/>
      <c r="I475" s="288"/>
      <c r="J475" s="289"/>
      <c r="K475" s="288"/>
      <c r="L475" s="289"/>
      <c r="M475" s="287"/>
      <c r="N475" s="286"/>
      <c r="O475" s="286"/>
      <c r="P475" s="291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</row>
    <row r="476" ht="13.5" customHeight="1">
      <c r="A476" s="286"/>
      <c r="B476" s="286"/>
      <c r="C476" s="286"/>
      <c r="D476" s="286"/>
      <c r="E476" s="286"/>
      <c r="F476" s="287"/>
      <c r="G476" s="286"/>
      <c r="H476" s="287"/>
      <c r="I476" s="288"/>
      <c r="J476" s="289"/>
      <c r="K476" s="288"/>
      <c r="L476" s="289"/>
      <c r="M476" s="287"/>
      <c r="N476" s="286"/>
      <c r="O476" s="286"/>
      <c r="P476" s="291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</row>
    <row r="477" ht="13.5" customHeight="1">
      <c r="A477" s="286"/>
      <c r="B477" s="286"/>
      <c r="C477" s="286"/>
      <c r="D477" s="286"/>
      <c r="E477" s="286"/>
      <c r="F477" s="287"/>
      <c r="G477" s="286"/>
      <c r="H477" s="287"/>
      <c r="I477" s="288"/>
      <c r="J477" s="289"/>
      <c r="K477" s="288"/>
      <c r="L477" s="289"/>
      <c r="M477" s="287"/>
      <c r="N477" s="286"/>
      <c r="O477" s="286"/>
      <c r="P477" s="291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</row>
    <row r="478" ht="13.5" customHeight="1">
      <c r="A478" s="286"/>
      <c r="B478" s="286"/>
      <c r="C478" s="286"/>
      <c r="D478" s="286"/>
      <c r="E478" s="286"/>
      <c r="F478" s="287"/>
      <c r="G478" s="286"/>
      <c r="H478" s="287"/>
      <c r="I478" s="288"/>
      <c r="J478" s="289"/>
      <c r="K478" s="288"/>
      <c r="L478" s="289"/>
      <c r="M478" s="287"/>
      <c r="N478" s="286"/>
      <c r="O478" s="286"/>
      <c r="P478" s="291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</row>
    <row r="479" ht="13.5" customHeight="1">
      <c r="A479" s="286"/>
      <c r="B479" s="286"/>
      <c r="C479" s="286"/>
      <c r="D479" s="286"/>
      <c r="E479" s="286"/>
      <c r="F479" s="287"/>
      <c r="G479" s="286"/>
      <c r="H479" s="287"/>
      <c r="I479" s="288"/>
      <c r="J479" s="289"/>
      <c r="K479" s="288"/>
      <c r="L479" s="289"/>
      <c r="M479" s="287"/>
      <c r="N479" s="286"/>
      <c r="O479" s="286"/>
      <c r="P479" s="291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</row>
    <row r="480" ht="13.5" customHeight="1">
      <c r="A480" s="286"/>
      <c r="B480" s="286"/>
      <c r="C480" s="286"/>
      <c r="D480" s="286"/>
      <c r="E480" s="286"/>
      <c r="F480" s="287"/>
      <c r="G480" s="286"/>
      <c r="H480" s="287"/>
      <c r="I480" s="288"/>
      <c r="J480" s="289"/>
      <c r="K480" s="288"/>
      <c r="L480" s="289"/>
      <c r="M480" s="287"/>
      <c r="N480" s="286"/>
      <c r="O480" s="286"/>
      <c r="P480" s="291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</row>
    <row r="481" ht="13.5" customHeight="1">
      <c r="A481" s="286"/>
      <c r="B481" s="286"/>
      <c r="C481" s="286"/>
      <c r="D481" s="286"/>
      <c r="E481" s="286"/>
      <c r="F481" s="287"/>
      <c r="G481" s="286"/>
      <c r="H481" s="287"/>
      <c r="I481" s="288"/>
      <c r="J481" s="289"/>
      <c r="K481" s="288"/>
      <c r="L481" s="289"/>
      <c r="M481" s="287"/>
      <c r="N481" s="286"/>
      <c r="O481" s="286"/>
      <c r="P481" s="291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</row>
    <row r="482" ht="13.5" customHeight="1">
      <c r="A482" s="286"/>
      <c r="B482" s="286"/>
      <c r="C482" s="286"/>
      <c r="D482" s="286"/>
      <c r="E482" s="286"/>
      <c r="F482" s="287"/>
      <c r="G482" s="286"/>
      <c r="H482" s="287"/>
      <c r="I482" s="288"/>
      <c r="J482" s="289"/>
      <c r="K482" s="288"/>
      <c r="L482" s="289"/>
      <c r="M482" s="287"/>
      <c r="N482" s="286"/>
      <c r="O482" s="286"/>
      <c r="P482" s="291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</row>
    <row r="483" ht="13.5" customHeight="1">
      <c r="A483" s="286"/>
      <c r="B483" s="286"/>
      <c r="C483" s="286"/>
      <c r="D483" s="286"/>
      <c r="E483" s="286"/>
      <c r="F483" s="287"/>
      <c r="G483" s="286"/>
      <c r="H483" s="287"/>
      <c r="I483" s="288"/>
      <c r="J483" s="289"/>
      <c r="K483" s="288"/>
      <c r="L483" s="289"/>
      <c r="M483" s="287"/>
      <c r="N483" s="286"/>
      <c r="O483" s="286"/>
      <c r="P483" s="291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</row>
    <row r="484" ht="13.5" customHeight="1">
      <c r="A484" s="286"/>
      <c r="B484" s="286"/>
      <c r="C484" s="286"/>
      <c r="D484" s="286"/>
      <c r="E484" s="286"/>
      <c r="F484" s="287"/>
      <c r="G484" s="286"/>
      <c r="H484" s="287"/>
      <c r="I484" s="288"/>
      <c r="J484" s="289"/>
      <c r="K484" s="288"/>
      <c r="L484" s="289"/>
      <c r="M484" s="287"/>
      <c r="N484" s="286"/>
      <c r="O484" s="286"/>
      <c r="P484" s="291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</row>
    <row r="485" ht="13.5" customHeight="1">
      <c r="A485" s="286"/>
      <c r="B485" s="286"/>
      <c r="C485" s="286"/>
      <c r="D485" s="286"/>
      <c r="E485" s="286"/>
      <c r="F485" s="287"/>
      <c r="G485" s="286"/>
      <c r="H485" s="287"/>
      <c r="I485" s="288"/>
      <c r="J485" s="289"/>
      <c r="K485" s="288"/>
      <c r="L485" s="289"/>
      <c r="M485" s="287"/>
      <c r="N485" s="286"/>
      <c r="O485" s="286"/>
      <c r="P485" s="291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</row>
    <row r="486" ht="13.5" customHeight="1">
      <c r="A486" s="286"/>
      <c r="B486" s="286"/>
      <c r="C486" s="286"/>
      <c r="D486" s="286"/>
      <c r="E486" s="286"/>
      <c r="F486" s="287"/>
      <c r="G486" s="286"/>
      <c r="H486" s="287"/>
      <c r="I486" s="288"/>
      <c r="J486" s="289"/>
      <c r="K486" s="288"/>
      <c r="L486" s="289"/>
      <c r="M486" s="287"/>
      <c r="N486" s="286"/>
      <c r="O486" s="286"/>
      <c r="P486" s="291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</row>
    <row r="487" ht="13.5" customHeight="1">
      <c r="A487" s="286"/>
      <c r="B487" s="286"/>
      <c r="C487" s="286"/>
      <c r="D487" s="286"/>
      <c r="E487" s="286"/>
      <c r="F487" s="287"/>
      <c r="G487" s="286"/>
      <c r="H487" s="287"/>
      <c r="I487" s="288"/>
      <c r="J487" s="289"/>
      <c r="K487" s="288"/>
      <c r="L487" s="289"/>
      <c r="M487" s="287"/>
      <c r="N487" s="286"/>
      <c r="O487" s="286"/>
      <c r="P487" s="291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</row>
    <row r="488" ht="13.5" customHeight="1">
      <c r="A488" s="286"/>
      <c r="B488" s="286"/>
      <c r="C488" s="286"/>
      <c r="D488" s="286"/>
      <c r="E488" s="286"/>
      <c r="F488" s="287"/>
      <c r="G488" s="286"/>
      <c r="H488" s="287"/>
      <c r="I488" s="288"/>
      <c r="J488" s="289"/>
      <c r="K488" s="288"/>
      <c r="L488" s="289"/>
      <c r="M488" s="287"/>
      <c r="N488" s="286"/>
      <c r="O488" s="286"/>
      <c r="P488" s="291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</row>
    <row r="489" ht="13.5" customHeight="1">
      <c r="A489" s="286"/>
      <c r="B489" s="286"/>
      <c r="C489" s="286"/>
      <c r="D489" s="286"/>
      <c r="E489" s="286"/>
      <c r="F489" s="287"/>
      <c r="G489" s="286"/>
      <c r="H489" s="287"/>
      <c r="I489" s="288"/>
      <c r="J489" s="289"/>
      <c r="K489" s="288"/>
      <c r="L489" s="289"/>
      <c r="M489" s="287"/>
      <c r="N489" s="286"/>
      <c r="O489" s="286"/>
      <c r="P489" s="291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</row>
    <row r="490" ht="13.5" customHeight="1">
      <c r="A490" s="286"/>
      <c r="B490" s="286"/>
      <c r="C490" s="286"/>
      <c r="D490" s="286"/>
      <c r="E490" s="286"/>
      <c r="F490" s="287"/>
      <c r="G490" s="286"/>
      <c r="H490" s="287"/>
      <c r="I490" s="288"/>
      <c r="J490" s="289"/>
      <c r="K490" s="288"/>
      <c r="L490" s="289"/>
      <c r="M490" s="287"/>
      <c r="N490" s="286"/>
      <c r="O490" s="286"/>
      <c r="P490" s="291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</row>
    <row r="491" ht="13.5" customHeight="1">
      <c r="A491" s="286"/>
      <c r="B491" s="286"/>
      <c r="C491" s="286"/>
      <c r="D491" s="286"/>
      <c r="E491" s="286"/>
      <c r="F491" s="287"/>
      <c r="G491" s="286"/>
      <c r="H491" s="287"/>
      <c r="I491" s="288"/>
      <c r="J491" s="289"/>
      <c r="K491" s="288"/>
      <c r="L491" s="289"/>
      <c r="M491" s="287"/>
      <c r="N491" s="286"/>
      <c r="O491" s="286"/>
      <c r="P491" s="291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</row>
    <row r="492" ht="13.5" customHeight="1">
      <c r="A492" s="286"/>
      <c r="B492" s="286"/>
      <c r="C492" s="286"/>
      <c r="D492" s="286"/>
      <c r="E492" s="286"/>
      <c r="F492" s="287"/>
      <c r="G492" s="286"/>
      <c r="H492" s="287"/>
      <c r="I492" s="288"/>
      <c r="J492" s="289"/>
      <c r="K492" s="288"/>
      <c r="L492" s="289"/>
      <c r="M492" s="287"/>
      <c r="N492" s="286"/>
      <c r="O492" s="286"/>
      <c r="P492" s="291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</row>
    <row r="493" ht="13.5" customHeight="1">
      <c r="A493" s="286"/>
      <c r="B493" s="286"/>
      <c r="C493" s="286"/>
      <c r="D493" s="286"/>
      <c r="E493" s="286"/>
      <c r="F493" s="287"/>
      <c r="G493" s="286"/>
      <c r="H493" s="287"/>
      <c r="I493" s="288"/>
      <c r="J493" s="289"/>
      <c r="K493" s="288"/>
      <c r="L493" s="289"/>
      <c r="M493" s="287"/>
      <c r="N493" s="286"/>
      <c r="O493" s="286"/>
      <c r="P493" s="291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</row>
    <row r="494" ht="13.5" customHeight="1">
      <c r="A494" s="286"/>
      <c r="B494" s="286"/>
      <c r="C494" s="286"/>
      <c r="D494" s="286"/>
      <c r="E494" s="286"/>
      <c r="F494" s="287"/>
      <c r="G494" s="286"/>
      <c r="H494" s="287"/>
      <c r="I494" s="288"/>
      <c r="J494" s="289"/>
      <c r="K494" s="288"/>
      <c r="L494" s="289"/>
      <c r="M494" s="287"/>
      <c r="N494" s="286"/>
      <c r="O494" s="286"/>
      <c r="P494" s="291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</row>
    <row r="495" ht="13.5" customHeight="1">
      <c r="A495" s="286"/>
      <c r="B495" s="286"/>
      <c r="C495" s="286"/>
      <c r="D495" s="286"/>
      <c r="E495" s="286"/>
      <c r="F495" s="287"/>
      <c r="G495" s="286"/>
      <c r="H495" s="287"/>
      <c r="I495" s="288"/>
      <c r="J495" s="289"/>
      <c r="K495" s="288"/>
      <c r="L495" s="289"/>
      <c r="M495" s="287"/>
      <c r="N495" s="286"/>
      <c r="O495" s="286"/>
      <c r="P495" s="291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</row>
    <row r="496" ht="13.5" customHeight="1">
      <c r="A496" s="286"/>
      <c r="B496" s="286"/>
      <c r="C496" s="286"/>
      <c r="D496" s="286"/>
      <c r="E496" s="286"/>
      <c r="F496" s="287"/>
      <c r="G496" s="286"/>
      <c r="H496" s="287"/>
      <c r="I496" s="288"/>
      <c r="J496" s="289"/>
      <c r="K496" s="288"/>
      <c r="L496" s="289"/>
      <c r="M496" s="287"/>
      <c r="N496" s="286"/>
      <c r="O496" s="286"/>
      <c r="P496" s="291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</row>
    <row r="497" ht="13.5" customHeight="1">
      <c r="A497" s="286"/>
      <c r="B497" s="286"/>
      <c r="C497" s="286"/>
      <c r="D497" s="286"/>
      <c r="E497" s="286"/>
      <c r="F497" s="287"/>
      <c r="G497" s="286"/>
      <c r="H497" s="287"/>
      <c r="I497" s="288"/>
      <c r="J497" s="289"/>
      <c r="K497" s="288"/>
      <c r="L497" s="289"/>
      <c r="M497" s="287"/>
      <c r="N497" s="286"/>
      <c r="O497" s="286"/>
      <c r="P497" s="291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</row>
    <row r="498" ht="13.5" customHeight="1">
      <c r="A498" s="286"/>
      <c r="B498" s="286"/>
      <c r="C498" s="286"/>
      <c r="D498" s="286"/>
      <c r="E498" s="286"/>
      <c r="F498" s="287"/>
      <c r="G498" s="286"/>
      <c r="H498" s="287"/>
      <c r="I498" s="288"/>
      <c r="J498" s="289"/>
      <c r="K498" s="288"/>
      <c r="L498" s="289"/>
      <c r="M498" s="287"/>
      <c r="N498" s="286"/>
      <c r="O498" s="286"/>
      <c r="P498" s="291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</row>
    <row r="499" ht="13.5" customHeight="1">
      <c r="A499" s="286"/>
      <c r="B499" s="286"/>
      <c r="C499" s="286"/>
      <c r="D499" s="286"/>
      <c r="E499" s="286"/>
      <c r="F499" s="287"/>
      <c r="G499" s="286"/>
      <c r="H499" s="287"/>
      <c r="I499" s="288"/>
      <c r="J499" s="289"/>
      <c r="K499" s="288"/>
      <c r="L499" s="289"/>
      <c r="M499" s="287"/>
      <c r="N499" s="286"/>
      <c r="O499" s="286"/>
      <c r="P499" s="291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</row>
    <row r="500" ht="13.5" customHeight="1">
      <c r="A500" s="286"/>
      <c r="B500" s="286"/>
      <c r="C500" s="286"/>
      <c r="D500" s="286"/>
      <c r="E500" s="286"/>
      <c r="F500" s="287"/>
      <c r="G500" s="286"/>
      <c r="H500" s="287"/>
      <c r="I500" s="288"/>
      <c r="J500" s="289"/>
      <c r="K500" s="288"/>
      <c r="L500" s="289"/>
      <c r="M500" s="287"/>
      <c r="N500" s="286"/>
      <c r="O500" s="286"/>
      <c r="P500" s="291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</row>
    <row r="501" ht="13.5" customHeight="1">
      <c r="A501" s="286"/>
      <c r="B501" s="286"/>
      <c r="C501" s="286"/>
      <c r="D501" s="286"/>
      <c r="E501" s="286"/>
      <c r="F501" s="287"/>
      <c r="G501" s="286"/>
      <c r="H501" s="287"/>
      <c r="I501" s="288"/>
      <c r="J501" s="289"/>
      <c r="K501" s="288"/>
      <c r="L501" s="289"/>
      <c r="M501" s="287"/>
      <c r="N501" s="286"/>
      <c r="O501" s="286"/>
      <c r="P501" s="291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</row>
    <row r="502" ht="13.5" customHeight="1">
      <c r="A502" s="286"/>
      <c r="B502" s="286"/>
      <c r="C502" s="286"/>
      <c r="D502" s="286"/>
      <c r="E502" s="286"/>
      <c r="F502" s="287"/>
      <c r="G502" s="286"/>
      <c r="H502" s="287"/>
      <c r="I502" s="288"/>
      <c r="J502" s="289"/>
      <c r="K502" s="288"/>
      <c r="L502" s="289"/>
      <c r="M502" s="287"/>
      <c r="N502" s="286"/>
      <c r="O502" s="286"/>
      <c r="P502" s="291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</row>
    <row r="503" ht="13.5" customHeight="1">
      <c r="A503" s="286"/>
      <c r="B503" s="286"/>
      <c r="C503" s="286"/>
      <c r="D503" s="286"/>
      <c r="E503" s="286"/>
      <c r="F503" s="287"/>
      <c r="G503" s="286"/>
      <c r="H503" s="287"/>
      <c r="I503" s="288"/>
      <c r="J503" s="289"/>
      <c r="K503" s="288"/>
      <c r="L503" s="289"/>
      <c r="M503" s="287"/>
      <c r="N503" s="286"/>
      <c r="O503" s="286"/>
      <c r="P503" s="291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</row>
    <row r="504" ht="13.5" customHeight="1">
      <c r="A504" s="286"/>
      <c r="B504" s="286"/>
      <c r="C504" s="286"/>
      <c r="D504" s="286"/>
      <c r="E504" s="286"/>
      <c r="F504" s="287"/>
      <c r="G504" s="286"/>
      <c r="H504" s="287"/>
      <c r="I504" s="288"/>
      <c r="J504" s="289"/>
      <c r="K504" s="288"/>
      <c r="L504" s="289"/>
      <c r="M504" s="287"/>
      <c r="N504" s="286"/>
      <c r="O504" s="286"/>
      <c r="P504" s="291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</row>
    <row r="505" ht="13.5" customHeight="1">
      <c r="A505" s="286"/>
      <c r="B505" s="286"/>
      <c r="C505" s="286"/>
      <c r="D505" s="286"/>
      <c r="E505" s="286"/>
      <c r="F505" s="287"/>
      <c r="G505" s="286"/>
      <c r="H505" s="287"/>
      <c r="I505" s="288"/>
      <c r="J505" s="289"/>
      <c r="K505" s="288"/>
      <c r="L505" s="289"/>
      <c r="M505" s="287"/>
      <c r="N505" s="286"/>
      <c r="O505" s="286"/>
      <c r="P505" s="291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</row>
    <row r="506" ht="13.5" customHeight="1">
      <c r="A506" s="286"/>
      <c r="B506" s="286"/>
      <c r="C506" s="286"/>
      <c r="D506" s="286"/>
      <c r="E506" s="286"/>
      <c r="F506" s="287"/>
      <c r="G506" s="286"/>
      <c r="H506" s="287"/>
      <c r="I506" s="288"/>
      <c r="J506" s="289"/>
      <c r="K506" s="288"/>
      <c r="L506" s="289"/>
      <c r="M506" s="287"/>
      <c r="N506" s="286"/>
      <c r="O506" s="286"/>
      <c r="P506" s="291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</row>
    <row r="507" ht="13.5" customHeight="1">
      <c r="A507" s="286"/>
      <c r="B507" s="286"/>
      <c r="C507" s="286"/>
      <c r="D507" s="286"/>
      <c r="E507" s="286"/>
      <c r="F507" s="287"/>
      <c r="G507" s="286"/>
      <c r="H507" s="287"/>
      <c r="I507" s="288"/>
      <c r="J507" s="289"/>
      <c r="K507" s="288"/>
      <c r="L507" s="289"/>
      <c r="M507" s="287"/>
      <c r="N507" s="286"/>
      <c r="O507" s="286"/>
      <c r="P507" s="291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</row>
    <row r="508" ht="13.5" customHeight="1">
      <c r="A508" s="286"/>
      <c r="B508" s="286"/>
      <c r="C508" s="286"/>
      <c r="D508" s="286"/>
      <c r="E508" s="286"/>
      <c r="F508" s="287"/>
      <c r="G508" s="286"/>
      <c r="H508" s="287"/>
      <c r="I508" s="288"/>
      <c r="J508" s="289"/>
      <c r="K508" s="288"/>
      <c r="L508" s="289"/>
      <c r="M508" s="287"/>
      <c r="N508" s="286"/>
      <c r="O508" s="286"/>
      <c r="P508" s="291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</row>
    <row r="509" ht="13.5" customHeight="1">
      <c r="A509" s="286"/>
      <c r="B509" s="286"/>
      <c r="C509" s="286"/>
      <c r="D509" s="286"/>
      <c r="E509" s="286"/>
      <c r="F509" s="287"/>
      <c r="G509" s="286"/>
      <c r="H509" s="287"/>
      <c r="I509" s="288"/>
      <c r="J509" s="289"/>
      <c r="K509" s="288"/>
      <c r="L509" s="289"/>
      <c r="M509" s="287"/>
      <c r="N509" s="286"/>
      <c r="O509" s="286"/>
      <c r="P509" s="291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</row>
    <row r="510" ht="13.5" customHeight="1">
      <c r="A510" s="286"/>
      <c r="B510" s="286"/>
      <c r="C510" s="286"/>
      <c r="D510" s="286"/>
      <c r="E510" s="286"/>
      <c r="F510" s="287"/>
      <c r="G510" s="286"/>
      <c r="H510" s="287"/>
      <c r="I510" s="288"/>
      <c r="J510" s="289"/>
      <c r="K510" s="288"/>
      <c r="L510" s="289"/>
      <c r="M510" s="287"/>
      <c r="N510" s="286"/>
      <c r="O510" s="286"/>
      <c r="P510" s="291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</row>
    <row r="511" ht="13.5" customHeight="1">
      <c r="A511" s="286"/>
      <c r="B511" s="286"/>
      <c r="C511" s="286"/>
      <c r="D511" s="286"/>
      <c r="E511" s="286"/>
      <c r="F511" s="287"/>
      <c r="G511" s="286"/>
      <c r="H511" s="287"/>
      <c r="I511" s="288"/>
      <c r="J511" s="289"/>
      <c r="K511" s="288"/>
      <c r="L511" s="289"/>
      <c r="M511" s="287"/>
      <c r="N511" s="286"/>
      <c r="O511" s="286"/>
      <c r="P511" s="291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</row>
    <row r="512" ht="13.5" customHeight="1">
      <c r="A512" s="286"/>
      <c r="B512" s="286"/>
      <c r="C512" s="286"/>
      <c r="D512" s="286"/>
      <c r="E512" s="286"/>
      <c r="F512" s="287"/>
      <c r="G512" s="286"/>
      <c r="H512" s="287"/>
      <c r="I512" s="288"/>
      <c r="J512" s="289"/>
      <c r="K512" s="288"/>
      <c r="L512" s="289"/>
      <c r="M512" s="287"/>
      <c r="N512" s="286"/>
      <c r="O512" s="286"/>
      <c r="P512" s="291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</row>
    <row r="513" ht="13.5" customHeight="1">
      <c r="A513" s="286"/>
      <c r="B513" s="286"/>
      <c r="C513" s="286"/>
      <c r="D513" s="286"/>
      <c r="E513" s="286"/>
      <c r="F513" s="287"/>
      <c r="G513" s="286"/>
      <c r="H513" s="287"/>
      <c r="I513" s="288"/>
      <c r="J513" s="289"/>
      <c r="K513" s="288"/>
      <c r="L513" s="289"/>
      <c r="M513" s="287"/>
      <c r="N513" s="286"/>
      <c r="O513" s="286"/>
      <c r="P513" s="291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</row>
    <row r="514" ht="13.5" customHeight="1">
      <c r="A514" s="286"/>
      <c r="B514" s="286"/>
      <c r="C514" s="286"/>
      <c r="D514" s="286"/>
      <c r="E514" s="286"/>
      <c r="F514" s="287"/>
      <c r="G514" s="286"/>
      <c r="H514" s="287"/>
      <c r="I514" s="288"/>
      <c r="J514" s="289"/>
      <c r="K514" s="288"/>
      <c r="L514" s="289"/>
      <c r="M514" s="287"/>
      <c r="N514" s="286"/>
      <c r="O514" s="286"/>
      <c r="P514" s="291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</row>
    <row r="515" ht="13.5" customHeight="1">
      <c r="A515" s="286"/>
      <c r="B515" s="286"/>
      <c r="C515" s="286"/>
      <c r="D515" s="286"/>
      <c r="E515" s="286"/>
      <c r="F515" s="287"/>
      <c r="G515" s="286"/>
      <c r="H515" s="287"/>
      <c r="I515" s="288"/>
      <c r="J515" s="289"/>
      <c r="K515" s="288"/>
      <c r="L515" s="289"/>
      <c r="M515" s="287"/>
      <c r="N515" s="286"/>
      <c r="O515" s="286"/>
      <c r="P515" s="291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</row>
    <row r="516" ht="13.5" customHeight="1">
      <c r="A516" s="286"/>
      <c r="B516" s="286"/>
      <c r="C516" s="286"/>
      <c r="D516" s="286"/>
      <c r="E516" s="286"/>
      <c r="F516" s="287"/>
      <c r="G516" s="286"/>
      <c r="H516" s="287"/>
      <c r="I516" s="288"/>
      <c r="J516" s="289"/>
      <c r="K516" s="288"/>
      <c r="L516" s="289"/>
      <c r="M516" s="287"/>
      <c r="N516" s="286"/>
      <c r="O516" s="286"/>
      <c r="P516" s="291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</row>
    <row r="517" ht="13.5" customHeight="1">
      <c r="A517" s="286"/>
      <c r="B517" s="286"/>
      <c r="C517" s="286"/>
      <c r="D517" s="286"/>
      <c r="E517" s="286"/>
      <c r="F517" s="287"/>
      <c r="G517" s="286"/>
      <c r="H517" s="287"/>
      <c r="I517" s="288"/>
      <c r="J517" s="289"/>
      <c r="K517" s="288"/>
      <c r="L517" s="289"/>
      <c r="M517" s="287"/>
      <c r="N517" s="286"/>
      <c r="O517" s="286"/>
      <c r="P517" s="291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</row>
    <row r="518" ht="13.5" customHeight="1">
      <c r="A518" s="286"/>
      <c r="B518" s="286"/>
      <c r="C518" s="286"/>
      <c r="D518" s="286"/>
      <c r="E518" s="286"/>
      <c r="F518" s="287"/>
      <c r="G518" s="286"/>
      <c r="H518" s="287"/>
      <c r="I518" s="288"/>
      <c r="J518" s="289"/>
      <c r="K518" s="288"/>
      <c r="L518" s="289"/>
      <c r="M518" s="287"/>
      <c r="N518" s="286"/>
      <c r="O518" s="286"/>
      <c r="P518" s="291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</row>
    <row r="519" ht="13.5" customHeight="1">
      <c r="A519" s="286"/>
      <c r="B519" s="286"/>
      <c r="C519" s="286"/>
      <c r="D519" s="286"/>
      <c r="E519" s="286"/>
      <c r="F519" s="287"/>
      <c r="G519" s="286"/>
      <c r="H519" s="287"/>
      <c r="I519" s="288"/>
      <c r="J519" s="289"/>
      <c r="K519" s="288"/>
      <c r="L519" s="289"/>
      <c r="M519" s="287"/>
      <c r="N519" s="286"/>
      <c r="O519" s="286"/>
      <c r="P519" s="291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</row>
    <row r="520" ht="13.5" customHeight="1">
      <c r="A520" s="286"/>
      <c r="B520" s="286"/>
      <c r="C520" s="286"/>
      <c r="D520" s="286"/>
      <c r="E520" s="286"/>
      <c r="F520" s="287"/>
      <c r="G520" s="286"/>
      <c r="H520" s="287"/>
      <c r="I520" s="288"/>
      <c r="J520" s="289"/>
      <c r="K520" s="288"/>
      <c r="L520" s="289"/>
      <c r="M520" s="287"/>
      <c r="N520" s="286"/>
      <c r="O520" s="286"/>
      <c r="P520" s="291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</row>
    <row r="521" ht="13.5" customHeight="1">
      <c r="A521" s="286"/>
      <c r="B521" s="286"/>
      <c r="C521" s="286"/>
      <c r="D521" s="286"/>
      <c r="E521" s="286"/>
      <c r="F521" s="287"/>
      <c r="G521" s="286"/>
      <c r="H521" s="287"/>
      <c r="I521" s="288"/>
      <c r="J521" s="289"/>
      <c r="K521" s="288"/>
      <c r="L521" s="289"/>
      <c r="M521" s="287"/>
      <c r="N521" s="286"/>
      <c r="O521" s="286"/>
      <c r="P521" s="291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</row>
    <row r="522" ht="13.5" customHeight="1">
      <c r="A522" s="286"/>
      <c r="B522" s="286"/>
      <c r="C522" s="286"/>
      <c r="D522" s="286"/>
      <c r="E522" s="286"/>
      <c r="F522" s="287"/>
      <c r="G522" s="286"/>
      <c r="H522" s="287"/>
      <c r="I522" s="288"/>
      <c r="J522" s="289"/>
      <c r="K522" s="288"/>
      <c r="L522" s="289"/>
      <c r="M522" s="287"/>
      <c r="N522" s="286"/>
      <c r="O522" s="286"/>
      <c r="P522" s="291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</row>
    <row r="523" ht="13.5" customHeight="1">
      <c r="A523" s="286"/>
      <c r="B523" s="286"/>
      <c r="C523" s="286"/>
      <c r="D523" s="286"/>
      <c r="E523" s="286"/>
      <c r="F523" s="287"/>
      <c r="G523" s="286"/>
      <c r="H523" s="287"/>
      <c r="I523" s="288"/>
      <c r="J523" s="289"/>
      <c r="K523" s="288"/>
      <c r="L523" s="289"/>
      <c r="M523" s="287"/>
      <c r="N523" s="286"/>
      <c r="O523" s="286"/>
      <c r="P523" s="291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</row>
    <row r="524" ht="13.5" customHeight="1">
      <c r="A524" s="286"/>
      <c r="B524" s="286"/>
      <c r="C524" s="286"/>
      <c r="D524" s="286"/>
      <c r="E524" s="286"/>
      <c r="F524" s="287"/>
      <c r="G524" s="286"/>
      <c r="H524" s="287"/>
      <c r="I524" s="288"/>
      <c r="J524" s="289"/>
      <c r="K524" s="288"/>
      <c r="L524" s="289"/>
      <c r="M524" s="287"/>
      <c r="N524" s="286"/>
      <c r="O524" s="286"/>
      <c r="P524" s="291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</row>
    <row r="525" ht="13.5" customHeight="1">
      <c r="A525" s="286"/>
      <c r="B525" s="286"/>
      <c r="C525" s="286"/>
      <c r="D525" s="286"/>
      <c r="E525" s="286"/>
      <c r="F525" s="287"/>
      <c r="G525" s="286"/>
      <c r="H525" s="287"/>
      <c r="I525" s="288"/>
      <c r="J525" s="289"/>
      <c r="K525" s="288"/>
      <c r="L525" s="289"/>
      <c r="M525" s="287"/>
      <c r="N525" s="286"/>
      <c r="O525" s="286"/>
      <c r="P525" s="291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</row>
    <row r="526" ht="13.5" customHeight="1">
      <c r="A526" s="286"/>
      <c r="B526" s="286"/>
      <c r="C526" s="286"/>
      <c r="D526" s="286"/>
      <c r="E526" s="286"/>
      <c r="F526" s="287"/>
      <c r="G526" s="286"/>
      <c r="H526" s="287"/>
      <c r="I526" s="288"/>
      <c r="J526" s="289"/>
      <c r="K526" s="288"/>
      <c r="L526" s="289"/>
      <c r="M526" s="287"/>
      <c r="N526" s="286"/>
      <c r="O526" s="286"/>
      <c r="P526" s="291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</row>
    <row r="527" ht="13.5" customHeight="1">
      <c r="A527" s="286"/>
      <c r="B527" s="286"/>
      <c r="C527" s="286"/>
      <c r="D527" s="286"/>
      <c r="E527" s="286"/>
      <c r="F527" s="287"/>
      <c r="G527" s="286"/>
      <c r="H527" s="287"/>
      <c r="I527" s="288"/>
      <c r="J527" s="289"/>
      <c r="K527" s="288"/>
      <c r="L527" s="289"/>
      <c r="M527" s="287"/>
      <c r="N527" s="286"/>
      <c r="O527" s="286"/>
      <c r="P527" s="291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</row>
    <row r="528" ht="13.5" customHeight="1">
      <c r="A528" s="286"/>
      <c r="B528" s="286"/>
      <c r="C528" s="286"/>
      <c r="D528" s="286"/>
      <c r="E528" s="286"/>
      <c r="F528" s="287"/>
      <c r="G528" s="286"/>
      <c r="H528" s="287"/>
      <c r="I528" s="288"/>
      <c r="J528" s="289"/>
      <c r="K528" s="288"/>
      <c r="L528" s="289"/>
      <c r="M528" s="287"/>
      <c r="N528" s="286"/>
      <c r="O528" s="286"/>
      <c r="P528" s="291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</row>
    <row r="529" ht="13.5" customHeight="1">
      <c r="A529" s="286"/>
      <c r="B529" s="286"/>
      <c r="C529" s="286"/>
      <c r="D529" s="286"/>
      <c r="E529" s="286"/>
      <c r="F529" s="287"/>
      <c r="G529" s="286"/>
      <c r="H529" s="287"/>
      <c r="I529" s="288"/>
      <c r="J529" s="289"/>
      <c r="K529" s="288"/>
      <c r="L529" s="289"/>
      <c r="M529" s="287"/>
      <c r="N529" s="286"/>
      <c r="O529" s="286"/>
      <c r="P529" s="291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</row>
    <row r="530" ht="13.5" customHeight="1">
      <c r="A530" s="286"/>
      <c r="B530" s="286"/>
      <c r="C530" s="286"/>
      <c r="D530" s="286"/>
      <c r="E530" s="286"/>
      <c r="F530" s="287"/>
      <c r="G530" s="286"/>
      <c r="H530" s="287"/>
      <c r="I530" s="288"/>
      <c r="J530" s="289"/>
      <c r="K530" s="288"/>
      <c r="L530" s="289"/>
      <c r="M530" s="287"/>
      <c r="N530" s="286"/>
      <c r="O530" s="286"/>
      <c r="P530" s="291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</row>
    <row r="531" ht="13.5" customHeight="1">
      <c r="A531" s="286"/>
      <c r="B531" s="286"/>
      <c r="C531" s="286"/>
      <c r="D531" s="286"/>
      <c r="E531" s="286"/>
      <c r="F531" s="287"/>
      <c r="G531" s="286"/>
      <c r="H531" s="287"/>
      <c r="I531" s="288"/>
      <c r="J531" s="289"/>
      <c r="K531" s="288"/>
      <c r="L531" s="289"/>
      <c r="M531" s="287"/>
      <c r="N531" s="286"/>
      <c r="O531" s="286"/>
      <c r="P531" s="291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</row>
    <row r="532" ht="13.5" customHeight="1">
      <c r="A532" s="286"/>
      <c r="B532" s="286"/>
      <c r="C532" s="286"/>
      <c r="D532" s="286"/>
      <c r="E532" s="286"/>
      <c r="F532" s="287"/>
      <c r="G532" s="286"/>
      <c r="H532" s="287"/>
      <c r="I532" s="288"/>
      <c r="J532" s="289"/>
      <c r="K532" s="288"/>
      <c r="L532" s="289"/>
      <c r="M532" s="287"/>
      <c r="N532" s="286"/>
      <c r="O532" s="286"/>
      <c r="P532" s="291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</row>
    <row r="533" ht="13.5" customHeight="1">
      <c r="A533" s="286"/>
      <c r="B533" s="286"/>
      <c r="C533" s="286"/>
      <c r="D533" s="286"/>
      <c r="E533" s="286"/>
      <c r="F533" s="287"/>
      <c r="G533" s="286"/>
      <c r="H533" s="287"/>
      <c r="I533" s="288"/>
      <c r="J533" s="289"/>
      <c r="K533" s="288"/>
      <c r="L533" s="289"/>
      <c r="M533" s="287"/>
      <c r="N533" s="286"/>
      <c r="O533" s="286"/>
      <c r="P533" s="291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</row>
    <row r="534" ht="13.5" customHeight="1">
      <c r="A534" s="286"/>
      <c r="B534" s="286"/>
      <c r="C534" s="286"/>
      <c r="D534" s="286"/>
      <c r="E534" s="286"/>
      <c r="F534" s="287"/>
      <c r="G534" s="286"/>
      <c r="H534" s="287"/>
      <c r="I534" s="288"/>
      <c r="J534" s="289"/>
      <c r="K534" s="288"/>
      <c r="L534" s="289"/>
      <c r="M534" s="287"/>
      <c r="N534" s="286"/>
      <c r="O534" s="286"/>
      <c r="P534" s="291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</row>
    <row r="535" ht="13.5" customHeight="1">
      <c r="A535" s="286"/>
      <c r="B535" s="286"/>
      <c r="C535" s="286"/>
      <c r="D535" s="286"/>
      <c r="E535" s="286"/>
      <c r="F535" s="287"/>
      <c r="G535" s="286"/>
      <c r="H535" s="287"/>
      <c r="I535" s="288"/>
      <c r="J535" s="289"/>
      <c r="K535" s="288"/>
      <c r="L535" s="289"/>
      <c r="M535" s="287"/>
      <c r="N535" s="286"/>
      <c r="O535" s="286"/>
      <c r="P535" s="291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</row>
    <row r="536" ht="13.5" customHeight="1">
      <c r="A536" s="286"/>
      <c r="B536" s="286"/>
      <c r="C536" s="286"/>
      <c r="D536" s="286"/>
      <c r="E536" s="286"/>
      <c r="F536" s="287"/>
      <c r="G536" s="286"/>
      <c r="H536" s="287"/>
      <c r="I536" s="288"/>
      <c r="J536" s="289"/>
      <c r="K536" s="288"/>
      <c r="L536" s="289"/>
      <c r="M536" s="287"/>
      <c r="N536" s="286"/>
      <c r="O536" s="286"/>
      <c r="P536" s="291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</row>
    <row r="537" ht="13.5" customHeight="1">
      <c r="A537" s="286"/>
      <c r="B537" s="286"/>
      <c r="C537" s="286"/>
      <c r="D537" s="286"/>
      <c r="E537" s="286"/>
      <c r="F537" s="287"/>
      <c r="G537" s="286"/>
      <c r="H537" s="287"/>
      <c r="I537" s="288"/>
      <c r="J537" s="289"/>
      <c r="K537" s="288"/>
      <c r="L537" s="289"/>
      <c r="M537" s="287"/>
      <c r="N537" s="286"/>
      <c r="O537" s="286"/>
      <c r="P537" s="291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</row>
    <row r="538" ht="13.5" customHeight="1">
      <c r="A538" s="286"/>
      <c r="B538" s="286"/>
      <c r="C538" s="286"/>
      <c r="D538" s="286"/>
      <c r="E538" s="286"/>
      <c r="F538" s="287"/>
      <c r="G538" s="286"/>
      <c r="H538" s="287"/>
      <c r="I538" s="288"/>
      <c r="J538" s="289"/>
      <c r="K538" s="288"/>
      <c r="L538" s="289"/>
      <c r="M538" s="287"/>
      <c r="N538" s="286"/>
      <c r="O538" s="286"/>
      <c r="P538" s="291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</row>
    <row r="539" ht="13.5" customHeight="1">
      <c r="A539" s="286"/>
      <c r="B539" s="286"/>
      <c r="C539" s="286"/>
      <c r="D539" s="286"/>
      <c r="E539" s="286"/>
      <c r="F539" s="287"/>
      <c r="G539" s="286"/>
      <c r="H539" s="287"/>
      <c r="I539" s="288"/>
      <c r="J539" s="289"/>
      <c r="K539" s="288"/>
      <c r="L539" s="289"/>
      <c r="M539" s="287"/>
      <c r="N539" s="286"/>
      <c r="O539" s="286"/>
      <c r="P539" s="291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</row>
    <row r="540" ht="13.5" customHeight="1">
      <c r="A540" s="286"/>
      <c r="B540" s="286"/>
      <c r="C540" s="286"/>
      <c r="D540" s="286"/>
      <c r="E540" s="286"/>
      <c r="F540" s="287"/>
      <c r="G540" s="286"/>
      <c r="H540" s="287"/>
      <c r="I540" s="288"/>
      <c r="J540" s="289"/>
      <c r="K540" s="288"/>
      <c r="L540" s="289"/>
      <c r="M540" s="287"/>
      <c r="N540" s="286"/>
      <c r="O540" s="286"/>
      <c r="P540" s="291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</row>
    <row r="541" ht="13.5" customHeight="1">
      <c r="A541" s="286"/>
      <c r="B541" s="286"/>
      <c r="C541" s="286"/>
      <c r="D541" s="286"/>
      <c r="E541" s="286"/>
      <c r="F541" s="287"/>
      <c r="G541" s="286"/>
      <c r="H541" s="287"/>
      <c r="I541" s="288"/>
      <c r="J541" s="289"/>
      <c r="K541" s="288"/>
      <c r="L541" s="289"/>
      <c r="M541" s="287"/>
      <c r="N541" s="286"/>
      <c r="O541" s="286"/>
      <c r="P541" s="291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</row>
    <row r="542" ht="13.5" customHeight="1">
      <c r="A542" s="286"/>
      <c r="B542" s="286"/>
      <c r="C542" s="286"/>
      <c r="D542" s="286"/>
      <c r="E542" s="286"/>
      <c r="F542" s="287"/>
      <c r="G542" s="286"/>
      <c r="H542" s="287"/>
      <c r="I542" s="288"/>
      <c r="J542" s="289"/>
      <c r="K542" s="288"/>
      <c r="L542" s="289"/>
      <c r="M542" s="287"/>
      <c r="N542" s="286"/>
      <c r="O542" s="286"/>
      <c r="P542" s="291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</row>
    <row r="543" ht="13.5" customHeight="1">
      <c r="A543" s="286"/>
      <c r="B543" s="286"/>
      <c r="C543" s="286"/>
      <c r="D543" s="286"/>
      <c r="E543" s="286"/>
      <c r="F543" s="287"/>
      <c r="G543" s="286"/>
      <c r="H543" s="287"/>
      <c r="I543" s="288"/>
      <c r="J543" s="289"/>
      <c r="K543" s="288"/>
      <c r="L543" s="289"/>
      <c r="M543" s="287"/>
      <c r="N543" s="286"/>
      <c r="O543" s="286"/>
      <c r="P543" s="291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</row>
    <row r="544" ht="13.5" customHeight="1">
      <c r="A544" s="286"/>
      <c r="B544" s="286"/>
      <c r="C544" s="286"/>
      <c r="D544" s="286"/>
      <c r="E544" s="286"/>
      <c r="F544" s="287"/>
      <c r="G544" s="286"/>
      <c r="H544" s="287"/>
      <c r="I544" s="288"/>
      <c r="J544" s="289"/>
      <c r="K544" s="288"/>
      <c r="L544" s="289"/>
      <c r="M544" s="287"/>
      <c r="N544" s="286"/>
      <c r="O544" s="286"/>
      <c r="P544" s="291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</row>
    <row r="545" ht="13.5" customHeight="1">
      <c r="A545" s="286"/>
      <c r="B545" s="286"/>
      <c r="C545" s="286"/>
      <c r="D545" s="286"/>
      <c r="E545" s="286"/>
      <c r="F545" s="287"/>
      <c r="G545" s="286"/>
      <c r="H545" s="287"/>
      <c r="I545" s="288"/>
      <c r="J545" s="289"/>
      <c r="K545" s="288"/>
      <c r="L545" s="289"/>
      <c r="M545" s="287"/>
      <c r="N545" s="286"/>
      <c r="O545" s="286"/>
      <c r="P545" s="291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</row>
    <row r="546" ht="13.5" customHeight="1">
      <c r="A546" s="286"/>
      <c r="B546" s="286"/>
      <c r="C546" s="286"/>
      <c r="D546" s="286"/>
      <c r="E546" s="286"/>
      <c r="F546" s="287"/>
      <c r="G546" s="286"/>
      <c r="H546" s="287"/>
      <c r="I546" s="288"/>
      <c r="J546" s="289"/>
      <c r="K546" s="288"/>
      <c r="L546" s="289"/>
      <c r="M546" s="287"/>
      <c r="N546" s="286"/>
      <c r="O546" s="286"/>
      <c r="P546" s="291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</row>
    <row r="547" ht="13.5" customHeight="1">
      <c r="A547" s="286"/>
      <c r="B547" s="286"/>
      <c r="C547" s="286"/>
      <c r="D547" s="286"/>
      <c r="E547" s="286"/>
      <c r="F547" s="287"/>
      <c r="G547" s="286"/>
      <c r="H547" s="287"/>
      <c r="I547" s="288"/>
      <c r="J547" s="289"/>
      <c r="K547" s="288"/>
      <c r="L547" s="289"/>
      <c r="M547" s="287"/>
      <c r="N547" s="286"/>
      <c r="O547" s="286"/>
      <c r="P547" s="291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</row>
    <row r="548" ht="13.5" customHeight="1">
      <c r="A548" s="286"/>
      <c r="B548" s="286"/>
      <c r="C548" s="286"/>
      <c r="D548" s="286"/>
      <c r="E548" s="286"/>
      <c r="F548" s="287"/>
      <c r="G548" s="286"/>
      <c r="H548" s="287"/>
      <c r="I548" s="288"/>
      <c r="J548" s="289"/>
      <c r="K548" s="288"/>
      <c r="L548" s="289"/>
      <c r="M548" s="287"/>
      <c r="N548" s="286"/>
      <c r="O548" s="286"/>
      <c r="P548" s="291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</row>
    <row r="549" ht="13.5" customHeight="1">
      <c r="A549" s="286"/>
      <c r="B549" s="286"/>
      <c r="C549" s="286"/>
      <c r="D549" s="286"/>
      <c r="E549" s="286"/>
      <c r="F549" s="287"/>
      <c r="G549" s="286"/>
      <c r="H549" s="287"/>
      <c r="I549" s="288"/>
      <c r="J549" s="289"/>
      <c r="K549" s="288"/>
      <c r="L549" s="289"/>
      <c r="M549" s="287"/>
      <c r="N549" s="286"/>
      <c r="O549" s="286"/>
      <c r="P549" s="291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</row>
    <row r="550" ht="13.5" customHeight="1">
      <c r="A550" s="286"/>
      <c r="B550" s="286"/>
      <c r="C550" s="286"/>
      <c r="D550" s="286"/>
      <c r="E550" s="286"/>
      <c r="F550" s="287"/>
      <c r="G550" s="286"/>
      <c r="H550" s="287"/>
      <c r="I550" s="288"/>
      <c r="J550" s="289"/>
      <c r="K550" s="288"/>
      <c r="L550" s="289"/>
      <c r="M550" s="287"/>
      <c r="N550" s="286"/>
      <c r="O550" s="286"/>
      <c r="P550" s="291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</row>
    <row r="551" ht="13.5" customHeight="1">
      <c r="A551" s="286"/>
      <c r="B551" s="286"/>
      <c r="C551" s="286"/>
      <c r="D551" s="286"/>
      <c r="E551" s="286"/>
      <c r="F551" s="287"/>
      <c r="G551" s="286"/>
      <c r="H551" s="287"/>
      <c r="I551" s="288"/>
      <c r="J551" s="289"/>
      <c r="K551" s="288"/>
      <c r="L551" s="289"/>
      <c r="M551" s="287"/>
      <c r="N551" s="286"/>
      <c r="O551" s="286"/>
      <c r="P551" s="291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</row>
    <row r="552" ht="13.5" customHeight="1">
      <c r="A552" s="286"/>
      <c r="B552" s="286"/>
      <c r="C552" s="286"/>
      <c r="D552" s="286"/>
      <c r="E552" s="286"/>
      <c r="F552" s="287"/>
      <c r="G552" s="286"/>
      <c r="H552" s="287"/>
      <c r="I552" s="288"/>
      <c r="J552" s="289"/>
      <c r="K552" s="288"/>
      <c r="L552" s="289"/>
      <c r="M552" s="287"/>
      <c r="N552" s="286"/>
      <c r="O552" s="286"/>
      <c r="P552" s="291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</row>
    <row r="553" ht="13.5" customHeight="1">
      <c r="A553" s="286"/>
      <c r="B553" s="286"/>
      <c r="C553" s="286"/>
      <c r="D553" s="286"/>
      <c r="E553" s="286"/>
      <c r="F553" s="287"/>
      <c r="G553" s="286"/>
      <c r="H553" s="287"/>
      <c r="I553" s="288"/>
      <c r="J553" s="289"/>
      <c r="K553" s="288"/>
      <c r="L553" s="289"/>
      <c r="M553" s="287"/>
      <c r="N553" s="286"/>
      <c r="O553" s="286"/>
      <c r="P553" s="291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</row>
    <row r="554" ht="13.5" customHeight="1">
      <c r="A554" s="286"/>
      <c r="B554" s="286"/>
      <c r="C554" s="286"/>
      <c r="D554" s="286"/>
      <c r="E554" s="286"/>
      <c r="F554" s="287"/>
      <c r="G554" s="286"/>
      <c r="H554" s="287"/>
      <c r="I554" s="288"/>
      <c r="J554" s="289"/>
      <c r="K554" s="288"/>
      <c r="L554" s="289"/>
      <c r="M554" s="287"/>
      <c r="N554" s="286"/>
      <c r="O554" s="286"/>
      <c r="P554" s="291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</row>
    <row r="555" ht="13.5" customHeight="1">
      <c r="A555" s="286"/>
      <c r="B555" s="286"/>
      <c r="C555" s="286"/>
      <c r="D555" s="286"/>
      <c r="E555" s="286"/>
      <c r="F555" s="287"/>
      <c r="G555" s="286"/>
      <c r="H555" s="287"/>
      <c r="I555" s="288"/>
      <c r="J555" s="289"/>
      <c r="K555" s="288"/>
      <c r="L555" s="289"/>
      <c r="M555" s="287"/>
      <c r="N555" s="286"/>
      <c r="O555" s="286"/>
      <c r="P555" s="291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</row>
    <row r="556" ht="13.5" customHeight="1">
      <c r="A556" s="286"/>
      <c r="B556" s="286"/>
      <c r="C556" s="286"/>
      <c r="D556" s="286"/>
      <c r="E556" s="286"/>
      <c r="F556" s="287"/>
      <c r="G556" s="286"/>
      <c r="H556" s="287"/>
      <c r="I556" s="288"/>
      <c r="J556" s="289"/>
      <c r="K556" s="288"/>
      <c r="L556" s="289"/>
      <c r="M556" s="287"/>
      <c r="N556" s="286"/>
      <c r="O556" s="286"/>
      <c r="P556" s="291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</row>
    <row r="557" ht="13.5" customHeight="1">
      <c r="A557" s="286"/>
      <c r="B557" s="286"/>
      <c r="C557" s="286"/>
      <c r="D557" s="286"/>
      <c r="E557" s="286"/>
      <c r="F557" s="287"/>
      <c r="G557" s="286"/>
      <c r="H557" s="287"/>
      <c r="I557" s="288"/>
      <c r="J557" s="289"/>
      <c r="K557" s="288"/>
      <c r="L557" s="289"/>
      <c r="M557" s="287"/>
      <c r="N557" s="286"/>
      <c r="O557" s="286"/>
      <c r="P557" s="291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</row>
    <row r="558" ht="13.5" customHeight="1">
      <c r="A558" s="286"/>
      <c r="B558" s="286"/>
      <c r="C558" s="286"/>
      <c r="D558" s="286"/>
      <c r="E558" s="286"/>
      <c r="F558" s="287"/>
      <c r="G558" s="286"/>
      <c r="H558" s="287"/>
      <c r="I558" s="288"/>
      <c r="J558" s="289"/>
      <c r="K558" s="288"/>
      <c r="L558" s="289"/>
      <c r="M558" s="287"/>
      <c r="N558" s="286"/>
      <c r="O558" s="286"/>
      <c r="P558" s="291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</row>
    <row r="559" ht="13.5" customHeight="1">
      <c r="A559" s="286"/>
      <c r="B559" s="286"/>
      <c r="C559" s="286"/>
      <c r="D559" s="286"/>
      <c r="E559" s="286"/>
      <c r="F559" s="287"/>
      <c r="G559" s="286"/>
      <c r="H559" s="287"/>
      <c r="I559" s="288"/>
      <c r="J559" s="289"/>
      <c r="K559" s="288"/>
      <c r="L559" s="289"/>
      <c r="M559" s="287"/>
      <c r="N559" s="286"/>
      <c r="O559" s="286"/>
      <c r="P559" s="291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</row>
    <row r="560" ht="13.5" customHeight="1">
      <c r="A560" s="286"/>
      <c r="B560" s="286"/>
      <c r="C560" s="286"/>
      <c r="D560" s="286"/>
      <c r="E560" s="286"/>
      <c r="F560" s="287"/>
      <c r="G560" s="286"/>
      <c r="H560" s="287"/>
      <c r="I560" s="288"/>
      <c r="J560" s="289"/>
      <c r="K560" s="288"/>
      <c r="L560" s="289"/>
      <c r="M560" s="287"/>
      <c r="N560" s="286"/>
      <c r="O560" s="286"/>
      <c r="P560" s="291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</row>
    <row r="561" ht="13.5" customHeight="1">
      <c r="A561" s="286"/>
      <c r="B561" s="286"/>
      <c r="C561" s="286"/>
      <c r="D561" s="286"/>
      <c r="E561" s="286"/>
      <c r="F561" s="287"/>
      <c r="G561" s="286"/>
      <c r="H561" s="287"/>
      <c r="I561" s="288"/>
      <c r="J561" s="289"/>
      <c r="K561" s="288"/>
      <c r="L561" s="289"/>
      <c r="M561" s="287"/>
      <c r="N561" s="286"/>
      <c r="O561" s="286"/>
      <c r="P561" s="291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</row>
    <row r="562" ht="13.5" customHeight="1">
      <c r="A562" s="286"/>
      <c r="B562" s="286"/>
      <c r="C562" s="286"/>
      <c r="D562" s="286"/>
      <c r="E562" s="286"/>
      <c r="F562" s="287"/>
      <c r="G562" s="286"/>
      <c r="H562" s="287"/>
      <c r="I562" s="288"/>
      <c r="J562" s="289"/>
      <c r="K562" s="288"/>
      <c r="L562" s="289"/>
      <c r="M562" s="287"/>
      <c r="N562" s="286"/>
      <c r="O562" s="286"/>
      <c r="P562" s="291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</row>
    <row r="563" ht="13.5" customHeight="1">
      <c r="A563" s="286"/>
      <c r="B563" s="286"/>
      <c r="C563" s="286"/>
      <c r="D563" s="286"/>
      <c r="E563" s="286"/>
      <c r="F563" s="287"/>
      <c r="G563" s="286"/>
      <c r="H563" s="287"/>
      <c r="I563" s="288"/>
      <c r="J563" s="289"/>
      <c r="K563" s="288"/>
      <c r="L563" s="289"/>
      <c r="M563" s="287"/>
      <c r="N563" s="286"/>
      <c r="O563" s="286"/>
      <c r="P563" s="291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</row>
    <row r="564" ht="13.5" customHeight="1">
      <c r="A564" s="286"/>
      <c r="B564" s="286"/>
      <c r="C564" s="286"/>
      <c r="D564" s="286"/>
      <c r="E564" s="286"/>
      <c r="F564" s="287"/>
      <c r="G564" s="286"/>
      <c r="H564" s="287"/>
      <c r="I564" s="288"/>
      <c r="J564" s="289"/>
      <c r="K564" s="288"/>
      <c r="L564" s="289"/>
      <c r="M564" s="287"/>
      <c r="N564" s="286"/>
      <c r="O564" s="286"/>
      <c r="P564" s="291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</row>
    <row r="565" ht="13.5" customHeight="1">
      <c r="A565" s="286"/>
      <c r="B565" s="286"/>
      <c r="C565" s="286"/>
      <c r="D565" s="286"/>
      <c r="E565" s="286"/>
      <c r="F565" s="287"/>
      <c r="G565" s="286"/>
      <c r="H565" s="287"/>
      <c r="I565" s="288"/>
      <c r="J565" s="289"/>
      <c r="K565" s="288"/>
      <c r="L565" s="289"/>
      <c r="M565" s="287"/>
      <c r="N565" s="286"/>
      <c r="O565" s="286"/>
      <c r="P565" s="291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</row>
    <row r="566" ht="13.5" customHeight="1">
      <c r="A566" s="286"/>
      <c r="B566" s="286"/>
      <c r="C566" s="286"/>
      <c r="D566" s="286"/>
      <c r="E566" s="286"/>
      <c r="F566" s="287"/>
      <c r="G566" s="286"/>
      <c r="H566" s="287"/>
      <c r="I566" s="288"/>
      <c r="J566" s="289"/>
      <c r="K566" s="288"/>
      <c r="L566" s="289"/>
      <c r="M566" s="287"/>
      <c r="N566" s="286"/>
      <c r="O566" s="286"/>
      <c r="P566" s="291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</row>
    <row r="567" ht="13.5" customHeight="1">
      <c r="A567" s="286"/>
      <c r="B567" s="286"/>
      <c r="C567" s="286"/>
      <c r="D567" s="286"/>
      <c r="E567" s="286"/>
      <c r="F567" s="287"/>
      <c r="G567" s="286"/>
      <c r="H567" s="287"/>
      <c r="I567" s="288"/>
      <c r="J567" s="289"/>
      <c r="K567" s="288"/>
      <c r="L567" s="289"/>
      <c r="M567" s="287"/>
      <c r="N567" s="286"/>
      <c r="O567" s="286"/>
      <c r="P567" s="291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</row>
    <row r="568" ht="13.5" customHeight="1">
      <c r="A568" s="286"/>
      <c r="B568" s="286"/>
      <c r="C568" s="286"/>
      <c r="D568" s="286"/>
      <c r="E568" s="286"/>
      <c r="F568" s="287"/>
      <c r="G568" s="286"/>
      <c r="H568" s="287"/>
      <c r="I568" s="288"/>
      <c r="J568" s="289"/>
      <c r="K568" s="288"/>
      <c r="L568" s="289"/>
      <c r="M568" s="287"/>
      <c r="N568" s="286"/>
      <c r="O568" s="286"/>
      <c r="P568" s="291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</row>
    <row r="569" ht="13.5" customHeight="1">
      <c r="A569" s="286"/>
      <c r="B569" s="286"/>
      <c r="C569" s="286"/>
      <c r="D569" s="286"/>
      <c r="E569" s="286"/>
      <c r="F569" s="287"/>
      <c r="G569" s="286"/>
      <c r="H569" s="287"/>
      <c r="I569" s="288"/>
      <c r="J569" s="289"/>
      <c r="K569" s="288"/>
      <c r="L569" s="289"/>
      <c r="M569" s="287"/>
      <c r="N569" s="286"/>
      <c r="O569" s="286"/>
      <c r="P569" s="291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</row>
    <row r="570" ht="13.5" customHeight="1">
      <c r="A570" s="286"/>
      <c r="B570" s="286"/>
      <c r="C570" s="286"/>
      <c r="D570" s="286"/>
      <c r="E570" s="286"/>
      <c r="F570" s="287"/>
      <c r="G570" s="286"/>
      <c r="H570" s="287"/>
      <c r="I570" s="288"/>
      <c r="J570" s="289"/>
      <c r="K570" s="288"/>
      <c r="L570" s="289"/>
      <c r="M570" s="287"/>
      <c r="N570" s="286"/>
      <c r="O570" s="286"/>
      <c r="P570" s="291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</row>
    <row r="571" ht="13.5" customHeight="1">
      <c r="A571" s="286"/>
      <c r="B571" s="286"/>
      <c r="C571" s="286"/>
      <c r="D571" s="286"/>
      <c r="E571" s="286"/>
      <c r="F571" s="287"/>
      <c r="G571" s="286"/>
      <c r="H571" s="287"/>
      <c r="I571" s="288"/>
      <c r="J571" s="289"/>
      <c r="K571" s="288"/>
      <c r="L571" s="289"/>
      <c r="M571" s="287"/>
      <c r="N571" s="286"/>
      <c r="O571" s="286"/>
      <c r="P571" s="291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</row>
    <row r="572" ht="13.5" customHeight="1">
      <c r="A572" s="286"/>
      <c r="B572" s="286"/>
      <c r="C572" s="286"/>
      <c r="D572" s="286"/>
      <c r="E572" s="286"/>
      <c r="F572" s="287"/>
      <c r="G572" s="286"/>
      <c r="H572" s="287"/>
      <c r="I572" s="288"/>
      <c r="J572" s="289"/>
      <c r="K572" s="288"/>
      <c r="L572" s="289"/>
      <c r="M572" s="287"/>
      <c r="N572" s="286"/>
      <c r="O572" s="286"/>
      <c r="P572" s="291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</row>
    <row r="573" ht="13.5" customHeight="1">
      <c r="A573" s="286"/>
      <c r="B573" s="286"/>
      <c r="C573" s="286"/>
      <c r="D573" s="286"/>
      <c r="E573" s="286"/>
      <c r="F573" s="287"/>
      <c r="G573" s="286"/>
      <c r="H573" s="287"/>
      <c r="I573" s="288"/>
      <c r="J573" s="289"/>
      <c r="K573" s="288"/>
      <c r="L573" s="289"/>
      <c r="M573" s="287"/>
      <c r="N573" s="286"/>
      <c r="O573" s="286"/>
      <c r="P573" s="291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</row>
    <row r="574" ht="13.5" customHeight="1">
      <c r="A574" s="286"/>
      <c r="B574" s="286"/>
      <c r="C574" s="286"/>
      <c r="D574" s="286"/>
      <c r="E574" s="286"/>
      <c r="F574" s="287"/>
      <c r="G574" s="286"/>
      <c r="H574" s="287"/>
      <c r="I574" s="288"/>
      <c r="J574" s="289"/>
      <c r="K574" s="288"/>
      <c r="L574" s="289"/>
      <c r="M574" s="287"/>
      <c r="N574" s="286"/>
      <c r="O574" s="286"/>
      <c r="P574" s="291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</row>
    <row r="575" ht="13.5" customHeight="1">
      <c r="A575" s="286"/>
      <c r="B575" s="286"/>
      <c r="C575" s="286"/>
      <c r="D575" s="286"/>
      <c r="E575" s="286"/>
      <c r="F575" s="287"/>
      <c r="G575" s="286"/>
      <c r="H575" s="287"/>
      <c r="I575" s="288"/>
      <c r="J575" s="289"/>
      <c r="K575" s="288"/>
      <c r="L575" s="289"/>
      <c r="M575" s="287"/>
      <c r="N575" s="286"/>
      <c r="O575" s="286"/>
      <c r="P575" s="291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</row>
    <row r="576" ht="13.5" customHeight="1">
      <c r="A576" s="286"/>
      <c r="B576" s="286"/>
      <c r="C576" s="286"/>
      <c r="D576" s="286"/>
      <c r="E576" s="286"/>
      <c r="F576" s="287"/>
      <c r="G576" s="286"/>
      <c r="H576" s="287"/>
      <c r="I576" s="288"/>
      <c r="J576" s="289"/>
      <c r="K576" s="288"/>
      <c r="L576" s="289"/>
      <c r="M576" s="287"/>
      <c r="N576" s="286"/>
      <c r="O576" s="286"/>
      <c r="P576" s="291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</row>
    <row r="577" ht="13.5" customHeight="1">
      <c r="A577" s="286"/>
      <c r="B577" s="286"/>
      <c r="C577" s="286"/>
      <c r="D577" s="286"/>
      <c r="E577" s="286"/>
      <c r="F577" s="287"/>
      <c r="G577" s="286"/>
      <c r="H577" s="287"/>
      <c r="I577" s="288"/>
      <c r="J577" s="289"/>
      <c r="K577" s="288"/>
      <c r="L577" s="289"/>
      <c r="M577" s="287"/>
      <c r="N577" s="286"/>
      <c r="O577" s="286"/>
      <c r="P577" s="291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</row>
    <row r="578" ht="13.5" customHeight="1">
      <c r="A578" s="286"/>
      <c r="B578" s="286"/>
      <c r="C578" s="286"/>
      <c r="D578" s="286"/>
      <c r="E578" s="286"/>
      <c r="F578" s="287"/>
      <c r="G578" s="286"/>
      <c r="H578" s="287"/>
      <c r="I578" s="288"/>
      <c r="J578" s="289"/>
      <c r="K578" s="288"/>
      <c r="L578" s="289"/>
      <c r="M578" s="287"/>
      <c r="N578" s="286"/>
      <c r="O578" s="286"/>
      <c r="P578" s="291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</row>
    <row r="579" ht="13.5" customHeight="1">
      <c r="A579" s="286"/>
      <c r="B579" s="286"/>
      <c r="C579" s="286"/>
      <c r="D579" s="286"/>
      <c r="E579" s="286"/>
      <c r="F579" s="287"/>
      <c r="G579" s="286"/>
      <c r="H579" s="287"/>
      <c r="I579" s="288"/>
      <c r="J579" s="289"/>
      <c r="K579" s="288"/>
      <c r="L579" s="289"/>
      <c r="M579" s="287"/>
      <c r="N579" s="286"/>
      <c r="O579" s="286"/>
      <c r="P579" s="291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</row>
    <row r="580" ht="13.5" customHeight="1">
      <c r="A580" s="286"/>
      <c r="B580" s="286"/>
      <c r="C580" s="286"/>
      <c r="D580" s="286"/>
      <c r="E580" s="286"/>
      <c r="F580" s="287"/>
      <c r="G580" s="286"/>
      <c r="H580" s="287"/>
      <c r="I580" s="288"/>
      <c r="J580" s="289"/>
      <c r="K580" s="288"/>
      <c r="L580" s="289"/>
      <c r="M580" s="287"/>
      <c r="N580" s="286"/>
      <c r="O580" s="286"/>
      <c r="P580" s="291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</row>
    <row r="581" ht="13.5" customHeight="1">
      <c r="A581" s="286"/>
      <c r="B581" s="286"/>
      <c r="C581" s="286"/>
      <c r="D581" s="286"/>
      <c r="E581" s="286"/>
      <c r="F581" s="287"/>
      <c r="G581" s="286"/>
      <c r="H581" s="287"/>
      <c r="I581" s="288"/>
      <c r="J581" s="289"/>
      <c r="K581" s="288"/>
      <c r="L581" s="289"/>
      <c r="M581" s="287"/>
      <c r="N581" s="286"/>
      <c r="O581" s="286"/>
      <c r="P581" s="291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</row>
    <row r="582" ht="13.5" customHeight="1">
      <c r="A582" s="286"/>
      <c r="B582" s="286"/>
      <c r="C582" s="286"/>
      <c r="D582" s="286"/>
      <c r="E582" s="286"/>
      <c r="F582" s="287"/>
      <c r="G582" s="286"/>
      <c r="H582" s="287"/>
      <c r="I582" s="288"/>
      <c r="J582" s="289"/>
      <c r="K582" s="288"/>
      <c r="L582" s="289"/>
      <c r="M582" s="287"/>
      <c r="N582" s="286"/>
      <c r="O582" s="286"/>
      <c r="P582" s="291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</row>
    <row r="583" ht="13.5" customHeight="1">
      <c r="A583" s="286"/>
      <c r="B583" s="286"/>
      <c r="C583" s="286"/>
      <c r="D583" s="286"/>
      <c r="E583" s="286"/>
      <c r="F583" s="287"/>
      <c r="G583" s="286"/>
      <c r="H583" s="287"/>
      <c r="I583" s="288"/>
      <c r="J583" s="289"/>
      <c r="K583" s="288"/>
      <c r="L583" s="289"/>
      <c r="M583" s="287"/>
      <c r="N583" s="286"/>
      <c r="O583" s="286"/>
      <c r="P583" s="291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</row>
    <row r="584" ht="13.5" customHeight="1">
      <c r="A584" s="286"/>
      <c r="B584" s="286"/>
      <c r="C584" s="286"/>
      <c r="D584" s="286"/>
      <c r="E584" s="286"/>
      <c r="F584" s="287"/>
      <c r="G584" s="286"/>
      <c r="H584" s="287"/>
      <c r="I584" s="288"/>
      <c r="J584" s="289"/>
      <c r="K584" s="288"/>
      <c r="L584" s="289"/>
      <c r="M584" s="287"/>
      <c r="N584" s="286"/>
      <c r="O584" s="286"/>
      <c r="P584" s="291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</row>
    <row r="585" ht="13.5" customHeight="1">
      <c r="A585" s="286"/>
      <c r="B585" s="286"/>
      <c r="C585" s="286"/>
      <c r="D585" s="286"/>
      <c r="E585" s="286"/>
      <c r="F585" s="287"/>
      <c r="G585" s="286"/>
      <c r="H585" s="287"/>
      <c r="I585" s="288"/>
      <c r="J585" s="289"/>
      <c r="K585" s="288"/>
      <c r="L585" s="289"/>
      <c r="M585" s="287"/>
      <c r="N585" s="286"/>
      <c r="O585" s="286"/>
      <c r="P585" s="291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</row>
    <row r="586" ht="13.5" customHeight="1">
      <c r="A586" s="286"/>
      <c r="B586" s="286"/>
      <c r="C586" s="286"/>
      <c r="D586" s="286"/>
      <c r="E586" s="286"/>
      <c r="F586" s="287"/>
      <c r="G586" s="286"/>
      <c r="H586" s="287"/>
      <c r="I586" s="288"/>
      <c r="J586" s="289"/>
      <c r="K586" s="288"/>
      <c r="L586" s="289"/>
      <c r="M586" s="287"/>
      <c r="N586" s="286"/>
      <c r="O586" s="286"/>
      <c r="P586" s="291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</row>
    <row r="587" ht="13.5" customHeight="1">
      <c r="A587" s="286"/>
      <c r="B587" s="286"/>
      <c r="C587" s="286"/>
      <c r="D587" s="286"/>
      <c r="E587" s="286"/>
      <c r="F587" s="287"/>
      <c r="G587" s="286"/>
      <c r="H587" s="287"/>
      <c r="I587" s="288"/>
      <c r="J587" s="289"/>
      <c r="K587" s="288"/>
      <c r="L587" s="289"/>
      <c r="M587" s="287"/>
      <c r="N587" s="286"/>
      <c r="O587" s="286"/>
      <c r="P587" s="291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</row>
    <row r="588" ht="13.5" customHeight="1">
      <c r="A588" s="286"/>
      <c r="B588" s="286"/>
      <c r="C588" s="286"/>
      <c r="D588" s="286"/>
      <c r="E588" s="286"/>
      <c r="F588" s="287"/>
      <c r="G588" s="286"/>
      <c r="H588" s="287"/>
      <c r="I588" s="288"/>
      <c r="J588" s="289"/>
      <c r="K588" s="288"/>
      <c r="L588" s="289"/>
      <c r="M588" s="287"/>
      <c r="N588" s="286"/>
      <c r="O588" s="286"/>
      <c r="P588" s="291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</row>
    <row r="589" ht="13.5" customHeight="1">
      <c r="A589" s="286"/>
      <c r="B589" s="286"/>
      <c r="C589" s="286"/>
      <c r="D589" s="286"/>
      <c r="E589" s="286"/>
      <c r="F589" s="287"/>
      <c r="G589" s="286"/>
      <c r="H589" s="287"/>
      <c r="I589" s="288"/>
      <c r="J589" s="289"/>
      <c r="K589" s="288"/>
      <c r="L589" s="289"/>
      <c r="M589" s="287"/>
      <c r="N589" s="286"/>
      <c r="O589" s="286"/>
      <c r="P589" s="291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</row>
    <row r="590" ht="13.5" customHeight="1">
      <c r="A590" s="286"/>
      <c r="B590" s="286"/>
      <c r="C590" s="286"/>
      <c r="D590" s="286"/>
      <c r="E590" s="286"/>
      <c r="F590" s="287"/>
      <c r="G590" s="286"/>
      <c r="H590" s="287"/>
      <c r="I590" s="288"/>
      <c r="J590" s="289"/>
      <c r="K590" s="288"/>
      <c r="L590" s="289"/>
      <c r="M590" s="287"/>
      <c r="N590" s="286"/>
      <c r="O590" s="286"/>
      <c r="P590" s="291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</row>
    <row r="591" ht="13.5" customHeight="1">
      <c r="A591" s="286"/>
      <c r="B591" s="286"/>
      <c r="C591" s="286"/>
      <c r="D591" s="286"/>
      <c r="E591" s="286"/>
      <c r="F591" s="287"/>
      <c r="G591" s="286"/>
      <c r="H591" s="287"/>
      <c r="I591" s="288"/>
      <c r="J591" s="289"/>
      <c r="K591" s="288"/>
      <c r="L591" s="289"/>
      <c r="M591" s="287"/>
      <c r="N591" s="286"/>
      <c r="O591" s="286"/>
      <c r="P591" s="291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</row>
    <row r="592" ht="13.5" customHeight="1">
      <c r="A592" s="286"/>
      <c r="B592" s="286"/>
      <c r="C592" s="286"/>
      <c r="D592" s="286"/>
      <c r="E592" s="286"/>
      <c r="F592" s="287"/>
      <c r="G592" s="286"/>
      <c r="H592" s="287"/>
      <c r="I592" s="288"/>
      <c r="J592" s="289"/>
      <c r="K592" s="288"/>
      <c r="L592" s="289"/>
      <c r="M592" s="287"/>
      <c r="N592" s="286"/>
      <c r="O592" s="286"/>
      <c r="P592" s="291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</row>
    <row r="593" ht="13.5" customHeight="1">
      <c r="A593" s="286"/>
      <c r="B593" s="286"/>
      <c r="C593" s="286"/>
      <c r="D593" s="286"/>
      <c r="E593" s="286"/>
      <c r="F593" s="287"/>
      <c r="G593" s="286"/>
      <c r="H593" s="287"/>
      <c r="I593" s="288"/>
      <c r="J593" s="289"/>
      <c r="K593" s="288"/>
      <c r="L593" s="289"/>
      <c r="M593" s="287"/>
      <c r="N593" s="286"/>
      <c r="O593" s="286"/>
      <c r="P593" s="291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</row>
    <row r="594" ht="13.5" customHeight="1">
      <c r="A594" s="286"/>
      <c r="B594" s="286"/>
      <c r="C594" s="286"/>
      <c r="D594" s="286"/>
      <c r="E594" s="286"/>
      <c r="F594" s="287"/>
      <c r="G594" s="286"/>
      <c r="H594" s="287"/>
      <c r="I594" s="288"/>
      <c r="J594" s="289"/>
      <c r="K594" s="288"/>
      <c r="L594" s="289"/>
      <c r="M594" s="287"/>
      <c r="N594" s="286"/>
      <c r="O594" s="286"/>
      <c r="P594" s="291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</row>
    <row r="595" ht="13.5" customHeight="1">
      <c r="A595" s="286"/>
      <c r="B595" s="286"/>
      <c r="C595" s="286"/>
      <c r="D595" s="286"/>
      <c r="E595" s="286"/>
      <c r="F595" s="287"/>
      <c r="G595" s="286"/>
      <c r="H595" s="287"/>
      <c r="I595" s="288"/>
      <c r="J595" s="289"/>
      <c r="K595" s="288"/>
      <c r="L595" s="289"/>
      <c r="M595" s="287"/>
      <c r="N595" s="286"/>
      <c r="O595" s="286"/>
      <c r="P595" s="291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</row>
    <row r="596" ht="13.5" customHeight="1">
      <c r="A596" s="286"/>
      <c r="B596" s="286"/>
      <c r="C596" s="286"/>
      <c r="D596" s="286"/>
      <c r="E596" s="286"/>
      <c r="F596" s="287"/>
      <c r="G596" s="286"/>
      <c r="H596" s="287"/>
      <c r="I596" s="288"/>
      <c r="J596" s="289"/>
      <c r="K596" s="288"/>
      <c r="L596" s="289"/>
      <c r="M596" s="287"/>
      <c r="N596" s="286"/>
      <c r="O596" s="286"/>
      <c r="P596" s="291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</row>
    <row r="597" ht="13.5" customHeight="1">
      <c r="A597" s="286"/>
      <c r="B597" s="286"/>
      <c r="C597" s="286"/>
      <c r="D597" s="286"/>
      <c r="E597" s="286"/>
      <c r="F597" s="287"/>
      <c r="G597" s="286"/>
      <c r="H597" s="287"/>
      <c r="I597" s="288"/>
      <c r="J597" s="289"/>
      <c r="K597" s="288"/>
      <c r="L597" s="289"/>
      <c r="M597" s="287"/>
      <c r="N597" s="286"/>
      <c r="O597" s="286"/>
      <c r="P597" s="291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</row>
    <row r="598" ht="13.5" customHeight="1">
      <c r="A598" s="286"/>
      <c r="B598" s="286"/>
      <c r="C598" s="286"/>
      <c r="D598" s="286"/>
      <c r="E598" s="286"/>
      <c r="F598" s="287"/>
      <c r="G598" s="286"/>
      <c r="H598" s="287"/>
      <c r="I598" s="288"/>
      <c r="J598" s="289"/>
      <c r="K598" s="288"/>
      <c r="L598" s="289"/>
      <c r="M598" s="287"/>
      <c r="N598" s="286"/>
      <c r="O598" s="286"/>
      <c r="P598" s="291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</row>
    <row r="599" ht="13.5" customHeight="1">
      <c r="A599" s="286"/>
      <c r="B599" s="286"/>
      <c r="C599" s="286"/>
      <c r="D599" s="286"/>
      <c r="E599" s="286"/>
      <c r="F599" s="287"/>
      <c r="G599" s="286"/>
      <c r="H599" s="287"/>
      <c r="I599" s="288"/>
      <c r="J599" s="289"/>
      <c r="K599" s="288"/>
      <c r="L599" s="289"/>
      <c r="M599" s="287"/>
      <c r="N599" s="286"/>
      <c r="O599" s="286"/>
      <c r="P599" s="291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</row>
    <row r="600" ht="13.5" customHeight="1">
      <c r="A600" s="286"/>
      <c r="B600" s="286"/>
      <c r="C600" s="286"/>
      <c r="D600" s="286"/>
      <c r="E600" s="286"/>
      <c r="F600" s="287"/>
      <c r="G600" s="286"/>
      <c r="H600" s="287"/>
      <c r="I600" s="288"/>
      <c r="J600" s="289"/>
      <c r="K600" s="288"/>
      <c r="L600" s="289"/>
      <c r="M600" s="287"/>
      <c r="N600" s="286"/>
      <c r="O600" s="286"/>
      <c r="P600" s="291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</row>
    <row r="601" ht="13.5" customHeight="1">
      <c r="A601" s="286"/>
      <c r="B601" s="286"/>
      <c r="C601" s="286"/>
      <c r="D601" s="286"/>
      <c r="E601" s="286"/>
      <c r="F601" s="287"/>
      <c r="G601" s="286"/>
      <c r="H601" s="287"/>
      <c r="I601" s="288"/>
      <c r="J601" s="289"/>
      <c r="K601" s="288"/>
      <c r="L601" s="289"/>
      <c r="M601" s="287"/>
      <c r="N601" s="286"/>
      <c r="O601" s="286"/>
      <c r="P601" s="291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</row>
    <row r="602" ht="13.5" customHeight="1">
      <c r="A602" s="286"/>
      <c r="B602" s="286"/>
      <c r="C602" s="286"/>
      <c r="D602" s="286"/>
      <c r="E602" s="286"/>
      <c r="F602" s="287"/>
      <c r="G602" s="286"/>
      <c r="H602" s="287"/>
      <c r="I602" s="288"/>
      <c r="J602" s="289"/>
      <c r="K602" s="288"/>
      <c r="L602" s="289"/>
      <c r="M602" s="287"/>
      <c r="N602" s="286"/>
      <c r="O602" s="286"/>
      <c r="P602" s="291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</row>
    <row r="603" ht="13.5" customHeight="1">
      <c r="A603" s="286"/>
      <c r="B603" s="286"/>
      <c r="C603" s="286"/>
      <c r="D603" s="286"/>
      <c r="E603" s="286"/>
      <c r="F603" s="287"/>
      <c r="G603" s="286"/>
      <c r="H603" s="287"/>
      <c r="I603" s="288"/>
      <c r="J603" s="289"/>
      <c r="K603" s="288"/>
      <c r="L603" s="289"/>
      <c r="M603" s="287"/>
      <c r="N603" s="286"/>
      <c r="O603" s="286"/>
      <c r="P603" s="291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</row>
    <row r="604" ht="13.5" customHeight="1">
      <c r="A604" s="286"/>
      <c r="B604" s="286"/>
      <c r="C604" s="286"/>
      <c r="D604" s="286"/>
      <c r="E604" s="286"/>
      <c r="F604" s="287"/>
      <c r="G604" s="286"/>
      <c r="H604" s="287"/>
      <c r="I604" s="288"/>
      <c r="J604" s="289"/>
      <c r="K604" s="288"/>
      <c r="L604" s="289"/>
      <c r="M604" s="287"/>
      <c r="N604" s="286"/>
      <c r="O604" s="286"/>
      <c r="P604" s="291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</row>
    <row r="605" ht="13.5" customHeight="1">
      <c r="A605" s="286"/>
      <c r="B605" s="286"/>
      <c r="C605" s="286"/>
      <c r="D605" s="286"/>
      <c r="E605" s="286"/>
      <c r="F605" s="287"/>
      <c r="G605" s="286"/>
      <c r="H605" s="287"/>
      <c r="I605" s="288"/>
      <c r="J605" s="289"/>
      <c r="K605" s="288"/>
      <c r="L605" s="289"/>
      <c r="M605" s="287"/>
      <c r="N605" s="286"/>
      <c r="O605" s="286"/>
      <c r="P605" s="291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</row>
    <row r="606" ht="13.5" customHeight="1">
      <c r="A606" s="286"/>
      <c r="B606" s="286"/>
      <c r="C606" s="286"/>
      <c r="D606" s="286"/>
      <c r="E606" s="286"/>
      <c r="F606" s="287"/>
      <c r="G606" s="286"/>
      <c r="H606" s="287"/>
      <c r="I606" s="288"/>
      <c r="J606" s="289"/>
      <c r="K606" s="288"/>
      <c r="L606" s="289"/>
      <c r="M606" s="287"/>
      <c r="N606" s="286"/>
      <c r="O606" s="286"/>
      <c r="P606" s="291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</row>
    <row r="607" ht="13.5" customHeight="1">
      <c r="A607" s="286"/>
      <c r="B607" s="286"/>
      <c r="C607" s="286"/>
      <c r="D607" s="286"/>
      <c r="E607" s="286"/>
      <c r="F607" s="287"/>
      <c r="G607" s="286"/>
      <c r="H607" s="287"/>
      <c r="I607" s="288"/>
      <c r="J607" s="289"/>
      <c r="K607" s="288"/>
      <c r="L607" s="289"/>
      <c r="M607" s="287"/>
      <c r="N607" s="286"/>
      <c r="O607" s="286"/>
      <c r="P607" s="291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</row>
    <row r="608" ht="13.5" customHeight="1">
      <c r="A608" s="286"/>
      <c r="B608" s="286"/>
      <c r="C608" s="286"/>
      <c r="D608" s="286"/>
      <c r="E608" s="286"/>
      <c r="F608" s="287"/>
      <c r="G608" s="286"/>
      <c r="H608" s="287"/>
      <c r="I608" s="288"/>
      <c r="J608" s="289"/>
      <c r="K608" s="288"/>
      <c r="L608" s="289"/>
      <c r="M608" s="287"/>
      <c r="N608" s="286"/>
      <c r="O608" s="286"/>
      <c r="P608" s="291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</row>
    <row r="609" ht="13.5" customHeight="1">
      <c r="A609" s="286"/>
      <c r="B609" s="286"/>
      <c r="C609" s="286"/>
      <c r="D609" s="286"/>
      <c r="E609" s="286"/>
      <c r="F609" s="287"/>
      <c r="G609" s="286"/>
      <c r="H609" s="287"/>
      <c r="I609" s="288"/>
      <c r="J609" s="289"/>
      <c r="K609" s="288"/>
      <c r="L609" s="289"/>
      <c r="M609" s="287"/>
      <c r="N609" s="286"/>
      <c r="O609" s="286"/>
      <c r="P609" s="291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</row>
    <row r="610" ht="13.5" customHeight="1">
      <c r="A610" s="286"/>
      <c r="B610" s="286"/>
      <c r="C610" s="286"/>
      <c r="D610" s="286"/>
      <c r="E610" s="286"/>
      <c r="F610" s="287"/>
      <c r="G610" s="286"/>
      <c r="H610" s="287"/>
      <c r="I610" s="288"/>
      <c r="J610" s="289"/>
      <c r="K610" s="288"/>
      <c r="L610" s="289"/>
      <c r="M610" s="287"/>
      <c r="N610" s="286"/>
      <c r="O610" s="286"/>
      <c r="P610" s="291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</row>
    <row r="611" ht="13.5" customHeight="1">
      <c r="A611" s="286"/>
      <c r="B611" s="286"/>
      <c r="C611" s="286"/>
      <c r="D611" s="286"/>
      <c r="E611" s="286"/>
      <c r="F611" s="287"/>
      <c r="G611" s="286"/>
      <c r="H611" s="287"/>
      <c r="I611" s="288"/>
      <c r="J611" s="289"/>
      <c r="K611" s="288"/>
      <c r="L611" s="289"/>
      <c r="M611" s="287"/>
      <c r="N611" s="286"/>
      <c r="O611" s="286"/>
      <c r="P611" s="291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</row>
    <row r="612" ht="13.5" customHeight="1">
      <c r="A612" s="286"/>
      <c r="B612" s="286"/>
      <c r="C612" s="286"/>
      <c r="D612" s="286"/>
      <c r="E612" s="286"/>
      <c r="F612" s="287"/>
      <c r="G612" s="286"/>
      <c r="H612" s="287"/>
      <c r="I612" s="288"/>
      <c r="J612" s="289"/>
      <c r="K612" s="288"/>
      <c r="L612" s="289"/>
      <c r="M612" s="287"/>
      <c r="N612" s="286"/>
      <c r="O612" s="286"/>
      <c r="P612" s="291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</row>
    <row r="613" ht="13.5" customHeight="1">
      <c r="A613" s="286"/>
      <c r="B613" s="286"/>
      <c r="C613" s="286"/>
      <c r="D613" s="286"/>
      <c r="E613" s="286"/>
      <c r="F613" s="287"/>
      <c r="G613" s="286"/>
      <c r="H613" s="287"/>
      <c r="I613" s="288"/>
      <c r="J613" s="289"/>
      <c r="K613" s="288"/>
      <c r="L613" s="289"/>
      <c r="M613" s="287"/>
      <c r="N613" s="286"/>
      <c r="O613" s="286"/>
      <c r="P613" s="291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</row>
    <row r="614" ht="13.5" customHeight="1">
      <c r="A614" s="286"/>
      <c r="B614" s="286"/>
      <c r="C614" s="286"/>
      <c r="D614" s="286"/>
      <c r="E614" s="286"/>
      <c r="F614" s="287"/>
      <c r="G614" s="286"/>
      <c r="H614" s="287"/>
      <c r="I614" s="288"/>
      <c r="J614" s="289"/>
      <c r="K614" s="288"/>
      <c r="L614" s="289"/>
      <c r="M614" s="287"/>
      <c r="N614" s="286"/>
      <c r="O614" s="286"/>
      <c r="P614" s="291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</row>
    <row r="615" ht="13.5" customHeight="1">
      <c r="A615" s="286"/>
      <c r="B615" s="286"/>
      <c r="C615" s="286"/>
      <c r="D615" s="286"/>
      <c r="E615" s="286"/>
      <c r="F615" s="287"/>
      <c r="G615" s="286"/>
      <c r="H615" s="287"/>
      <c r="I615" s="288"/>
      <c r="J615" s="289"/>
      <c r="K615" s="288"/>
      <c r="L615" s="289"/>
      <c r="M615" s="287"/>
      <c r="N615" s="286"/>
      <c r="O615" s="286"/>
      <c r="P615" s="291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</row>
    <row r="616" ht="13.5" customHeight="1">
      <c r="A616" s="286"/>
      <c r="B616" s="286"/>
      <c r="C616" s="286"/>
      <c r="D616" s="286"/>
      <c r="E616" s="286"/>
      <c r="F616" s="287"/>
      <c r="G616" s="286"/>
      <c r="H616" s="287"/>
      <c r="I616" s="288"/>
      <c r="J616" s="289"/>
      <c r="K616" s="288"/>
      <c r="L616" s="289"/>
      <c r="M616" s="287"/>
      <c r="N616" s="286"/>
      <c r="O616" s="286"/>
      <c r="P616" s="291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</row>
    <row r="617" ht="13.5" customHeight="1">
      <c r="A617" s="286"/>
      <c r="B617" s="286"/>
      <c r="C617" s="286"/>
      <c r="D617" s="286"/>
      <c r="E617" s="286"/>
      <c r="F617" s="287"/>
      <c r="G617" s="286"/>
      <c r="H617" s="287"/>
      <c r="I617" s="288"/>
      <c r="J617" s="289"/>
      <c r="K617" s="288"/>
      <c r="L617" s="289"/>
      <c r="M617" s="287"/>
      <c r="N617" s="286"/>
      <c r="O617" s="286"/>
      <c r="P617" s="291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</row>
    <row r="618" ht="13.5" customHeight="1">
      <c r="A618" s="286"/>
      <c r="B618" s="286"/>
      <c r="C618" s="286"/>
      <c r="D618" s="286"/>
      <c r="E618" s="286"/>
      <c r="F618" s="287"/>
      <c r="G618" s="286"/>
      <c r="H618" s="287"/>
      <c r="I618" s="288"/>
      <c r="J618" s="289"/>
      <c r="K618" s="288"/>
      <c r="L618" s="289"/>
      <c r="M618" s="287"/>
      <c r="N618" s="286"/>
      <c r="O618" s="286"/>
      <c r="P618" s="291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</row>
    <row r="619" ht="13.5" customHeight="1">
      <c r="A619" s="286"/>
      <c r="B619" s="286"/>
      <c r="C619" s="286"/>
      <c r="D619" s="286"/>
      <c r="E619" s="286"/>
      <c r="F619" s="287"/>
      <c r="G619" s="286"/>
      <c r="H619" s="287"/>
      <c r="I619" s="288"/>
      <c r="J619" s="289"/>
      <c r="K619" s="288"/>
      <c r="L619" s="289"/>
      <c r="M619" s="287"/>
      <c r="N619" s="286"/>
      <c r="O619" s="286"/>
      <c r="P619" s="291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</row>
    <row r="620" ht="13.5" customHeight="1">
      <c r="A620" s="286"/>
      <c r="B620" s="286"/>
      <c r="C620" s="286"/>
      <c r="D620" s="286"/>
      <c r="E620" s="286"/>
      <c r="F620" s="287"/>
      <c r="G620" s="286"/>
      <c r="H620" s="287"/>
      <c r="I620" s="288"/>
      <c r="J620" s="289"/>
      <c r="K620" s="288"/>
      <c r="L620" s="289"/>
      <c r="M620" s="287"/>
      <c r="N620" s="286"/>
      <c r="O620" s="286"/>
      <c r="P620" s="291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</row>
    <row r="621" ht="13.5" customHeight="1">
      <c r="A621" s="286"/>
      <c r="B621" s="286"/>
      <c r="C621" s="286"/>
      <c r="D621" s="286"/>
      <c r="E621" s="286"/>
      <c r="F621" s="287"/>
      <c r="G621" s="286"/>
      <c r="H621" s="287"/>
      <c r="I621" s="288"/>
      <c r="J621" s="289"/>
      <c r="K621" s="288"/>
      <c r="L621" s="289"/>
      <c r="M621" s="287"/>
      <c r="N621" s="286"/>
      <c r="O621" s="286"/>
      <c r="P621" s="291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</row>
    <row r="622" ht="13.5" customHeight="1">
      <c r="A622" s="286"/>
      <c r="B622" s="286"/>
      <c r="C622" s="286"/>
      <c r="D622" s="286"/>
      <c r="E622" s="286"/>
      <c r="F622" s="287"/>
      <c r="G622" s="286"/>
      <c r="H622" s="287"/>
      <c r="I622" s="288"/>
      <c r="J622" s="289"/>
      <c r="K622" s="288"/>
      <c r="L622" s="289"/>
      <c r="M622" s="287"/>
      <c r="N622" s="286"/>
      <c r="O622" s="286"/>
      <c r="P622" s="291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</row>
    <row r="623" ht="13.5" customHeight="1">
      <c r="A623" s="286"/>
      <c r="B623" s="286"/>
      <c r="C623" s="286"/>
      <c r="D623" s="286"/>
      <c r="E623" s="286"/>
      <c r="F623" s="287"/>
      <c r="G623" s="286"/>
      <c r="H623" s="287"/>
      <c r="I623" s="288"/>
      <c r="J623" s="289"/>
      <c r="K623" s="288"/>
      <c r="L623" s="289"/>
      <c r="M623" s="287"/>
      <c r="N623" s="286"/>
      <c r="O623" s="286"/>
      <c r="P623" s="291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</row>
    <row r="624" ht="13.5" customHeight="1">
      <c r="A624" s="286"/>
      <c r="B624" s="286"/>
      <c r="C624" s="286"/>
      <c r="D624" s="286"/>
      <c r="E624" s="286"/>
      <c r="F624" s="287"/>
      <c r="G624" s="286"/>
      <c r="H624" s="287"/>
      <c r="I624" s="288"/>
      <c r="J624" s="289"/>
      <c r="K624" s="288"/>
      <c r="L624" s="289"/>
      <c r="M624" s="287"/>
      <c r="N624" s="286"/>
      <c r="O624" s="286"/>
      <c r="P624" s="291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</row>
    <row r="625" ht="13.5" customHeight="1">
      <c r="A625" s="286"/>
      <c r="B625" s="286"/>
      <c r="C625" s="286"/>
      <c r="D625" s="286"/>
      <c r="E625" s="286"/>
      <c r="F625" s="287"/>
      <c r="G625" s="286"/>
      <c r="H625" s="287"/>
      <c r="I625" s="288"/>
      <c r="J625" s="289"/>
      <c r="K625" s="288"/>
      <c r="L625" s="289"/>
      <c r="M625" s="287"/>
      <c r="N625" s="286"/>
      <c r="O625" s="286"/>
      <c r="P625" s="291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</row>
    <row r="626" ht="13.5" customHeight="1">
      <c r="A626" s="286"/>
      <c r="B626" s="286"/>
      <c r="C626" s="286"/>
      <c r="D626" s="286"/>
      <c r="E626" s="286"/>
      <c r="F626" s="287"/>
      <c r="G626" s="286"/>
      <c r="H626" s="287"/>
      <c r="I626" s="288"/>
      <c r="J626" s="289"/>
      <c r="K626" s="288"/>
      <c r="L626" s="289"/>
      <c r="M626" s="287"/>
      <c r="N626" s="286"/>
      <c r="O626" s="286"/>
      <c r="P626" s="291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</row>
    <row r="627" ht="13.5" customHeight="1">
      <c r="A627" s="286"/>
      <c r="B627" s="286"/>
      <c r="C627" s="286"/>
      <c r="D627" s="286"/>
      <c r="E627" s="286"/>
      <c r="F627" s="287"/>
      <c r="G627" s="286"/>
      <c r="H627" s="287"/>
      <c r="I627" s="288"/>
      <c r="J627" s="289"/>
      <c r="K627" s="288"/>
      <c r="L627" s="289"/>
      <c r="M627" s="287"/>
      <c r="N627" s="286"/>
      <c r="O627" s="286"/>
      <c r="P627" s="291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</row>
    <row r="628" ht="13.5" customHeight="1">
      <c r="A628" s="286"/>
      <c r="B628" s="286"/>
      <c r="C628" s="286"/>
      <c r="D628" s="286"/>
      <c r="E628" s="286"/>
      <c r="F628" s="287"/>
      <c r="G628" s="286"/>
      <c r="H628" s="287"/>
      <c r="I628" s="288"/>
      <c r="J628" s="289"/>
      <c r="K628" s="288"/>
      <c r="L628" s="289"/>
      <c r="M628" s="287"/>
      <c r="N628" s="286"/>
      <c r="O628" s="286"/>
      <c r="P628" s="291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</row>
    <row r="629" ht="13.5" customHeight="1">
      <c r="A629" s="286"/>
      <c r="B629" s="286"/>
      <c r="C629" s="286"/>
      <c r="D629" s="286"/>
      <c r="E629" s="286"/>
      <c r="F629" s="287"/>
      <c r="G629" s="286"/>
      <c r="H629" s="287"/>
      <c r="I629" s="288"/>
      <c r="J629" s="289"/>
      <c r="K629" s="288"/>
      <c r="L629" s="289"/>
      <c r="M629" s="287"/>
      <c r="N629" s="286"/>
      <c r="O629" s="286"/>
      <c r="P629" s="291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</row>
    <row r="630" ht="13.5" customHeight="1">
      <c r="A630" s="286"/>
      <c r="B630" s="286"/>
      <c r="C630" s="286"/>
      <c r="D630" s="286"/>
      <c r="E630" s="286"/>
      <c r="F630" s="287"/>
      <c r="G630" s="286"/>
      <c r="H630" s="287"/>
      <c r="I630" s="288"/>
      <c r="J630" s="289"/>
      <c r="K630" s="288"/>
      <c r="L630" s="289"/>
      <c r="M630" s="287"/>
      <c r="N630" s="286"/>
      <c r="O630" s="286"/>
      <c r="P630" s="291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</row>
    <row r="631" ht="13.5" customHeight="1">
      <c r="A631" s="286"/>
      <c r="B631" s="286"/>
      <c r="C631" s="286"/>
      <c r="D631" s="286"/>
      <c r="E631" s="286"/>
      <c r="F631" s="287"/>
      <c r="G631" s="286"/>
      <c r="H631" s="287"/>
      <c r="I631" s="288"/>
      <c r="J631" s="289"/>
      <c r="K631" s="288"/>
      <c r="L631" s="289"/>
      <c r="M631" s="287"/>
      <c r="N631" s="286"/>
      <c r="O631" s="286"/>
      <c r="P631" s="291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</row>
    <row r="632" ht="13.5" customHeight="1">
      <c r="A632" s="286"/>
      <c r="B632" s="286"/>
      <c r="C632" s="286"/>
      <c r="D632" s="286"/>
      <c r="E632" s="286"/>
      <c r="F632" s="287"/>
      <c r="G632" s="286"/>
      <c r="H632" s="287"/>
      <c r="I632" s="288"/>
      <c r="J632" s="289"/>
      <c r="K632" s="288"/>
      <c r="L632" s="289"/>
      <c r="M632" s="287"/>
      <c r="N632" s="286"/>
      <c r="O632" s="286"/>
      <c r="P632" s="291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</row>
    <row r="633" ht="13.5" customHeight="1">
      <c r="A633" s="286"/>
      <c r="B633" s="286"/>
      <c r="C633" s="286"/>
      <c r="D633" s="286"/>
      <c r="E633" s="286"/>
      <c r="F633" s="287"/>
      <c r="G633" s="286"/>
      <c r="H633" s="287"/>
      <c r="I633" s="288"/>
      <c r="J633" s="289"/>
      <c r="K633" s="288"/>
      <c r="L633" s="289"/>
      <c r="M633" s="287"/>
      <c r="N633" s="286"/>
      <c r="O633" s="286"/>
      <c r="P633" s="291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</row>
    <row r="634" ht="13.5" customHeight="1">
      <c r="A634" s="286"/>
      <c r="B634" s="286"/>
      <c r="C634" s="286"/>
      <c r="D634" s="286"/>
      <c r="E634" s="286"/>
      <c r="F634" s="287"/>
      <c r="G634" s="286"/>
      <c r="H634" s="287"/>
      <c r="I634" s="288"/>
      <c r="J634" s="289"/>
      <c r="K634" s="288"/>
      <c r="L634" s="289"/>
      <c r="M634" s="287"/>
      <c r="N634" s="286"/>
      <c r="O634" s="286"/>
      <c r="P634" s="291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</row>
    <row r="635" ht="13.5" customHeight="1">
      <c r="A635" s="286"/>
      <c r="B635" s="286"/>
      <c r="C635" s="286"/>
      <c r="D635" s="286"/>
      <c r="E635" s="286"/>
      <c r="F635" s="287"/>
      <c r="G635" s="286"/>
      <c r="H635" s="287"/>
      <c r="I635" s="288"/>
      <c r="J635" s="289"/>
      <c r="K635" s="288"/>
      <c r="L635" s="289"/>
      <c r="M635" s="287"/>
      <c r="N635" s="286"/>
      <c r="O635" s="286"/>
      <c r="P635" s="291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</row>
    <row r="636" ht="13.5" customHeight="1">
      <c r="A636" s="286"/>
      <c r="B636" s="286"/>
      <c r="C636" s="286"/>
      <c r="D636" s="286"/>
      <c r="E636" s="286"/>
      <c r="F636" s="287"/>
      <c r="G636" s="286"/>
      <c r="H636" s="287"/>
      <c r="I636" s="288"/>
      <c r="J636" s="289"/>
      <c r="K636" s="288"/>
      <c r="L636" s="289"/>
      <c r="M636" s="287"/>
      <c r="N636" s="286"/>
      <c r="O636" s="286"/>
      <c r="P636" s="291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</row>
    <row r="637" ht="13.5" customHeight="1">
      <c r="A637" s="286"/>
      <c r="B637" s="286"/>
      <c r="C637" s="286"/>
      <c r="D637" s="286"/>
      <c r="E637" s="286"/>
      <c r="F637" s="287"/>
      <c r="G637" s="286"/>
      <c r="H637" s="287"/>
      <c r="I637" s="288"/>
      <c r="J637" s="289"/>
      <c r="K637" s="288"/>
      <c r="L637" s="289"/>
      <c r="M637" s="287"/>
      <c r="N637" s="286"/>
      <c r="O637" s="286"/>
      <c r="P637" s="291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</row>
    <row r="638" ht="13.5" customHeight="1">
      <c r="A638" s="286"/>
      <c r="B638" s="286"/>
      <c r="C638" s="286"/>
      <c r="D638" s="286"/>
      <c r="E638" s="286"/>
      <c r="F638" s="287"/>
      <c r="G638" s="286"/>
      <c r="H638" s="287"/>
      <c r="I638" s="288"/>
      <c r="J638" s="289"/>
      <c r="K638" s="288"/>
      <c r="L638" s="289"/>
      <c r="M638" s="287"/>
      <c r="N638" s="286"/>
      <c r="O638" s="286"/>
      <c r="P638" s="291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</row>
    <row r="639" ht="13.5" customHeight="1">
      <c r="A639" s="286"/>
      <c r="B639" s="286"/>
      <c r="C639" s="286"/>
      <c r="D639" s="286"/>
      <c r="E639" s="286"/>
      <c r="F639" s="287"/>
      <c r="G639" s="286"/>
      <c r="H639" s="287"/>
      <c r="I639" s="288"/>
      <c r="J639" s="289"/>
      <c r="K639" s="288"/>
      <c r="L639" s="289"/>
      <c r="M639" s="287"/>
      <c r="N639" s="286"/>
      <c r="O639" s="286"/>
      <c r="P639" s="291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</row>
    <row r="640" ht="13.5" customHeight="1">
      <c r="A640" s="286"/>
      <c r="B640" s="286"/>
      <c r="C640" s="286"/>
      <c r="D640" s="286"/>
      <c r="E640" s="286"/>
      <c r="F640" s="287"/>
      <c r="G640" s="286"/>
      <c r="H640" s="287"/>
      <c r="I640" s="288"/>
      <c r="J640" s="289"/>
      <c r="K640" s="288"/>
      <c r="L640" s="289"/>
      <c r="M640" s="287"/>
      <c r="N640" s="286"/>
      <c r="O640" s="286"/>
      <c r="P640" s="291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</row>
    <row r="641" ht="13.5" customHeight="1">
      <c r="A641" s="286"/>
      <c r="B641" s="286"/>
      <c r="C641" s="286"/>
      <c r="D641" s="286"/>
      <c r="E641" s="286"/>
      <c r="F641" s="287"/>
      <c r="G641" s="286"/>
      <c r="H641" s="287"/>
      <c r="I641" s="288"/>
      <c r="J641" s="289"/>
      <c r="K641" s="288"/>
      <c r="L641" s="289"/>
      <c r="M641" s="287"/>
      <c r="N641" s="286"/>
      <c r="O641" s="286"/>
      <c r="P641" s="291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</row>
    <row r="642" ht="13.5" customHeight="1">
      <c r="A642" s="286"/>
      <c r="B642" s="286"/>
      <c r="C642" s="286"/>
      <c r="D642" s="286"/>
      <c r="E642" s="286"/>
      <c r="F642" s="287"/>
      <c r="G642" s="286"/>
      <c r="H642" s="287"/>
      <c r="I642" s="288"/>
      <c r="J642" s="289"/>
      <c r="K642" s="288"/>
      <c r="L642" s="289"/>
      <c r="M642" s="287"/>
      <c r="N642" s="286"/>
      <c r="O642" s="286"/>
      <c r="P642" s="291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</row>
    <row r="643" ht="13.5" customHeight="1">
      <c r="A643" s="286"/>
      <c r="B643" s="286"/>
      <c r="C643" s="286"/>
      <c r="D643" s="286"/>
      <c r="E643" s="286"/>
      <c r="F643" s="287"/>
      <c r="G643" s="286"/>
      <c r="H643" s="287"/>
      <c r="I643" s="288"/>
      <c r="J643" s="289"/>
      <c r="K643" s="288"/>
      <c r="L643" s="289"/>
      <c r="M643" s="287"/>
      <c r="N643" s="286"/>
      <c r="O643" s="286"/>
      <c r="P643" s="291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</row>
    <row r="644" ht="13.5" customHeight="1">
      <c r="A644" s="286"/>
      <c r="B644" s="286"/>
      <c r="C644" s="286"/>
      <c r="D644" s="286"/>
      <c r="E644" s="286"/>
      <c r="F644" s="287"/>
      <c r="G644" s="286"/>
      <c r="H644" s="287"/>
      <c r="I644" s="288"/>
      <c r="J644" s="289"/>
      <c r="K644" s="288"/>
      <c r="L644" s="289"/>
      <c r="M644" s="287"/>
      <c r="N644" s="286"/>
      <c r="O644" s="286"/>
      <c r="P644" s="291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</row>
    <row r="645" ht="13.5" customHeight="1">
      <c r="A645" s="286"/>
      <c r="B645" s="286"/>
      <c r="C645" s="286"/>
      <c r="D645" s="286"/>
      <c r="E645" s="286"/>
      <c r="F645" s="287"/>
      <c r="G645" s="286"/>
      <c r="H645" s="287"/>
      <c r="I645" s="288"/>
      <c r="J645" s="289"/>
      <c r="K645" s="288"/>
      <c r="L645" s="289"/>
      <c r="M645" s="287"/>
      <c r="N645" s="286"/>
      <c r="O645" s="286"/>
      <c r="P645" s="291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</row>
    <row r="646" ht="13.5" customHeight="1">
      <c r="A646" s="286"/>
      <c r="B646" s="286"/>
      <c r="C646" s="286"/>
      <c r="D646" s="286"/>
      <c r="E646" s="286"/>
      <c r="F646" s="287"/>
      <c r="G646" s="286"/>
      <c r="H646" s="287"/>
      <c r="I646" s="288"/>
      <c r="J646" s="289"/>
      <c r="K646" s="288"/>
      <c r="L646" s="289"/>
      <c r="M646" s="287"/>
      <c r="N646" s="286"/>
      <c r="O646" s="286"/>
      <c r="P646" s="291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</row>
    <row r="647" ht="13.5" customHeight="1">
      <c r="A647" s="286"/>
      <c r="B647" s="286"/>
      <c r="C647" s="286"/>
      <c r="D647" s="286"/>
      <c r="E647" s="286"/>
      <c r="F647" s="287"/>
      <c r="G647" s="286"/>
      <c r="H647" s="287"/>
      <c r="I647" s="288"/>
      <c r="J647" s="289"/>
      <c r="K647" s="288"/>
      <c r="L647" s="289"/>
      <c r="M647" s="287"/>
      <c r="N647" s="286"/>
      <c r="O647" s="286"/>
      <c r="P647" s="291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</row>
    <row r="648" ht="13.5" customHeight="1">
      <c r="A648" s="286"/>
      <c r="B648" s="286"/>
      <c r="C648" s="286"/>
      <c r="D648" s="286"/>
      <c r="E648" s="286"/>
      <c r="F648" s="287"/>
      <c r="G648" s="286"/>
      <c r="H648" s="287"/>
      <c r="I648" s="288"/>
      <c r="J648" s="289"/>
      <c r="K648" s="288"/>
      <c r="L648" s="289"/>
      <c r="M648" s="287"/>
      <c r="N648" s="286"/>
      <c r="O648" s="286"/>
      <c r="P648" s="291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</row>
    <row r="649" ht="13.5" customHeight="1">
      <c r="A649" s="286"/>
      <c r="B649" s="286"/>
      <c r="C649" s="286"/>
      <c r="D649" s="286"/>
      <c r="E649" s="286"/>
      <c r="F649" s="287"/>
      <c r="G649" s="286"/>
      <c r="H649" s="287"/>
      <c r="I649" s="288"/>
      <c r="J649" s="289"/>
      <c r="K649" s="288"/>
      <c r="L649" s="289"/>
      <c r="M649" s="287"/>
      <c r="N649" s="286"/>
      <c r="O649" s="286"/>
      <c r="P649" s="291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</row>
    <row r="650" ht="13.5" customHeight="1">
      <c r="A650" s="286"/>
      <c r="B650" s="286"/>
      <c r="C650" s="286"/>
      <c r="D650" s="286"/>
      <c r="E650" s="286"/>
      <c r="F650" s="287"/>
      <c r="G650" s="286"/>
      <c r="H650" s="287"/>
      <c r="I650" s="288"/>
      <c r="J650" s="289"/>
      <c r="K650" s="288"/>
      <c r="L650" s="289"/>
      <c r="M650" s="287"/>
      <c r="N650" s="286"/>
      <c r="O650" s="286"/>
      <c r="P650" s="291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</row>
    <row r="651" ht="13.5" customHeight="1">
      <c r="A651" s="286"/>
      <c r="B651" s="286"/>
      <c r="C651" s="286"/>
      <c r="D651" s="286"/>
      <c r="E651" s="286"/>
      <c r="F651" s="287"/>
      <c r="G651" s="286"/>
      <c r="H651" s="287"/>
      <c r="I651" s="288"/>
      <c r="J651" s="289"/>
      <c r="K651" s="288"/>
      <c r="L651" s="289"/>
      <c r="M651" s="287"/>
      <c r="N651" s="286"/>
      <c r="O651" s="286"/>
      <c r="P651" s="291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</row>
    <row r="652" ht="13.5" customHeight="1">
      <c r="A652" s="286"/>
      <c r="B652" s="286"/>
      <c r="C652" s="286"/>
      <c r="D652" s="286"/>
      <c r="E652" s="286"/>
      <c r="F652" s="287"/>
      <c r="G652" s="286"/>
      <c r="H652" s="287"/>
      <c r="I652" s="288"/>
      <c r="J652" s="289"/>
      <c r="K652" s="288"/>
      <c r="L652" s="289"/>
      <c r="M652" s="287"/>
      <c r="N652" s="286"/>
      <c r="O652" s="286"/>
      <c r="P652" s="291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</row>
    <row r="653" ht="13.5" customHeight="1">
      <c r="A653" s="286"/>
      <c r="B653" s="286"/>
      <c r="C653" s="286"/>
      <c r="D653" s="286"/>
      <c r="E653" s="286"/>
      <c r="F653" s="287"/>
      <c r="G653" s="286"/>
      <c r="H653" s="287"/>
      <c r="I653" s="288"/>
      <c r="J653" s="289"/>
      <c r="K653" s="288"/>
      <c r="L653" s="289"/>
      <c r="M653" s="287"/>
      <c r="N653" s="286"/>
      <c r="O653" s="286"/>
      <c r="P653" s="291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</row>
    <row r="654" ht="13.5" customHeight="1">
      <c r="A654" s="286"/>
      <c r="B654" s="286"/>
      <c r="C654" s="286"/>
      <c r="D654" s="286"/>
      <c r="E654" s="286"/>
      <c r="F654" s="287"/>
      <c r="G654" s="286"/>
      <c r="H654" s="287"/>
      <c r="I654" s="288"/>
      <c r="J654" s="289"/>
      <c r="K654" s="288"/>
      <c r="L654" s="289"/>
      <c r="M654" s="287"/>
      <c r="N654" s="286"/>
      <c r="O654" s="286"/>
      <c r="P654" s="291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</row>
    <row r="655" ht="13.5" customHeight="1">
      <c r="A655" s="286"/>
      <c r="B655" s="286"/>
      <c r="C655" s="286"/>
      <c r="D655" s="286"/>
      <c r="E655" s="286"/>
      <c r="F655" s="287"/>
      <c r="G655" s="286"/>
      <c r="H655" s="287"/>
      <c r="I655" s="288"/>
      <c r="J655" s="289"/>
      <c r="K655" s="288"/>
      <c r="L655" s="289"/>
      <c r="M655" s="287"/>
      <c r="N655" s="286"/>
      <c r="O655" s="286"/>
      <c r="P655" s="291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</row>
    <row r="656" ht="13.5" customHeight="1">
      <c r="A656" s="286"/>
      <c r="B656" s="286"/>
      <c r="C656" s="286"/>
      <c r="D656" s="286"/>
      <c r="E656" s="286"/>
      <c r="F656" s="287"/>
      <c r="G656" s="286"/>
      <c r="H656" s="287"/>
      <c r="I656" s="288"/>
      <c r="J656" s="289"/>
      <c r="K656" s="288"/>
      <c r="L656" s="289"/>
      <c r="M656" s="287"/>
      <c r="N656" s="286"/>
      <c r="O656" s="286"/>
      <c r="P656" s="291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</row>
    <row r="657" ht="13.5" customHeight="1">
      <c r="A657" s="286"/>
      <c r="B657" s="286"/>
      <c r="C657" s="286"/>
      <c r="D657" s="286"/>
      <c r="E657" s="286"/>
      <c r="F657" s="287"/>
      <c r="G657" s="286"/>
      <c r="H657" s="287"/>
      <c r="I657" s="288"/>
      <c r="J657" s="289"/>
      <c r="K657" s="288"/>
      <c r="L657" s="289"/>
      <c r="M657" s="287"/>
      <c r="N657" s="286"/>
      <c r="O657" s="286"/>
      <c r="P657" s="291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</row>
    <row r="658" ht="13.5" customHeight="1">
      <c r="A658" s="286"/>
      <c r="B658" s="286"/>
      <c r="C658" s="286"/>
      <c r="D658" s="286"/>
      <c r="E658" s="286"/>
      <c r="F658" s="287"/>
      <c r="G658" s="286"/>
      <c r="H658" s="287"/>
      <c r="I658" s="288"/>
      <c r="J658" s="289"/>
      <c r="K658" s="288"/>
      <c r="L658" s="289"/>
      <c r="M658" s="287"/>
      <c r="N658" s="286"/>
      <c r="O658" s="286"/>
      <c r="P658" s="291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</row>
    <row r="659" ht="13.5" customHeight="1">
      <c r="A659" s="286"/>
      <c r="B659" s="286"/>
      <c r="C659" s="286"/>
      <c r="D659" s="286"/>
      <c r="E659" s="286"/>
      <c r="F659" s="287"/>
      <c r="G659" s="286"/>
      <c r="H659" s="287"/>
      <c r="I659" s="288"/>
      <c r="J659" s="289"/>
      <c r="K659" s="288"/>
      <c r="L659" s="289"/>
      <c r="M659" s="287"/>
      <c r="N659" s="286"/>
      <c r="O659" s="286"/>
      <c r="P659" s="291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</row>
    <row r="660" ht="13.5" customHeight="1">
      <c r="A660" s="286"/>
      <c r="B660" s="286"/>
      <c r="C660" s="286"/>
      <c r="D660" s="286"/>
      <c r="E660" s="286"/>
      <c r="F660" s="287"/>
      <c r="G660" s="286"/>
      <c r="H660" s="287"/>
      <c r="I660" s="288"/>
      <c r="J660" s="289"/>
      <c r="K660" s="288"/>
      <c r="L660" s="289"/>
      <c r="M660" s="287"/>
      <c r="N660" s="286"/>
      <c r="O660" s="286"/>
      <c r="P660" s="291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</row>
    <row r="661" ht="13.5" customHeight="1">
      <c r="A661" s="286"/>
      <c r="B661" s="286"/>
      <c r="C661" s="286"/>
      <c r="D661" s="286"/>
      <c r="E661" s="286"/>
      <c r="F661" s="287"/>
      <c r="G661" s="286"/>
      <c r="H661" s="287"/>
      <c r="I661" s="288"/>
      <c r="J661" s="289"/>
      <c r="K661" s="288"/>
      <c r="L661" s="289"/>
      <c r="M661" s="287"/>
      <c r="N661" s="286"/>
      <c r="O661" s="286"/>
      <c r="P661" s="291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</row>
    <row r="662" ht="13.5" customHeight="1">
      <c r="A662" s="286"/>
      <c r="B662" s="286"/>
      <c r="C662" s="286"/>
      <c r="D662" s="286"/>
      <c r="E662" s="286"/>
      <c r="F662" s="287"/>
      <c r="G662" s="286"/>
      <c r="H662" s="287"/>
      <c r="I662" s="288"/>
      <c r="J662" s="289"/>
      <c r="K662" s="288"/>
      <c r="L662" s="289"/>
      <c r="M662" s="287"/>
      <c r="N662" s="286"/>
      <c r="O662" s="286"/>
      <c r="P662" s="291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</row>
    <row r="663" ht="13.5" customHeight="1">
      <c r="A663" s="286"/>
      <c r="B663" s="286"/>
      <c r="C663" s="286"/>
      <c r="D663" s="286"/>
      <c r="E663" s="286"/>
      <c r="F663" s="287"/>
      <c r="G663" s="286"/>
      <c r="H663" s="287"/>
      <c r="I663" s="288"/>
      <c r="J663" s="289"/>
      <c r="K663" s="288"/>
      <c r="L663" s="289"/>
      <c r="M663" s="287"/>
      <c r="N663" s="286"/>
      <c r="O663" s="286"/>
      <c r="P663" s="291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</row>
    <row r="664" ht="13.5" customHeight="1">
      <c r="A664" s="286"/>
      <c r="B664" s="286"/>
      <c r="C664" s="286"/>
      <c r="D664" s="286"/>
      <c r="E664" s="286"/>
      <c r="F664" s="287"/>
      <c r="G664" s="286"/>
      <c r="H664" s="287"/>
      <c r="I664" s="288"/>
      <c r="J664" s="289"/>
      <c r="K664" s="288"/>
      <c r="L664" s="289"/>
      <c r="M664" s="287"/>
      <c r="N664" s="286"/>
      <c r="O664" s="286"/>
      <c r="P664" s="291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</row>
    <row r="665" ht="13.5" customHeight="1">
      <c r="A665" s="286"/>
      <c r="B665" s="286"/>
      <c r="C665" s="286"/>
      <c r="D665" s="286"/>
      <c r="E665" s="286"/>
      <c r="F665" s="287"/>
      <c r="G665" s="286"/>
      <c r="H665" s="287"/>
      <c r="I665" s="288"/>
      <c r="J665" s="289"/>
      <c r="K665" s="288"/>
      <c r="L665" s="289"/>
      <c r="M665" s="287"/>
      <c r="N665" s="286"/>
      <c r="O665" s="286"/>
      <c r="P665" s="291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</row>
    <row r="666" ht="13.5" customHeight="1">
      <c r="A666" s="286"/>
      <c r="B666" s="286"/>
      <c r="C666" s="286"/>
      <c r="D666" s="286"/>
      <c r="E666" s="286"/>
      <c r="F666" s="287"/>
      <c r="G666" s="286"/>
      <c r="H666" s="287"/>
      <c r="I666" s="288"/>
      <c r="J666" s="289"/>
      <c r="K666" s="288"/>
      <c r="L666" s="289"/>
      <c r="M666" s="287"/>
      <c r="N666" s="286"/>
      <c r="O666" s="286"/>
      <c r="P666" s="291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</row>
    <row r="667" ht="13.5" customHeight="1">
      <c r="A667" s="286"/>
      <c r="B667" s="286"/>
      <c r="C667" s="286"/>
      <c r="D667" s="286"/>
      <c r="E667" s="286"/>
      <c r="F667" s="287"/>
      <c r="G667" s="286"/>
      <c r="H667" s="287"/>
      <c r="I667" s="288"/>
      <c r="J667" s="289"/>
      <c r="K667" s="288"/>
      <c r="L667" s="289"/>
      <c r="M667" s="287"/>
      <c r="N667" s="286"/>
      <c r="O667" s="286"/>
      <c r="P667" s="291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</row>
    <row r="668" ht="13.5" customHeight="1">
      <c r="A668" s="286"/>
      <c r="B668" s="286"/>
      <c r="C668" s="286"/>
      <c r="D668" s="286"/>
      <c r="E668" s="286"/>
      <c r="F668" s="287"/>
      <c r="G668" s="286"/>
      <c r="H668" s="287"/>
      <c r="I668" s="288"/>
      <c r="J668" s="289"/>
      <c r="K668" s="288"/>
      <c r="L668" s="289"/>
      <c r="M668" s="287"/>
      <c r="N668" s="286"/>
      <c r="O668" s="286"/>
      <c r="P668" s="291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</row>
    <row r="669" ht="13.5" customHeight="1">
      <c r="A669" s="286"/>
      <c r="B669" s="286"/>
      <c r="C669" s="286"/>
      <c r="D669" s="286"/>
      <c r="E669" s="286"/>
      <c r="F669" s="287"/>
      <c r="G669" s="286"/>
      <c r="H669" s="287"/>
      <c r="I669" s="288"/>
      <c r="J669" s="289"/>
      <c r="K669" s="288"/>
      <c r="L669" s="289"/>
      <c r="M669" s="287"/>
      <c r="N669" s="286"/>
      <c r="O669" s="286"/>
      <c r="P669" s="291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</row>
    <row r="670" ht="13.5" customHeight="1">
      <c r="A670" s="286"/>
      <c r="B670" s="286"/>
      <c r="C670" s="286"/>
      <c r="D670" s="286"/>
      <c r="E670" s="286"/>
      <c r="F670" s="287"/>
      <c r="G670" s="286"/>
      <c r="H670" s="287"/>
      <c r="I670" s="288"/>
      <c r="J670" s="289"/>
      <c r="K670" s="288"/>
      <c r="L670" s="289"/>
      <c r="M670" s="287"/>
      <c r="N670" s="286"/>
      <c r="O670" s="286"/>
      <c r="P670" s="291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</row>
    <row r="671" ht="13.5" customHeight="1">
      <c r="A671" s="286"/>
      <c r="B671" s="286"/>
      <c r="C671" s="286"/>
      <c r="D671" s="286"/>
      <c r="E671" s="286"/>
      <c r="F671" s="287"/>
      <c r="G671" s="286"/>
      <c r="H671" s="287"/>
      <c r="I671" s="288"/>
      <c r="J671" s="289"/>
      <c r="K671" s="288"/>
      <c r="L671" s="289"/>
      <c r="M671" s="287"/>
      <c r="N671" s="286"/>
      <c r="O671" s="286"/>
      <c r="P671" s="291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</row>
    <row r="672" ht="13.5" customHeight="1">
      <c r="A672" s="286"/>
      <c r="B672" s="286"/>
      <c r="C672" s="286"/>
      <c r="D672" s="286"/>
      <c r="E672" s="286"/>
      <c r="F672" s="287"/>
      <c r="G672" s="286"/>
      <c r="H672" s="287"/>
      <c r="I672" s="288"/>
      <c r="J672" s="289"/>
      <c r="K672" s="288"/>
      <c r="L672" s="289"/>
      <c r="M672" s="287"/>
      <c r="N672" s="286"/>
      <c r="O672" s="286"/>
      <c r="P672" s="291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</row>
    <row r="673" ht="13.5" customHeight="1">
      <c r="A673" s="286"/>
      <c r="B673" s="286"/>
      <c r="C673" s="286"/>
      <c r="D673" s="286"/>
      <c r="E673" s="286"/>
      <c r="F673" s="287"/>
      <c r="G673" s="286"/>
      <c r="H673" s="287"/>
      <c r="I673" s="288"/>
      <c r="J673" s="289"/>
      <c r="K673" s="288"/>
      <c r="L673" s="289"/>
      <c r="M673" s="287"/>
      <c r="N673" s="286"/>
      <c r="O673" s="286"/>
      <c r="P673" s="291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</row>
    <row r="674" ht="13.5" customHeight="1">
      <c r="A674" s="286"/>
      <c r="B674" s="286"/>
      <c r="C674" s="286"/>
      <c r="D674" s="286"/>
      <c r="E674" s="286"/>
      <c r="F674" s="287"/>
      <c r="G674" s="286"/>
      <c r="H674" s="287"/>
      <c r="I674" s="288"/>
      <c r="J674" s="289"/>
      <c r="K674" s="288"/>
      <c r="L674" s="289"/>
      <c r="M674" s="287"/>
      <c r="N674" s="286"/>
      <c r="O674" s="286"/>
      <c r="P674" s="291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</row>
    <row r="675" ht="13.5" customHeight="1">
      <c r="A675" s="286"/>
      <c r="B675" s="286"/>
      <c r="C675" s="286"/>
      <c r="D675" s="286"/>
      <c r="E675" s="286"/>
      <c r="F675" s="287"/>
      <c r="G675" s="286"/>
      <c r="H675" s="287"/>
      <c r="I675" s="288"/>
      <c r="J675" s="289"/>
      <c r="K675" s="288"/>
      <c r="L675" s="289"/>
      <c r="M675" s="287"/>
      <c r="N675" s="286"/>
      <c r="O675" s="286"/>
      <c r="P675" s="291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</row>
    <row r="676" ht="13.5" customHeight="1">
      <c r="A676" s="286"/>
      <c r="B676" s="286"/>
      <c r="C676" s="286"/>
      <c r="D676" s="286"/>
      <c r="E676" s="286"/>
      <c r="F676" s="287"/>
      <c r="G676" s="286"/>
      <c r="H676" s="287"/>
      <c r="I676" s="288"/>
      <c r="J676" s="289"/>
      <c r="K676" s="288"/>
      <c r="L676" s="289"/>
      <c r="M676" s="287"/>
      <c r="N676" s="286"/>
      <c r="O676" s="286"/>
      <c r="P676" s="291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</row>
    <row r="677" ht="13.5" customHeight="1">
      <c r="A677" s="286"/>
      <c r="B677" s="286"/>
      <c r="C677" s="286"/>
      <c r="D677" s="286"/>
      <c r="E677" s="286"/>
      <c r="F677" s="287"/>
      <c r="G677" s="286"/>
      <c r="H677" s="287"/>
      <c r="I677" s="288"/>
      <c r="J677" s="289"/>
      <c r="K677" s="288"/>
      <c r="L677" s="289"/>
      <c r="M677" s="287"/>
      <c r="N677" s="286"/>
      <c r="O677" s="286"/>
      <c r="P677" s="291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</row>
    <row r="678" ht="13.5" customHeight="1">
      <c r="A678" s="286"/>
      <c r="B678" s="286"/>
      <c r="C678" s="286"/>
      <c r="D678" s="286"/>
      <c r="E678" s="286"/>
      <c r="F678" s="287"/>
      <c r="G678" s="286"/>
      <c r="H678" s="287"/>
      <c r="I678" s="288"/>
      <c r="J678" s="289"/>
      <c r="K678" s="288"/>
      <c r="L678" s="289"/>
      <c r="M678" s="287"/>
      <c r="N678" s="286"/>
      <c r="O678" s="286"/>
      <c r="P678" s="291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</row>
    <row r="679" ht="13.5" customHeight="1">
      <c r="A679" s="286"/>
      <c r="B679" s="286"/>
      <c r="C679" s="286"/>
      <c r="D679" s="286"/>
      <c r="E679" s="286"/>
      <c r="F679" s="287"/>
      <c r="G679" s="286"/>
      <c r="H679" s="287"/>
      <c r="I679" s="288"/>
      <c r="J679" s="289"/>
      <c r="K679" s="288"/>
      <c r="L679" s="289"/>
      <c r="M679" s="287"/>
      <c r="N679" s="286"/>
      <c r="O679" s="286"/>
      <c r="P679" s="291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</row>
    <row r="680" ht="13.5" customHeight="1">
      <c r="A680" s="286"/>
      <c r="B680" s="286"/>
      <c r="C680" s="286"/>
      <c r="D680" s="286"/>
      <c r="E680" s="286"/>
      <c r="F680" s="287"/>
      <c r="G680" s="286"/>
      <c r="H680" s="287"/>
      <c r="I680" s="288"/>
      <c r="J680" s="289"/>
      <c r="K680" s="288"/>
      <c r="L680" s="289"/>
      <c r="M680" s="287"/>
      <c r="N680" s="286"/>
      <c r="O680" s="286"/>
      <c r="P680" s="291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</row>
    <row r="681" ht="13.5" customHeight="1">
      <c r="A681" s="286"/>
      <c r="B681" s="286"/>
      <c r="C681" s="286"/>
      <c r="D681" s="286"/>
      <c r="E681" s="286"/>
      <c r="F681" s="287"/>
      <c r="G681" s="286"/>
      <c r="H681" s="287"/>
      <c r="I681" s="288"/>
      <c r="J681" s="289"/>
      <c r="K681" s="288"/>
      <c r="L681" s="289"/>
      <c r="M681" s="287"/>
      <c r="N681" s="286"/>
      <c r="O681" s="286"/>
      <c r="P681" s="291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</row>
    <row r="682" ht="13.5" customHeight="1">
      <c r="A682" s="286"/>
      <c r="B682" s="286"/>
      <c r="C682" s="286"/>
      <c r="D682" s="286"/>
      <c r="E682" s="286"/>
      <c r="F682" s="287"/>
      <c r="G682" s="286"/>
      <c r="H682" s="287"/>
      <c r="I682" s="288"/>
      <c r="J682" s="289"/>
      <c r="K682" s="288"/>
      <c r="L682" s="289"/>
      <c r="M682" s="287"/>
      <c r="N682" s="286"/>
      <c r="O682" s="286"/>
      <c r="P682" s="291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</row>
    <row r="683" ht="13.5" customHeight="1">
      <c r="A683" s="286"/>
      <c r="B683" s="286"/>
      <c r="C683" s="286"/>
      <c r="D683" s="286"/>
      <c r="E683" s="286"/>
      <c r="F683" s="287"/>
      <c r="G683" s="286"/>
      <c r="H683" s="287"/>
      <c r="I683" s="288"/>
      <c r="J683" s="289"/>
      <c r="K683" s="288"/>
      <c r="L683" s="289"/>
      <c r="M683" s="287"/>
      <c r="N683" s="286"/>
      <c r="O683" s="286"/>
      <c r="P683" s="291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</row>
    <row r="684" ht="13.5" customHeight="1">
      <c r="A684" s="286"/>
      <c r="B684" s="286"/>
      <c r="C684" s="286"/>
      <c r="D684" s="286"/>
      <c r="E684" s="286"/>
      <c r="F684" s="287"/>
      <c r="G684" s="286"/>
      <c r="H684" s="287"/>
      <c r="I684" s="288"/>
      <c r="J684" s="289"/>
      <c r="K684" s="288"/>
      <c r="L684" s="289"/>
      <c r="M684" s="287"/>
      <c r="N684" s="286"/>
      <c r="O684" s="286"/>
      <c r="P684" s="291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</row>
    <row r="685" ht="13.5" customHeight="1">
      <c r="A685" s="286"/>
      <c r="B685" s="286"/>
      <c r="C685" s="286"/>
      <c r="D685" s="286"/>
      <c r="E685" s="286"/>
      <c r="F685" s="287"/>
      <c r="G685" s="286"/>
      <c r="H685" s="287"/>
      <c r="I685" s="288"/>
      <c r="J685" s="289"/>
      <c r="K685" s="288"/>
      <c r="L685" s="289"/>
      <c r="M685" s="287"/>
      <c r="N685" s="286"/>
      <c r="O685" s="286"/>
      <c r="P685" s="291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</row>
    <row r="686" ht="13.5" customHeight="1">
      <c r="A686" s="286"/>
      <c r="B686" s="286"/>
      <c r="C686" s="286"/>
      <c r="D686" s="286"/>
      <c r="E686" s="286"/>
      <c r="F686" s="287"/>
      <c r="G686" s="286"/>
      <c r="H686" s="287"/>
      <c r="I686" s="288"/>
      <c r="J686" s="289"/>
      <c r="K686" s="288"/>
      <c r="L686" s="289"/>
      <c r="M686" s="287"/>
      <c r="N686" s="286"/>
      <c r="O686" s="286"/>
      <c r="P686" s="291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</row>
    <row r="687" ht="13.5" customHeight="1">
      <c r="A687" s="286"/>
      <c r="B687" s="286"/>
      <c r="C687" s="286"/>
      <c r="D687" s="286"/>
      <c r="E687" s="286"/>
      <c r="F687" s="287"/>
      <c r="G687" s="286"/>
      <c r="H687" s="287"/>
      <c r="I687" s="288"/>
      <c r="J687" s="289"/>
      <c r="K687" s="288"/>
      <c r="L687" s="289"/>
      <c r="M687" s="287"/>
      <c r="N687" s="286"/>
      <c r="O687" s="286"/>
      <c r="P687" s="291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</row>
    <row r="688" ht="13.5" customHeight="1">
      <c r="A688" s="286"/>
      <c r="B688" s="286"/>
      <c r="C688" s="286"/>
      <c r="D688" s="286"/>
      <c r="E688" s="286"/>
      <c r="F688" s="287"/>
      <c r="G688" s="286"/>
      <c r="H688" s="287"/>
      <c r="I688" s="288"/>
      <c r="J688" s="289"/>
      <c r="K688" s="288"/>
      <c r="L688" s="289"/>
      <c r="M688" s="287"/>
      <c r="N688" s="286"/>
      <c r="O688" s="286"/>
      <c r="P688" s="291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</row>
    <row r="689" ht="13.5" customHeight="1">
      <c r="A689" s="286"/>
      <c r="B689" s="286"/>
      <c r="C689" s="286"/>
      <c r="D689" s="286"/>
      <c r="E689" s="286"/>
      <c r="F689" s="287"/>
      <c r="G689" s="286"/>
      <c r="H689" s="287"/>
      <c r="I689" s="288"/>
      <c r="J689" s="289"/>
      <c r="K689" s="288"/>
      <c r="L689" s="289"/>
      <c r="M689" s="287"/>
      <c r="N689" s="286"/>
      <c r="O689" s="286"/>
      <c r="P689" s="291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</row>
    <row r="690" ht="13.5" customHeight="1">
      <c r="A690" s="286"/>
      <c r="B690" s="286"/>
      <c r="C690" s="286"/>
      <c r="D690" s="286"/>
      <c r="E690" s="286"/>
      <c r="F690" s="287"/>
      <c r="G690" s="286"/>
      <c r="H690" s="287"/>
      <c r="I690" s="288"/>
      <c r="J690" s="289"/>
      <c r="K690" s="288"/>
      <c r="L690" s="289"/>
      <c r="M690" s="287"/>
      <c r="N690" s="286"/>
      <c r="O690" s="286"/>
      <c r="P690" s="291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</row>
    <row r="691" ht="13.5" customHeight="1">
      <c r="A691" s="286"/>
      <c r="B691" s="286"/>
      <c r="C691" s="286"/>
      <c r="D691" s="286"/>
      <c r="E691" s="286"/>
      <c r="F691" s="287"/>
      <c r="G691" s="286"/>
      <c r="H691" s="287"/>
      <c r="I691" s="288"/>
      <c r="J691" s="289"/>
      <c r="K691" s="288"/>
      <c r="L691" s="289"/>
      <c r="M691" s="287"/>
      <c r="N691" s="286"/>
      <c r="O691" s="286"/>
      <c r="P691" s="291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</row>
    <row r="692" ht="13.5" customHeight="1">
      <c r="A692" s="286"/>
      <c r="B692" s="286"/>
      <c r="C692" s="286"/>
      <c r="D692" s="286"/>
      <c r="E692" s="286"/>
      <c r="F692" s="287"/>
      <c r="G692" s="286"/>
      <c r="H692" s="287"/>
      <c r="I692" s="288"/>
      <c r="J692" s="289"/>
      <c r="K692" s="288"/>
      <c r="L692" s="289"/>
      <c r="M692" s="287"/>
      <c r="N692" s="286"/>
      <c r="O692" s="286"/>
      <c r="P692" s="291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</row>
    <row r="693" ht="13.5" customHeight="1">
      <c r="A693" s="286"/>
      <c r="B693" s="286"/>
      <c r="C693" s="286"/>
      <c r="D693" s="286"/>
      <c r="E693" s="286"/>
      <c r="F693" s="287"/>
      <c r="G693" s="286"/>
      <c r="H693" s="287"/>
      <c r="I693" s="288"/>
      <c r="J693" s="289"/>
      <c r="K693" s="288"/>
      <c r="L693" s="289"/>
      <c r="M693" s="287"/>
      <c r="N693" s="286"/>
      <c r="O693" s="286"/>
      <c r="P693" s="291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</row>
    <row r="694" ht="13.5" customHeight="1">
      <c r="A694" s="286"/>
      <c r="B694" s="286"/>
      <c r="C694" s="286"/>
      <c r="D694" s="286"/>
      <c r="E694" s="286"/>
      <c r="F694" s="287"/>
      <c r="G694" s="286"/>
      <c r="H694" s="287"/>
      <c r="I694" s="288"/>
      <c r="J694" s="289"/>
      <c r="K694" s="288"/>
      <c r="L694" s="289"/>
      <c r="M694" s="287"/>
      <c r="N694" s="286"/>
      <c r="O694" s="286"/>
      <c r="P694" s="291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</row>
    <row r="695" ht="13.5" customHeight="1">
      <c r="A695" s="286"/>
      <c r="B695" s="286"/>
      <c r="C695" s="286"/>
      <c r="D695" s="286"/>
      <c r="E695" s="286"/>
      <c r="F695" s="287"/>
      <c r="G695" s="286"/>
      <c r="H695" s="287"/>
      <c r="I695" s="288"/>
      <c r="J695" s="289"/>
      <c r="K695" s="288"/>
      <c r="L695" s="289"/>
      <c r="M695" s="287"/>
      <c r="N695" s="286"/>
      <c r="O695" s="286"/>
      <c r="P695" s="291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</row>
    <row r="696" ht="13.5" customHeight="1">
      <c r="A696" s="286"/>
      <c r="B696" s="286"/>
      <c r="C696" s="286"/>
      <c r="D696" s="286"/>
      <c r="E696" s="286"/>
      <c r="F696" s="287"/>
      <c r="G696" s="286"/>
      <c r="H696" s="287"/>
      <c r="I696" s="288"/>
      <c r="J696" s="289"/>
      <c r="K696" s="288"/>
      <c r="L696" s="289"/>
      <c r="M696" s="287"/>
      <c r="N696" s="286"/>
      <c r="O696" s="286"/>
      <c r="P696" s="291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</row>
    <row r="697" ht="13.5" customHeight="1">
      <c r="A697" s="286"/>
      <c r="B697" s="286"/>
      <c r="C697" s="286"/>
      <c r="D697" s="286"/>
      <c r="E697" s="286"/>
      <c r="F697" s="287"/>
      <c r="G697" s="286"/>
      <c r="H697" s="287"/>
      <c r="I697" s="288"/>
      <c r="J697" s="289"/>
      <c r="K697" s="288"/>
      <c r="L697" s="289"/>
      <c r="M697" s="287"/>
      <c r="N697" s="286"/>
      <c r="O697" s="286"/>
      <c r="P697" s="291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</row>
    <row r="698" ht="13.5" customHeight="1">
      <c r="A698" s="286"/>
      <c r="B698" s="286"/>
      <c r="C698" s="286"/>
      <c r="D698" s="286"/>
      <c r="E698" s="286"/>
      <c r="F698" s="287"/>
      <c r="G698" s="286"/>
      <c r="H698" s="287"/>
      <c r="I698" s="288"/>
      <c r="J698" s="289"/>
      <c r="K698" s="288"/>
      <c r="L698" s="289"/>
      <c r="M698" s="287"/>
      <c r="N698" s="286"/>
      <c r="O698" s="286"/>
      <c r="P698" s="291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</row>
    <row r="699" ht="13.5" customHeight="1">
      <c r="A699" s="286"/>
      <c r="B699" s="286"/>
      <c r="C699" s="286"/>
      <c r="D699" s="286"/>
      <c r="E699" s="286"/>
      <c r="F699" s="287"/>
      <c r="G699" s="286"/>
      <c r="H699" s="287"/>
      <c r="I699" s="288"/>
      <c r="J699" s="289"/>
      <c r="K699" s="288"/>
      <c r="L699" s="289"/>
      <c r="M699" s="287"/>
      <c r="N699" s="286"/>
      <c r="O699" s="286"/>
      <c r="P699" s="291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</row>
    <row r="700" ht="13.5" customHeight="1">
      <c r="A700" s="286"/>
      <c r="B700" s="286"/>
      <c r="C700" s="286"/>
      <c r="D700" s="286"/>
      <c r="E700" s="286"/>
      <c r="F700" s="287"/>
      <c r="G700" s="286"/>
      <c r="H700" s="287"/>
      <c r="I700" s="288"/>
      <c r="J700" s="289"/>
      <c r="K700" s="288"/>
      <c r="L700" s="289"/>
      <c r="M700" s="287"/>
      <c r="N700" s="286"/>
      <c r="O700" s="286"/>
      <c r="P700" s="291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</row>
    <row r="701" ht="13.5" customHeight="1">
      <c r="A701" s="286"/>
      <c r="B701" s="286"/>
      <c r="C701" s="286"/>
      <c r="D701" s="286"/>
      <c r="E701" s="286"/>
      <c r="F701" s="287"/>
      <c r="G701" s="286"/>
      <c r="H701" s="287"/>
      <c r="I701" s="288"/>
      <c r="J701" s="289"/>
      <c r="K701" s="288"/>
      <c r="L701" s="289"/>
      <c r="M701" s="287"/>
      <c r="N701" s="286"/>
      <c r="O701" s="286"/>
      <c r="P701" s="291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</row>
    <row r="702" ht="13.5" customHeight="1">
      <c r="A702" s="286"/>
      <c r="B702" s="286"/>
      <c r="C702" s="286"/>
      <c r="D702" s="286"/>
      <c r="E702" s="286"/>
      <c r="F702" s="287"/>
      <c r="G702" s="286"/>
      <c r="H702" s="287"/>
      <c r="I702" s="288"/>
      <c r="J702" s="289"/>
      <c r="K702" s="288"/>
      <c r="L702" s="289"/>
      <c r="M702" s="287"/>
      <c r="N702" s="286"/>
      <c r="O702" s="286"/>
      <c r="P702" s="291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</row>
    <row r="703" ht="13.5" customHeight="1">
      <c r="A703" s="286"/>
      <c r="B703" s="286"/>
      <c r="C703" s="286"/>
      <c r="D703" s="286"/>
      <c r="E703" s="286"/>
      <c r="F703" s="287"/>
      <c r="G703" s="286"/>
      <c r="H703" s="287"/>
      <c r="I703" s="288"/>
      <c r="J703" s="289"/>
      <c r="K703" s="288"/>
      <c r="L703" s="289"/>
      <c r="M703" s="287"/>
      <c r="N703" s="286"/>
      <c r="O703" s="286"/>
      <c r="P703" s="291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</row>
    <row r="704" ht="13.5" customHeight="1">
      <c r="A704" s="286"/>
      <c r="B704" s="286"/>
      <c r="C704" s="286"/>
      <c r="D704" s="286"/>
      <c r="E704" s="286"/>
      <c r="F704" s="287"/>
      <c r="G704" s="286"/>
      <c r="H704" s="287"/>
      <c r="I704" s="288"/>
      <c r="J704" s="289"/>
      <c r="K704" s="288"/>
      <c r="L704" s="289"/>
      <c r="M704" s="287"/>
      <c r="N704" s="286"/>
      <c r="O704" s="286"/>
      <c r="P704" s="291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</row>
    <row r="705" ht="13.5" customHeight="1">
      <c r="A705" s="286"/>
      <c r="B705" s="286"/>
      <c r="C705" s="286"/>
      <c r="D705" s="286"/>
      <c r="E705" s="286"/>
      <c r="F705" s="287"/>
      <c r="G705" s="286"/>
      <c r="H705" s="287"/>
      <c r="I705" s="288"/>
      <c r="J705" s="289"/>
      <c r="K705" s="288"/>
      <c r="L705" s="289"/>
      <c r="M705" s="287"/>
      <c r="N705" s="286"/>
      <c r="O705" s="286"/>
      <c r="P705" s="291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</row>
    <row r="706" ht="13.5" customHeight="1">
      <c r="A706" s="286"/>
      <c r="B706" s="286"/>
      <c r="C706" s="286"/>
      <c r="D706" s="286"/>
      <c r="E706" s="286"/>
      <c r="F706" s="287"/>
      <c r="G706" s="286"/>
      <c r="H706" s="287"/>
      <c r="I706" s="288"/>
      <c r="J706" s="289"/>
      <c r="K706" s="288"/>
      <c r="L706" s="289"/>
      <c r="M706" s="287"/>
      <c r="N706" s="286"/>
      <c r="O706" s="286"/>
      <c r="P706" s="291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</row>
    <row r="707" ht="13.5" customHeight="1">
      <c r="A707" s="286"/>
      <c r="B707" s="286"/>
      <c r="C707" s="286"/>
      <c r="D707" s="286"/>
      <c r="E707" s="286"/>
      <c r="F707" s="287"/>
      <c r="G707" s="286"/>
      <c r="H707" s="287"/>
      <c r="I707" s="288"/>
      <c r="J707" s="289"/>
      <c r="K707" s="288"/>
      <c r="L707" s="289"/>
      <c r="M707" s="287"/>
      <c r="N707" s="286"/>
      <c r="O707" s="286"/>
      <c r="P707" s="291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</row>
    <row r="708" ht="13.5" customHeight="1">
      <c r="A708" s="286"/>
      <c r="B708" s="286"/>
      <c r="C708" s="286"/>
      <c r="D708" s="286"/>
      <c r="E708" s="286"/>
      <c r="F708" s="287"/>
      <c r="G708" s="286"/>
      <c r="H708" s="287"/>
      <c r="I708" s="288"/>
      <c r="J708" s="289"/>
      <c r="K708" s="288"/>
      <c r="L708" s="289"/>
      <c r="M708" s="287"/>
      <c r="N708" s="286"/>
      <c r="O708" s="286"/>
      <c r="P708" s="291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</row>
    <row r="709" ht="13.5" customHeight="1">
      <c r="A709" s="286"/>
      <c r="B709" s="286"/>
      <c r="C709" s="286"/>
      <c r="D709" s="286"/>
      <c r="E709" s="286"/>
      <c r="F709" s="287"/>
      <c r="G709" s="286"/>
      <c r="H709" s="287"/>
      <c r="I709" s="288"/>
      <c r="J709" s="289"/>
      <c r="K709" s="288"/>
      <c r="L709" s="289"/>
      <c r="M709" s="287"/>
      <c r="N709" s="286"/>
      <c r="O709" s="286"/>
      <c r="P709" s="291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</row>
    <row r="710" ht="13.5" customHeight="1">
      <c r="A710" s="286"/>
      <c r="B710" s="286"/>
      <c r="C710" s="286"/>
      <c r="D710" s="286"/>
      <c r="E710" s="286"/>
      <c r="F710" s="287"/>
      <c r="G710" s="286"/>
      <c r="H710" s="287"/>
      <c r="I710" s="288"/>
      <c r="J710" s="289"/>
      <c r="K710" s="288"/>
      <c r="L710" s="289"/>
      <c r="M710" s="287"/>
      <c r="N710" s="286"/>
      <c r="O710" s="286"/>
      <c r="P710" s="291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</row>
    <row r="711" ht="13.5" customHeight="1">
      <c r="A711" s="286"/>
      <c r="B711" s="286"/>
      <c r="C711" s="286"/>
      <c r="D711" s="286"/>
      <c r="E711" s="286"/>
      <c r="F711" s="287"/>
      <c r="G711" s="286"/>
      <c r="H711" s="287"/>
      <c r="I711" s="288"/>
      <c r="J711" s="289"/>
      <c r="K711" s="288"/>
      <c r="L711" s="289"/>
      <c r="M711" s="287"/>
      <c r="N711" s="286"/>
      <c r="O711" s="286"/>
      <c r="P711" s="291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</row>
    <row r="712" ht="13.5" customHeight="1">
      <c r="A712" s="286"/>
      <c r="B712" s="286"/>
      <c r="C712" s="286"/>
      <c r="D712" s="286"/>
      <c r="E712" s="286"/>
      <c r="F712" s="287"/>
      <c r="G712" s="286"/>
      <c r="H712" s="287"/>
      <c r="I712" s="288"/>
      <c r="J712" s="289"/>
      <c r="K712" s="288"/>
      <c r="L712" s="289"/>
      <c r="M712" s="287"/>
      <c r="N712" s="286"/>
      <c r="O712" s="286"/>
      <c r="P712" s="291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</row>
    <row r="713" ht="13.5" customHeight="1">
      <c r="A713" s="286"/>
      <c r="B713" s="286"/>
      <c r="C713" s="286"/>
      <c r="D713" s="286"/>
      <c r="E713" s="286"/>
      <c r="F713" s="287"/>
      <c r="G713" s="286"/>
      <c r="H713" s="287"/>
      <c r="I713" s="288"/>
      <c r="J713" s="289"/>
      <c r="K713" s="288"/>
      <c r="L713" s="289"/>
      <c r="M713" s="287"/>
      <c r="N713" s="286"/>
      <c r="O713" s="286"/>
      <c r="P713" s="291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</row>
    <row r="714" ht="13.5" customHeight="1">
      <c r="A714" s="286"/>
      <c r="B714" s="286"/>
      <c r="C714" s="286"/>
      <c r="D714" s="286"/>
      <c r="E714" s="286"/>
      <c r="F714" s="287"/>
      <c r="G714" s="286"/>
      <c r="H714" s="287"/>
      <c r="I714" s="288"/>
      <c r="J714" s="289"/>
      <c r="K714" s="288"/>
      <c r="L714" s="289"/>
      <c r="M714" s="287"/>
      <c r="N714" s="286"/>
      <c r="O714" s="286"/>
      <c r="P714" s="291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</row>
    <row r="715" ht="13.5" customHeight="1">
      <c r="A715" s="286"/>
      <c r="B715" s="286"/>
      <c r="C715" s="286"/>
      <c r="D715" s="286"/>
      <c r="E715" s="286"/>
      <c r="F715" s="287"/>
      <c r="G715" s="286"/>
      <c r="H715" s="287"/>
      <c r="I715" s="288"/>
      <c r="J715" s="289"/>
      <c r="K715" s="288"/>
      <c r="L715" s="289"/>
      <c r="M715" s="287"/>
      <c r="N715" s="286"/>
      <c r="O715" s="286"/>
      <c r="P715" s="291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</row>
    <row r="716" ht="13.5" customHeight="1">
      <c r="A716" s="286"/>
      <c r="B716" s="286"/>
      <c r="C716" s="286"/>
      <c r="D716" s="286"/>
      <c r="E716" s="286"/>
      <c r="F716" s="287"/>
      <c r="G716" s="286"/>
      <c r="H716" s="287"/>
      <c r="I716" s="288"/>
      <c r="J716" s="289"/>
      <c r="K716" s="288"/>
      <c r="L716" s="289"/>
      <c r="M716" s="287"/>
      <c r="N716" s="286"/>
      <c r="O716" s="286"/>
      <c r="P716" s="291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</row>
    <row r="717" ht="13.5" customHeight="1">
      <c r="A717" s="286"/>
      <c r="B717" s="286"/>
      <c r="C717" s="286"/>
      <c r="D717" s="286"/>
      <c r="E717" s="286"/>
      <c r="F717" s="287"/>
      <c r="G717" s="286"/>
      <c r="H717" s="287"/>
      <c r="I717" s="288"/>
      <c r="J717" s="289"/>
      <c r="K717" s="288"/>
      <c r="L717" s="289"/>
      <c r="M717" s="287"/>
      <c r="N717" s="286"/>
      <c r="O717" s="286"/>
      <c r="P717" s="291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</row>
    <row r="718" ht="13.5" customHeight="1">
      <c r="A718" s="286"/>
      <c r="B718" s="286"/>
      <c r="C718" s="286"/>
      <c r="D718" s="286"/>
      <c r="E718" s="286"/>
      <c r="F718" s="287"/>
      <c r="G718" s="286"/>
      <c r="H718" s="287"/>
      <c r="I718" s="288"/>
      <c r="J718" s="289"/>
      <c r="K718" s="288"/>
      <c r="L718" s="289"/>
      <c r="M718" s="287"/>
      <c r="N718" s="286"/>
      <c r="O718" s="286"/>
      <c r="P718" s="291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</row>
    <row r="719" ht="13.5" customHeight="1">
      <c r="A719" s="286"/>
      <c r="B719" s="286"/>
      <c r="C719" s="286"/>
      <c r="D719" s="286"/>
      <c r="E719" s="286"/>
      <c r="F719" s="287"/>
      <c r="G719" s="286"/>
      <c r="H719" s="287"/>
      <c r="I719" s="288"/>
      <c r="J719" s="289"/>
      <c r="K719" s="288"/>
      <c r="L719" s="289"/>
      <c r="M719" s="287"/>
      <c r="N719" s="286"/>
      <c r="O719" s="286"/>
      <c r="P719" s="291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</row>
    <row r="720" ht="13.5" customHeight="1">
      <c r="A720" s="286"/>
      <c r="B720" s="286"/>
      <c r="C720" s="286"/>
      <c r="D720" s="286"/>
      <c r="E720" s="286"/>
      <c r="F720" s="287"/>
      <c r="G720" s="286"/>
      <c r="H720" s="287"/>
      <c r="I720" s="288"/>
      <c r="J720" s="289"/>
      <c r="K720" s="288"/>
      <c r="L720" s="289"/>
      <c r="M720" s="287"/>
      <c r="N720" s="286"/>
      <c r="O720" s="286"/>
      <c r="P720" s="291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</row>
    <row r="721" ht="13.5" customHeight="1">
      <c r="A721" s="286"/>
      <c r="B721" s="286"/>
      <c r="C721" s="286"/>
      <c r="D721" s="286"/>
      <c r="E721" s="286"/>
      <c r="F721" s="287"/>
      <c r="G721" s="286"/>
      <c r="H721" s="287"/>
      <c r="I721" s="288"/>
      <c r="J721" s="289"/>
      <c r="K721" s="288"/>
      <c r="L721" s="289"/>
      <c r="M721" s="287"/>
      <c r="N721" s="286"/>
      <c r="O721" s="286"/>
      <c r="P721" s="291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</row>
    <row r="722" ht="13.5" customHeight="1">
      <c r="A722" s="286"/>
      <c r="B722" s="286"/>
      <c r="C722" s="286"/>
      <c r="D722" s="286"/>
      <c r="E722" s="286"/>
      <c r="F722" s="287"/>
      <c r="G722" s="286"/>
      <c r="H722" s="287"/>
      <c r="I722" s="288"/>
      <c r="J722" s="289"/>
      <c r="K722" s="288"/>
      <c r="L722" s="289"/>
      <c r="M722" s="287"/>
      <c r="N722" s="286"/>
      <c r="O722" s="286"/>
      <c r="P722" s="291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</row>
    <row r="723" ht="13.5" customHeight="1">
      <c r="A723" s="286"/>
      <c r="B723" s="286"/>
      <c r="C723" s="286"/>
      <c r="D723" s="286"/>
      <c r="E723" s="286"/>
      <c r="F723" s="287"/>
      <c r="G723" s="286"/>
      <c r="H723" s="287"/>
      <c r="I723" s="288"/>
      <c r="J723" s="289"/>
      <c r="K723" s="288"/>
      <c r="L723" s="289"/>
      <c r="M723" s="287"/>
      <c r="N723" s="286"/>
      <c r="O723" s="286"/>
      <c r="P723" s="291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</row>
    <row r="724" ht="13.5" customHeight="1">
      <c r="A724" s="286"/>
      <c r="B724" s="286"/>
      <c r="C724" s="286"/>
      <c r="D724" s="286"/>
      <c r="E724" s="286"/>
      <c r="F724" s="287"/>
      <c r="G724" s="286"/>
      <c r="H724" s="287"/>
      <c r="I724" s="288"/>
      <c r="J724" s="289"/>
      <c r="K724" s="288"/>
      <c r="L724" s="289"/>
      <c r="M724" s="287"/>
      <c r="N724" s="286"/>
      <c r="O724" s="286"/>
      <c r="P724" s="291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</row>
    <row r="725" ht="13.5" customHeight="1">
      <c r="A725" s="286"/>
      <c r="B725" s="286"/>
      <c r="C725" s="286"/>
      <c r="D725" s="286"/>
      <c r="E725" s="286"/>
      <c r="F725" s="287"/>
      <c r="G725" s="286"/>
      <c r="H725" s="287"/>
      <c r="I725" s="288"/>
      <c r="J725" s="289"/>
      <c r="K725" s="288"/>
      <c r="L725" s="289"/>
      <c r="M725" s="287"/>
      <c r="N725" s="286"/>
      <c r="O725" s="286"/>
      <c r="P725" s="291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</row>
    <row r="726" ht="13.5" customHeight="1">
      <c r="A726" s="286"/>
      <c r="B726" s="286"/>
      <c r="C726" s="286"/>
      <c r="D726" s="286"/>
      <c r="E726" s="286"/>
      <c r="F726" s="287"/>
      <c r="G726" s="286"/>
      <c r="H726" s="287"/>
      <c r="I726" s="288"/>
      <c r="J726" s="289"/>
      <c r="K726" s="288"/>
      <c r="L726" s="289"/>
      <c r="M726" s="287"/>
      <c r="N726" s="286"/>
      <c r="O726" s="286"/>
      <c r="P726" s="291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</row>
    <row r="727" ht="13.5" customHeight="1">
      <c r="A727" s="286"/>
      <c r="B727" s="286"/>
      <c r="C727" s="286"/>
      <c r="D727" s="286"/>
      <c r="E727" s="286"/>
      <c r="F727" s="287"/>
      <c r="G727" s="286"/>
      <c r="H727" s="287"/>
      <c r="I727" s="288"/>
      <c r="J727" s="289"/>
      <c r="K727" s="288"/>
      <c r="L727" s="289"/>
      <c r="M727" s="287"/>
      <c r="N727" s="286"/>
      <c r="O727" s="286"/>
      <c r="P727" s="291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</row>
    <row r="728" ht="13.5" customHeight="1">
      <c r="A728" s="286"/>
      <c r="B728" s="286"/>
      <c r="C728" s="286"/>
      <c r="D728" s="286"/>
      <c r="E728" s="286"/>
      <c r="F728" s="287"/>
      <c r="G728" s="286"/>
      <c r="H728" s="287"/>
      <c r="I728" s="288"/>
      <c r="J728" s="289"/>
      <c r="K728" s="288"/>
      <c r="L728" s="289"/>
      <c r="M728" s="287"/>
      <c r="N728" s="286"/>
      <c r="O728" s="286"/>
      <c r="P728" s="291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</row>
    <row r="729" ht="13.5" customHeight="1">
      <c r="A729" s="286"/>
      <c r="B729" s="286"/>
      <c r="C729" s="286"/>
      <c r="D729" s="286"/>
      <c r="E729" s="286"/>
      <c r="F729" s="287"/>
      <c r="G729" s="286"/>
      <c r="H729" s="287"/>
      <c r="I729" s="288"/>
      <c r="J729" s="289"/>
      <c r="K729" s="288"/>
      <c r="L729" s="289"/>
      <c r="M729" s="287"/>
      <c r="N729" s="286"/>
      <c r="O729" s="286"/>
      <c r="P729" s="291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</row>
    <row r="730" ht="13.5" customHeight="1">
      <c r="A730" s="286"/>
      <c r="B730" s="286"/>
      <c r="C730" s="286"/>
      <c r="D730" s="286"/>
      <c r="E730" s="286"/>
      <c r="F730" s="287"/>
      <c r="G730" s="286"/>
      <c r="H730" s="287"/>
      <c r="I730" s="288"/>
      <c r="J730" s="289"/>
      <c r="K730" s="288"/>
      <c r="L730" s="289"/>
      <c r="M730" s="287"/>
      <c r="N730" s="286"/>
      <c r="O730" s="286"/>
      <c r="P730" s="291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</row>
    <row r="731" ht="13.5" customHeight="1">
      <c r="A731" s="286"/>
      <c r="B731" s="286"/>
      <c r="C731" s="286"/>
      <c r="D731" s="286"/>
      <c r="E731" s="286"/>
      <c r="F731" s="287"/>
      <c r="G731" s="286"/>
      <c r="H731" s="287"/>
      <c r="I731" s="288"/>
      <c r="J731" s="289"/>
      <c r="K731" s="288"/>
      <c r="L731" s="289"/>
      <c r="M731" s="287"/>
      <c r="N731" s="286"/>
      <c r="O731" s="286"/>
      <c r="P731" s="291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</row>
    <row r="732" ht="13.5" customHeight="1">
      <c r="A732" s="286"/>
      <c r="B732" s="286"/>
      <c r="C732" s="286"/>
      <c r="D732" s="286"/>
      <c r="E732" s="286"/>
      <c r="F732" s="287"/>
      <c r="G732" s="286"/>
      <c r="H732" s="287"/>
      <c r="I732" s="288"/>
      <c r="J732" s="289"/>
      <c r="K732" s="288"/>
      <c r="L732" s="289"/>
      <c r="M732" s="287"/>
      <c r="N732" s="286"/>
      <c r="O732" s="286"/>
      <c r="P732" s="291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</row>
    <row r="733" ht="13.5" customHeight="1">
      <c r="A733" s="286"/>
      <c r="B733" s="286"/>
      <c r="C733" s="286"/>
      <c r="D733" s="286"/>
      <c r="E733" s="286"/>
      <c r="F733" s="287"/>
      <c r="G733" s="286"/>
      <c r="H733" s="287"/>
      <c r="I733" s="288"/>
      <c r="J733" s="289"/>
      <c r="K733" s="288"/>
      <c r="L733" s="289"/>
      <c r="M733" s="287"/>
      <c r="N733" s="286"/>
      <c r="O733" s="286"/>
      <c r="P733" s="291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</row>
    <row r="734" ht="13.5" customHeight="1">
      <c r="A734" s="286"/>
      <c r="B734" s="286"/>
      <c r="C734" s="286"/>
      <c r="D734" s="286"/>
      <c r="E734" s="286"/>
      <c r="F734" s="287"/>
      <c r="G734" s="286"/>
      <c r="H734" s="287"/>
      <c r="I734" s="288"/>
      <c r="J734" s="289"/>
      <c r="K734" s="288"/>
      <c r="L734" s="289"/>
      <c r="M734" s="287"/>
      <c r="N734" s="286"/>
      <c r="O734" s="286"/>
      <c r="P734" s="291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</row>
    <row r="735" ht="13.5" customHeight="1">
      <c r="A735" s="286"/>
      <c r="B735" s="286"/>
      <c r="C735" s="286"/>
      <c r="D735" s="286"/>
      <c r="E735" s="286"/>
      <c r="F735" s="287"/>
      <c r="G735" s="286"/>
      <c r="H735" s="287"/>
      <c r="I735" s="288"/>
      <c r="J735" s="289"/>
      <c r="K735" s="288"/>
      <c r="L735" s="289"/>
      <c r="M735" s="287"/>
      <c r="N735" s="286"/>
      <c r="O735" s="286"/>
      <c r="P735" s="291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</row>
    <row r="736" ht="13.5" customHeight="1">
      <c r="A736" s="286"/>
      <c r="B736" s="286"/>
      <c r="C736" s="286"/>
      <c r="D736" s="286"/>
      <c r="E736" s="286"/>
      <c r="F736" s="287"/>
      <c r="G736" s="286"/>
      <c r="H736" s="287"/>
      <c r="I736" s="288"/>
      <c r="J736" s="289"/>
      <c r="K736" s="288"/>
      <c r="L736" s="289"/>
      <c r="M736" s="287"/>
      <c r="N736" s="286"/>
      <c r="O736" s="286"/>
      <c r="P736" s="291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</row>
    <row r="737" ht="13.5" customHeight="1">
      <c r="A737" s="286"/>
      <c r="B737" s="286"/>
      <c r="C737" s="286"/>
      <c r="D737" s="286"/>
      <c r="E737" s="286"/>
      <c r="F737" s="287"/>
      <c r="G737" s="286"/>
      <c r="H737" s="287"/>
      <c r="I737" s="288"/>
      <c r="J737" s="289"/>
      <c r="K737" s="288"/>
      <c r="L737" s="289"/>
      <c r="M737" s="287"/>
      <c r="N737" s="286"/>
      <c r="O737" s="286"/>
      <c r="P737" s="291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</row>
    <row r="738" ht="13.5" customHeight="1">
      <c r="A738" s="286"/>
      <c r="B738" s="286"/>
      <c r="C738" s="286"/>
      <c r="D738" s="286"/>
      <c r="E738" s="286"/>
      <c r="F738" s="287"/>
      <c r="G738" s="286"/>
      <c r="H738" s="287"/>
      <c r="I738" s="288"/>
      <c r="J738" s="289"/>
      <c r="K738" s="288"/>
      <c r="L738" s="289"/>
      <c r="M738" s="287"/>
      <c r="N738" s="286"/>
      <c r="O738" s="286"/>
      <c r="P738" s="291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</row>
    <row r="739" ht="13.5" customHeight="1">
      <c r="A739" s="286"/>
      <c r="B739" s="286"/>
      <c r="C739" s="286"/>
      <c r="D739" s="286"/>
      <c r="E739" s="286"/>
      <c r="F739" s="287"/>
      <c r="G739" s="286"/>
      <c r="H739" s="287"/>
      <c r="I739" s="288"/>
      <c r="J739" s="289"/>
      <c r="K739" s="288"/>
      <c r="L739" s="289"/>
      <c r="M739" s="287"/>
      <c r="N739" s="286"/>
      <c r="O739" s="286"/>
      <c r="P739" s="291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</row>
    <row r="740" ht="13.5" customHeight="1">
      <c r="A740" s="286"/>
      <c r="B740" s="286"/>
      <c r="C740" s="286"/>
      <c r="D740" s="286"/>
      <c r="E740" s="286"/>
      <c r="F740" s="287"/>
      <c r="G740" s="286"/>
      <c r="H740" s="287"/>
      <c r="I740" s="288"/>
      <c r="J740" s="289"/>
      <c r="K740" s="288"/>
      <c r="L740" s="289"/>
      <c r="M740" s="287"/>
      <c r="N740" s="286"/>
      <c r="O740" s="286"/>
      <c r="P740" s="291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</row>
    <row r="741" ht="13.5" customHeight="1">
      <c r="A741" s="286"/>
      <c r="B741" s="286"/>
      <c r="C741" s="286"/>
      <c r="D741" s="286"/>
      <c r="E741" s="286"/>
      <c r="F741" s="287"/>
      <c r="G741" s="286"/>
      <c r="H741" s="287"/>
      <c r="I741" s="288"/>
      <c r="J741" s="289"/>
      <c r="K741" s="288"/>
      <c r="L741" s="289"/>
      <c r="M741" s="287"/>
      <c r="N741" s="286"/>
      <c r="O741" s="286"/>
      <c r="P741" s="291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</row>
    <row r="742" ht="13.5" customHeight="1">
      <c r="A742" s="286"/>
      <c r="B742" s="286"/>
      <c r="C742" s="286"/>
      <c r="D742" s="286"/>
      <c r="E742" s="286"/>
      <c r="F742" s="287"/>
      <c r="G742" s="286"/>
      <c r="H742" s="287"/>
      <c r="I742" s="288"/>
      <c r="J742" s="289"/>
      <c r="K742" s="288"/>
      <c r="L742" s="289"/>
      <c r="M742" s="287"/>
      <c r="N742" s="286"/>
      <c r="O742" s="286"/>
      <c r="P742" s="291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</row>
    <row r="743" ht="13.5" customHeight="1">
      <c r="A743" s="286"/>
      <c r="B743" s="286"/>
      <c r="C743" s="286"/>
      <c r="D743" s="286"/>
      <c r="E743" s="286"/>
      <c r="F743" s="287"/>
      <c r="G743" s="286"/>
      <c r="H743" s="287"/>
      <c r="I743" s="288"/>
      <c r="J743" s="289"/>
      <c r="K743" s="288"/>
      <c r="L743" s="289"/>
      <c r="M743" s="287"/>
      <c r="N743" s="286"/>
      <c r="O743" s="286"/>
      <c r="P743" s="291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</row>
    <row r="744" ht="13.5" customHeight="1">
      <c r="A744" s="286"/>
      <c r="B744" s="286"/>
      <c r="C744" s="286"/>
      <c r="D744" s="286"/>
      <c r="E744" s="286"/>
      <c r="F744" s="287"/>
      <c r="G744" s="286"/>
      <c r="H744" s="287"/>
      <c r="I744" s="288"/>
      <c r="J744" s="289"/>
      <c r="K744" s="288"/>
      <c r="L744" s="289"/>
      <c r="M744" s="287"/>
      <c r="N744" s="286"/>
      <c r="O744" s="286"/>
      <c r="P744" s="291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</row>
    <row r="745" ht="13.5" customHeight="1">
      <c r="A745" s="286"/>
      <c r="B745" s="286"/>
      <c r="C745" s="286"/>
      <c r="D745" s="286"/>
      <c r="E745" s="286"/>
      <c r="F745" s="287"/>
      <c r="G745" s="286"/>
      <c r="H745" s="287"/>
      <c r="I745" s="288"/>
      <c r="J745" s="289"/>
      <c r="K745" s="288"/>
      <c r="L745" s="289"/>
      <c r="M745" s="287"/>
      <c r="N745" s="286"/>
      <c r="O745" s="286"/>
      <c r="P745" s="291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</row>
    <row r="746" ht="13.5" customHeight="1">
      <c r="A746" s="286"/>
      <c r="B746" s="286"/>
      <c r="C746" s="286"/>
      <c r="D746" s="286"/>
      <c r="E746" s="286"/>
      <c r="F746" s="287"/>
      <c r="G746" s="286"/>
      <c r="H746" s="287"/>
      <c r="I746" s="288"/>
      <c r="J746" s="289"/>
      <c r="K746" s="288"/>
      <c r="L746" s="289"/>
      <c r="M746" s="287"/>
      <c r="N746" s="286"/>
      <c r="O746" s="286"/>
      <c r="P746" s="291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</row>
    <row r="747" ht="13.5" customHeight="1">
      <c r="A747" s="286"/>
      <c r="B747" s="286"/>
      <c r="C747" s="286"/>
      <c r="D747" s="286"/>
      <c r="E747" s="286"/>
      <c r="F747" s="287"/>
      <c r="G747" s="286"/>
      <c r="H747" s="287"/>
      <c r="I747" s="288"/>
      <c r="J747" s="289"/>
      <c r="K747" s="288"/>
      <c r="L747" s="289"/>
      <c r="M747" s="287"/>
      <c r="N747" s="286"/>
      <c r="O747" s="286"/>
      <c r="P747" s="291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</row>
    <row r="748" ht="13.5" customHeight="1">
      <c r="A748" s="286"/>
      <c r="B748" s="286"/>
      <c r="C748" s="286"/>
      <c r="D748" s="286"/>
      <c r="E748" s="286"/>
      <c r="F748" s="287"/>
      <c r="G748" s="286"/>
      <c r="H748" s="287"/>
      <c r="I748" s="288"/>
      <c r="J748" s="289"/>
      <c r="K748" s="288"/>
      <c r="L748" s="289"/>
      <c r="M748" s="287"/>
      <c r="N748" s="286"/>
      <c r="O748" s="286"/>
      <c r="P748" s="291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</row>
    <row r="749" ht="13.5" customHeight="1">
      <c r="A749" s="286"/>
      <c r="B749" s="286"/>
      <c r="C749" s="286"/>
      <c r="D749" s="286"/>
      <c r="E749" s="286"/>
      <c r="F749" s="287"/>
      <c r="G749" s="286"/>
      <c r="H749" s="287"/>
      <c r="I749" s="288"/>
      <c r="J749" s="289"/>
      <c r="K749" s="288"/>
      <c r="L749" s="289"/>
      <c r="M749" s="287"/>
      <c r="N749" s="286"/>
      <c r="O749" s="286"/>
      <c r="P749" s="291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</row>
    <row r="750" ht="13.5" customHeight="1">
      <c r="A750" s="286"/>
      <c r="B750" s="286"/>
      <c r="C750" s="286"/>
      <c r="D750" s="286"/>
      <c r="E750" s="286"/>
      <c r="F750" s="287"/>
      <c r="G750" s="286"/>
      <c r="H750" s="287"/>
      <c r="I750" s="288"/>
      <c r="J750" s="289"/>
      <c r="K750" s="288"/>
      <c r="L750" s="289"/>
      <c r="M750" s="287"/>
      <c r="N750" s="286"/>
      <c r="O750" s="286"/>
      <c r="P750" s="291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</row>
    <row r="751" ht="13.5" customHeight="1">
      <c r="A751" s="286"/>
      <c r="B751" s="286"/>
      <c r="C751" s="286"/>
      <c r="D751" s="286"/>
      <c r="E751" s="286"/>
      <c r="F751" s="287"/>
      <c r="G751" s="286"/>
      <c r="H751" s="287"/>
      <c r="I751" s="288"/>
      <c r="J751" s="289"/>
      <c r="K751" s="288"/>
      <c r="L751" s="289"/>
      <c r="M751" s="287"/>
      <c r="N751" s="286"/>
      <c r="O751" s="286"/>
      <c r="P751" s="291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</row>
    <row r="752" ht="13.5" customHeight="1">
      <c r="A752" s="286"/>
      <c r="B752" s="286"/>
      <c r="C752" s="286"/>
      <c r="D752" s="286"/>
      <c r="E752" s="286"/>
      <c r="F752" s="287"/>
      <c r="G752" s="286"/>
      <c r="H752" s="287"/>
      <c r="I752" s="288"/>
      <c r="J752" s="289"/>
      <c r="K752" s="288"/>
      <c r="L752" s="289"/>
      <c r="M752" s="287"/>
      <c r="N752" s="286"/>
      <c r="O752" s="286"/>
      <c r="P752" s="291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</row>
    <row r="753" ht="13.5" customHeight="1">
      <c r="A753" s="286"/>
      <c r="B753" s="286"/>
      <c r="C753" s="286"/>
      <c r="D753" s="286"/>
      <c r="E753" s="286"/>
      <c r="F753" s="287"/>
      <c r="G753" s="286"/>
      <c r="H753" s="287"/>
      <c r="I753" s="288"/>
      <c r="J753" s="289"/>
      <c r="K753" s="288"/>
      <c r="L753" s="289"/>
      <c r="M753" s="287"/>
      <c r="N753" s="286"/>
      <c r="O753" s="286"/>
      <c r="P753" s="291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</row>
    <row r="754" ht="13.5" customHeight="1">
      <c r="A754" s="286"/>
      <c r="B754" s="286"/>
      <c r="C754" s="286"/>
      <c r="D754" s="286"/>
      <c r="E754" s="286"/>
      <c r="F754" s="287"/>
      <c r="G754" s="286"/>
      <c r="H754" s="287"/>
      <c r="I754" s="288"/>
      <c r="J754" s="289"/>
      <c r="K754" s="288"/>
      <c r="L754" s="289"/>
      <c r="M754" s="287"/>
      <c r="N754" s="286"/>
      <c r="O754" s="286"/>
      <c r="P754" s="291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</row>
    <row r="755" ht="13.5" customHeight="1">
      <c r="A755" s="286"/>
      <c r="B755" s="286"/>
      <c r="C755" s="286"/>
      <c r="D755" s="286"/>
      <c r="E755" s="286"/>
      <c r="F755" s="287"/>
      <c r="G755" s="286"/>
      <c r="H755" s="287"/>
      <c r="I755" s="288"/>
      <c r="J755" s="289"/>
      <c r="K755" s="288"/>
      <c r="L755" s="289"/>
      <c r="M755" s="287"/>
      <c r="N755" s="286"/>
      <c r="O755" s="286"/>
      <c r="P755" s="291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</row>
    <row r="756" ht="13.5" customHeight="1">
      <c r="A756" s="286"/>
      <c r="B756" s="286"/>
      <c r="C756" s="286"/>
      <c r="D756" s="286"/>
      <c r="E756" s="286"/>
      <c r="F756" s="287"/>
      <c r="G756" s="286"/>
      <c r="H756" s="287"/>
      <c r="I756" s="288"/>
      <c r="J756" s="289"/>
      <c r="K756" s="288"/>
      <c r="L756" s="289"/>
      <c r="M756" s="287"/>
      <c r="N756" s="286"/>
      <c r="O756" s="286"/>
      <c r="P756" s="291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</row>
    <row r="757" ht="13.5" customHeight="1">
      <c r="A757" s="286"/>
      <c r="B757" s="286"/>
      <c r="C757" s="286"/>
      <c r="D757" s="286"/>
      <c r="E757" s="286"/>
      <c r="F757" s="287"/>
      <c r="G757" s="286"/>
      <c r="H757" s="287"/>
      <c r="I757" s="288"/>
      <c r="J757" s="289"/>
      <c r="K757" s="288"/>
      <c r="L757" s="289"/>
      <c r="M757" s="287"/>
      <c r="N757" s="286"/>
      <c r="O757" s="286"/>
      <c r="P757" s="291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</row>
    <row r="758" ht="13.5" customHeight="1">
      <c r="A758" s="286"/>
      <c r="B758" s="286"/>
      <c r="C758" s="286"/>
      <c r="D758" s="286"/>
      <c r="E758" s="286"/>
      <c r="F758" s="287"/>
      <c r="G758" s="286"/>
      <c r="H758" s="287"/>
      <c r="I758" s="288"/>
      <c r="J758" s="289"/>
      <c r="K758" s="288"/>
      <c r="L758" s="289"/>
      <c r="M758" s="287"/>
      <c r="N758" s="286"/>
      <c r="O758" s="286"/>
      <c r="P758" s="291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</row>
    <row r="759" ht="13.5" customHeight="1">
      <c r="A759" s="286"/>
      <c r="B759" s="286"/>
      <c r="C759" s="286"/>
      <c r="D759" s="286"/>
      <c r="E759" s="286"/>
      <c r="F759" s="287"/>
      <c r="G759" s="286"/>
      <c r="H759" s="287"/>
      <c r="I759" s="288"/>
      <c r="J759" s="289"/>
      <c r="K759" s="288"/>
      <c r="L759" s="289"/>
      <c r="M759" s="287"/>
      <c r="N759" s="286"/>
      <c r="O759" s="286"/>
      <c r="P759" s="291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</row>
    <row r="760" ht="13.5" customHeight="1">
      <c r="A760" s="286"/>
      <c r="B760" s="286"/>
      <c r="C760" s="286"/>
      <c r="D760" s="286"/>
      <c r="E760" s="286"/>
      <c r="F760" s="287"/>
      <c r="G760" s="286"/>
      <c r="H760" s="287"/>
      <c r="I760" s="288"/>
      <c r="J760" s="289"/>
      <c r="K760" s="288"/>
      <c r="L760" s="289"/>
      <c r="M760" s="287"/>
      <c r="N760" s="286"/>
      <c r="O760" s="286"/>
      <c r="P760" s="291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</row>
    <row r="761" ht="13.5" customHeight="1">
      <c r="A761" s="286"/>
      <c r="B761" s="286"/>
      <c r="C761" s="286"/>
      <c r="D761" s="286"/>
      <c r="E761" s="286"/>
      <c r="F761" s="287"/>
      <c r="G761" s="286"/>
      <c r="H761" s="287"/>
      <c r="I761" s="288"/>
      <c r="J761" s="289"/>
      <c r="K761" s="288"/>
      <c r="L761" s="289"/>
      <c r="M761" s="287"/>
      <c r="N761" s="286"/>
      <c r="O761" s="286"/>
      <c r="P761" s="291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</row>
    <row r="762" ht="13.5" customHeight="1">
      <c r="A762" s="286"/>
      <c r="B762" s="286"/>
      <c r="C762" s="286"/>
      <c r="D762" s="286"/>
      <c r="E762" s="286"/>
      <c r="F762" s="287"/>
      <c r="G762" s="286"/>
      <c r="H762" s="287"/>
      <c r="I762" s="288"/>
      <c r="J762" s="289"/>
      <c r="K762" s="288"/>
      <c r="L762" s="289"/>
      <c r="M762" s="287"/>
      <c r="N762" s="286"/>
      <c r="O762" s="286"/>
      <c r="P762" s="291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</row>
    <row r="763" ht="13.5" customHeight="1">
      <c r="A763" s="286"/>
      <c r="B763" s="286"/>
      <c r="C763" s="286"/>
      <c r="D763" s="286"/>
      <c r="E763" s="286"/>
      <c r="F763" s="287"/>
      <c r="G763" s="286"/>
      <c r="H763" s="287"/>
      <c r="I763" s="288"/>
      <c r="J763" s="289"/>
      <c r="K763" s="288"/>
      <c r="L763" s="289"/>
      <c r="M763" s="287"/>
      <c r="N763" s="286"/>
      <c r="O763" s="286"/>
      <c r="P763" s="291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</row>
    <row r="764" ht="13.5" customHeight="1">
      <c r="A764" s="286"/>
      <c r="B764" s="286"/>
      <c r="C764" s="286"/>
      <c r="D764" s="286"/>
      <c r="E764" s="286"/>
      <c r="F764" s="287"/>
      <c r="G764" s="286"/>
      <c r="H764" s="287"/>
      <c r="I764" s="288"/>
      <c r="J764" s="289"/>
      <c r="K764" s="288"/>
      <c r="L764" s="289"/>
      <c r="M764" s="287"/>
      <c r="N764" s="286"/>
      <c r="O764" s="286"/>
      <c r="P764" s="291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</row>
    <row r="765" ht="13.5" customHeight="1">
      <c r="A765" s="286"/>
      <c r="B765" s="286"/>
      <c r="C765" s="286"/>
      <c r="D765" s="286"/>
      <c r="E765" s="286"/>
      <c r="F765" s="287"/>
      <c r="G765" s="286"/>
      <c r="H765" s="287"/>
      <c r="I765" s="288"/>
      <c r="J765" s="289"/>
      <c r="K765" s="288"/>
      <c r="L765" s="289"/>
      <c r="M765" s="287"/>
      <c r="N765" s="286"/>
      <c r="O765" s="286"/>
      <c r="P765" s="291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</row>
    <row r="766" ht="13.5" customHeight="1">
      <c r="A766" s="286"/>
      <c r="B766" s="286"/>
      <c r="C766" s="286"/>
      <c r="D766" s="286"/>
      <c r="E766" s="286"/>
      <c r="F766" s="287"/>
      <c r="G766" s="286"/>
      <c r="H766" s="287"/>
      <c r="I766" s="288"/>
      <c r="J766" s="289"/>
      <c r="K766" s="288"/>
      <c r="L766" s="289"/>
      <c r="M766" s="287"/>
      <c r="N766" s="286"/>
      <c r="O766" s="286"/>
      <c r="P766" s="291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</row>
    <row r="767" ht="13.5" customHeight="1">
      <c r="A767" s="286"/>
      <c r="B767" s="286"/>
      <c r="C767" s="286"/>
      <c r="D767" s="286"/>
      <c r="E767" s="286"/>
      <c r="F767" s="287"/>
      <c r="G767" s="286"/>
      <c r="H767" s="287"/>
      <c r="I767" s="288"/>
      <c r="J767" s="289"/>
      <c r="K767" s="288"/>
      <c r="L767" s="289"/>
      <c r="M767" s="287"/>
      <c r="N767" s="286"/>
      <c r="O767" s="286"/>
      <c r="P767" s="291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</row>
    <row r="768" ht="13.5" customHeight="1">
      <c r="A768" s="286"/>
      <c r="B768" s="286"/>
      <c r="C768" s="286"/>
      <c r="D768" s="286"/>
      <c r="E768" s="286"/>
      <c r="F768" s="287"/>
      <c r="G768" s="286"/>
      <c r="H768" s="287"/>
      <c r="I768" s="288"/>
      <c r="J768" s="289"/>
      <c r="K768" s="288"/>
      <c r="L768" s="289"/>
      <c r="M768" s="287"/>
      <c r="N768" s="286"/>
      <c r="O768" s="286"/>
      <c r="P768" s="291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</row>
    <row r="769" ht="13.5" customHeight="1">
      <c r="A769" s="286"/>
      <c r="B769" s="286"/>
      <c r="C769" s="286"/>
      <c r="D769" s="286"/>
      <c r="E769" s="286"/>
      <c r="F769" s="287"/>
      <c r="G769" s="286"/>
      <c r="H769" s="287"/>
      <c r="I769" s="288"/>
      <c r="J769" s="289"/>
      <c r="K769" s="288"/>
      <c r="L769" s="289"/>
      <c r="M769" s="287"/>
      <c r="N769" s="286"/>
      <c r="O769" s="286"/>
      <c r="P769" s="291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</row>
    <row r="770" ht="13.5" customHeight="1">
      <c r="A770" s="286"/>
      <c r="B770" s="286"/>
      <c r="C770" s="286"/>
      <c r="D770" s="286"/>
      <c r="E770" s="286"/>
      <c r="F770" s="287"/>
      <c r="G770" s="286"/>
      <c r="H770" s="287"/>
      <c r="I770" s="288"/>
      <c r="J770" s="289"/>
      <c r="K770" s="288"/>
      <c r="L770" s="289"/>
      <c r="M770" s="287"/>
      <c r="N770" s="286"/>
      <c r="O770" s="286"/>
      <c r="P770" s="291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</row>
    <row r="771" ht="13.5" customHeight="1">
      <c r="A771" s="286"/>
      <c r="B771" s="286"/>
      <c r="C771" s="286"/>
      <c r="D771" s="286"/>
      <c r="E771" s="286"/>
      <c r="F771" s="287"/>
      <c r="G771" s="286"/>
      <c r="H771" s="287"/>
      <c r="I771" s="288"/>
      <c r="J771" s="289"/>
      <c r="K771" s="288"/>
      <c r="L771" s="289"/>
      <c r="M771" s="287"/>
      <c r="N771" s="286"/>
      <c r="O771" s="286"/>
      <c r="P771" s="291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</row>
    <row r="772" ht="13.5" customHeight="1">
      <c r="A772" s="286"/>
      <c r="B772" s="286"/>
      <c r="C772" s="286"/>
      <c r="D772" s="286"/>
      <c r="E772" s="286"/>
      <c r="F772" s="287"/>
      <c r="G772" s="286"/>
      <c r="H772" s="287"/>
      <c r="I772" s="288"/>
      <c r="J772" s="289"/>
      <c r="K772" s="288"/>
      <c r="L772" s="289"/>
      <c r="M772" s="287"/>
      <c r="N772" s="286"/>
      <c r="O772" s="286"/>
      <c r="P772" s="291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</row>
    <row r="773" ht="13.5" customHeight="1">
      <c r="A773" s="286"/>
      <c r="B773" s="286"/>
      <c r="C773" s="286"/>
      <c r="D773" s="286"/>
      <c r="E773" s="286"/>
      <c r="F773" s="287"/>
      <c r="G773" s="286"/>
      <c r="H773" s="287"/>
      <c r="I773" s="288"/>
      <c r="J773" s="289"/>
      <c r="K773" s="288"/>
      <c r="L773" s="289"/>
      <c r="M773" s="287"/>
      <c r="N773" s="286"/>
      <c r="O773" s="286"/>
      <c r="P773" s="291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</row>
    <row r="774" ht="13.5" customHeight="1">
      <c r="A774" s="286"/>
      <c r="B774" s="286"/>
      <c r="C774" s="286"/>
      <c r="D774" s="286"/>
      <c r="E774" s="286"/>
      <c r="F774" s="287"/>
      <c r="G774" s="286"/>
      <c r="H774" s="287"/>
      <c r="I774" s="288"/>
      <c r="J774" s="289"/>
      <c r="K774" s="288"/>
      <c r="L774" s="289"/>
      <c r="M774" s="287"/>
      <c r="N774" s="286"/>
      <c r="O774" s="286"/>
      <c r="P774" s="291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</row>
    <row r="775" ht="13.5" customHeight="1">
      <c r="A775" s="286"/>
      <c r="B775" s="286"/>
      <c r="C775" s="286"/>
      <c r="D775" s="286"/>
      <c r="E775" s="286"/>
      <c r="F775" s="287"/>
      <c r="G775" s="286"/>
      <c r="H775" s="287"/>
      <c r="I775" s="288"/>
      <c r="J775" s="289"/>
      <c r="K775" s="288"/>
      <c r="L775" s="289"/>
      <c r="M775" s="287"/>
      <c r="N775" s="286"/>
      <c r="O775" s="286"/>
      <c r="P775" s="291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</row>
    <row r="776" ht="13.5" customHeight="1">
      <c r="A776" s="286"/>
      <c r="B776" s="286"/>
      <c r="C776" s="286"/>
      <c r="D776" s="286"/>
      <c r="E776" s="286"/>
      <c r="F776" s="287"/>
      <c r="G776" s="286"/>
      <c r="H776" s="287"/>
      <c r="I776" s="288"/>
      <c r="J776" s="289"/>
      <c r="K776" s="288"/>
      <c r="L776" s="289"/>
      <c r="M776" s="287"/>
      <c r="N776" s="286"/>
      <c r="O776" s="286"/>
      <c r="P776" s="291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</row>
    <row r="777" ht="13.5" customHeight="1">
      <c r="A777" s="286"/>
      <c r="B777" s="286"/>
      <c r="C777" s="286"/>
      <c r="D777" s="286"/>
      <c r="E777" s="286"/>
      <c r="F777" s="287"/>
      <c r="G777" s="286"/>
      <c r="H777" s="287"/>
      <c r="I777" s="288"/>
      <c r="J777" s="289"/>
      <c r="K777" s="288"/>
      <c r="L777" s="289"/>
      <c r="M777" s="287"/>
      <c r="N777" s="286"/>
      <c r="O777" s="286"/>
      <c r="P777" s="291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</row>
    <row r="778" ht="13.5" customHeight="1">
      <c r="A778" s="286"/>
      <c r="B778" s="286"/>
      <c r="C778" s="286"/>
      <c r="D778" s="286"/>
      <c r="E778" s="286"/>
      <c r="F778" s="287"/>
      <c r="G778" s="286"/>
      <c r="H778" s="287"/>
      <c r="I778" s="288"/>
      <c r="J778" s="289"/>
      <c r="K778" s="288"/>
      <c r="L778" s="289"/>
      <c r="M778" s="287"/>
      <c r="N778" s="286"/>
      <c r="O778" s="286"/>
      <c r="P778" s="291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</row>
    <row r="779" ht="13.5" customHeight="1">
      <c r="A779" s="286"/>
      <c r="B779" s="286"/>
      <c r="C779" s="286"/>
      <c r="D779" s="286"/>
      <c r="E779" s="286"/>
      <c r="F779" s="287"/>
      <c r="G779" s="286"/>
      <c r="H779" s="287"/>
      <c r="I779" s="288"/>
      <c r="J779" s="289"/>
      <c r="K779" s="288"/>
      <c r="L779" s="289"/>
      <c r="M779" s="287"/>
      <c r="N779" s="286"/>
      <c r="O779" s="286"/>
      <c r="P779" s="291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</row>
    <row r="780" ht="13.5" customHeight="1">
      <c r="A780" s="286"/>
      <c r="B780" s="286"/>
      <c r="C780" s="286"/>
      <c r="D780" s="286"/>
      <c r="E780" s="286"/>
      <c r="F780" s="287"/>
      <c r="G780" s="286"/>
      <c r="H780" s="287"/>
      <c r="I780" s="288"/>
      <c r="J780" s="289"/>
      <c r="K780" s="288"/>
      <c r="L780" s="289"/>
      <c r="M780" s="287"/>
      <c r="N780" s="286"/>
      <c r="O780" s="286"/>
      <c r="P780" s="291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</row>
    <row r="781" ht="13.5" customHeight="1">
      <c r="A781" s="286"/>
      <c r="B781" s="286"/>
      <c r="C781" s="286"/>
      <c r="D781" s="286"/>
      <c r="E781" s="286"/>
      <c r="F781" s="287"/>
      <c r="G781" s="286"/>
      <c r="H781" s="287"/>
      <c r="I781" s="288"/>
      <c r="J781" s="289"/>
      <c r="K781" s="288"/>
      <c r="L781" s="289"/>
      <c r="M781" s="287"/>
      <c r="N781" s="286"/>
      <c r="O781" s="286"/>
      <c r="P781" s="291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</row>
    <row r="782" ht="13.5" customHeight="1">
      <c r="A782" s="286"/>
      <c r="B782" s="286"/>
      <c r="C782" s="286"/>
      <c r="D782" s="286"/>
      <c r="E782" s="286"/>
      <c r="F782" s="287"/>
      <c r="G782" s="286"/>
      <c r="H782" s="287"/>
      <c r="I782" s="288"/>
      <c r="J782" s="289"/>
      <c r="K782" s="288"/>
      <c r="L782" s="289"/>
      <c r="M782" s="287"/>
      <c r="N782" s="286"/>
      <c r="O782" s="286"/>
      <c r="P782" s="291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</row>
    <row r="783" ht="13.5" customHeight="1">
      <c r="A783" s="286"/>
      <c r="B783" s="286"/>
      <c r="C783" s="286"/>
      <c r="D783" s="286"/>
      <c r="E783" s="286"/>
      <c r="F783" s="287"/>
      <c r="G783" s="286"/>
      <c r="H783" s="287"/>
      <c r="I783" s="288"/>
      <c r="J783" s="289"/>
      <c r="K783" s="288"/>
      <c r="L783" s="289"/>
      <c r="M783" s="287"/>
      <c r="N783" s="286"/>
      <c r="O783" s="286"/>
      <c r="P783" s="291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</row>
    <row r="784" ht="13.5" customHeight="1">
      <c r="A784" s="286"/>
      <c r="B784" s="286"/>
      <c r="C784" s="286"/>
      <c r="D784" s="286"/>
      <c r="E784" s="286"/>
      <c r="F784" s="287"/>
      <c r="G784" s="286"/>
      <c r="H784" s="287"/>
      <c r="I784" s="288"/>
      <c r="J784" s="289"/>
      <c r="K784" s="288"/>
      <c r="L784" s="289"/>
      <c r="M784" s="287"/>
      <c r="N784" s="286"/>
      <c r="O784" s="286"/>
      <c r="P784" s="291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</row>
    <row r="785" ht="13.5" customHeight="1">
      <c r="A785" s="286"/>
      <c r="B785" s="286"/>
      <c r="C785" s="286"/>
      <c r="D785" s="286"/>
      <c r="E785" s="286"/>
      <c r="F785" s="287"/>
      <c r="G785" s="286"/>
      <c r="H785" s="287"/>
      <c r="I785" s="288"/>
      <c r="J785" s="289"/>
      <c r="K785" s="288"/>
      <c r="L785" s="289"/>
      <c r="M785" s="287"/>
      <c r="N785" s="286"/>
      <c r="O785" s="286"/>
      <c r="P785" s="291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</row>
    <row r="786" ht="13.5" customHeight="1">
      <c r="A786" s="286"/>
      <c r="B786" s="286"/>
      <c r="C786" s="286"/>
      <c r="D786" s="286"/>
      <c r="E786" s="286"/>
      <c r="F786" s="287"/>
      <c r="G786" s="286"/>
      <c r="H786" s="287"/>
      <c r="I786" s="288"/>
      <c r="J786" s="289"/>
      <c r="K786" s="288"/>
      <c r="L786" s="289"/>
      <c r="M786" s="287"/>
      <c r="N786" s="286"/>
      <c r="O786" s="286"/>
      <c r="P786" s="291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</row>
    <row r="787" ht="13.5" customHeight="1">
      <c r="A787" s="286"/>
      <c r="B787" s="286"/>
      <c r="C787" s="286"/>
      <c r="D787" s="286"/>
      <c r="E787" s="286"/>
      <c r="F787" s="287"/>
      <c r="G787" s="286"/>
      <c r="H787" s="287"/>
      <c r="I787" s="288"/>
      <c r="J787" s="289"/>
      <c r="K787" s="288"/>
      <c r="L787" s="289"/>
      <c r="M787" s="287"/>
      <c r="N787" s="286"/>
      <c r="O787" s="286"/>
      <c r="P787" s="291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</row>
    <row r="788" ht="13.5" customHeight="1">
      <c r="A788" s="286"/>
      <c r="B788" s="286"/>
      <c r="C788" s="286"/>
      <c r="D788" s="286"/>
      <c r="E788" s="286"/>
      <c r="F788" s="287"/>
      <c r="G788" s="286"/>
      <c r="H788" s="287"/>
      <c r="I788" s="288"/>
      <c r="J788" s="289"/>
      <c r="K788" s="288"/>
      <c r="L788" s="289"/>
      <c r="M788" s="287"/>
      <c r="N788" s="286"/>
      <c r="O788" s="286"/>
      <c r="P788" s="291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</row>
    <row r="789" ht="13.5" customHeight="1">
      <c r="A789" s="286"/>
      <c r="B789" s="286"/>
      <c r="C789" s="286"/>
      <c r="D789" s="286"/>
      <c r="E789" s="286"/>
      <c r="F789" s="287"/>
      <c r="G789" s="286"/>
      <c r="H789" s="287"/>
      <c r="I789" s="288"/>
      <c r="J789" s="289"/>
      <c r="K789" s="288"/>
      <c r="L789" s="289"/>
      <c r="M789" s="287"/>
      <c r="N789" s="286"/>
      <c r="O789" s="286"/>
      <c r="P789" s="291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</row>
    <row r="790" ht="13.5" customHeight="1">
      <c r="A790" s="286"/>
      <c r="B790" s="286"/>
      <c r="C790" s="286"/>
      <c r="D790" s="286"/>
      <c r="E790" s="286"/>
      <c r="F790" s="287"/>
      <c r="G790" s="286"/>
      <c r="H790" s="287"/>
      <c r="I790" s="288"/>
      <c r="J790" s="289"/>
      <c r="K790" s="288"/>
      <c r="L790" s="289"/>
      <c r="M790" s="287"/>
      <c r="N790" s="286"/>
      <c r="O790" s="286"/>
      <c r="P790" s="291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</row>
    <row r="791" ht="13.5" customHeight="1">
      <c r="A791" s="286"/>
      <c r="B791" s="286"/>
      <c r="C791" s="286"/>
      <c r="D791" s="286"/>
      <c r="E791" s="286"/>
      <c r="F791" s="287"/>
      <c r="G791" s="286"/>
      <c r="H791" s="287"/>
      <c r="I791" s="288"/>
      <c r="J791" s="289"/>
      <c r="K791" s="288"/>
      <c r="L791" s="289"/>
      <c r="M791" s="287"/>
      <c r="N791" s="286"/>
      <c r="O791" s="286"/>
      <c r="P791" s="291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</row>
    <row r="792" ht="13.5" customHeight="1">
      <c r="A792" s="286"/>
      <c r="B792" s="286"/>
      <c r="C792" s="286"/>
      <c r="D792" s="286"/>
      <c r="E792" s="286"/>
      <c r="F792" s="287"/>
      <c r="G792" s="286"/>
      <c r="H792" s="287"/>
      <c r="I792" s="288"/>
      <c r="J792" s="289"/>
      <c r="K792" s="288"/>
      <c r="L792" s="289"/>
      <c r="M792" s="287"/>
      <c r="N792" s="286"/>
      <c r="O792" s="286"/>
      <c r="P792" s="291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</row>
    <row r="793" ht="13.5" customHeight="1">
      <c r="A793" s="286"/>
      <c r="B793" s="286"/>
      <c r="C793" s="286"/>
      <c r="D793" s="286"/>
      <c r="E793" s="286"/>
      <c r="F793" s="287"/>
      <c r="G793" s="286"/>
      <c r="H793" s="287"/>
      <c r="I793" s="288"/>
      <c r="J793" s="289"/>
      <c r="K793" s="288"/>
      <c r="L793" s="289"/>
      <c r="M793" s="287"/>
      <c r="N793" s="286"/>
      <c r="O793" s="286"/>
      <c r="P793" s="291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</row>
    <row r="794" ht="13.5" customHeight="1">
      <c r="A794" s="286"/>
      <c r="B794" s="286"/>
      <c r="C794" s="286"/>
      <c r="D794" s="286"/>
      <c r="E794" s="286"/>
      <c r="F794" s="287"/>
      <c r="G794" s="286"/>
      <c r="H794" s="287"/>
      <c r="I794" s="288"/>
      <c r="J794" s="289"/>
      <c r="K794" s="288"/>
      <c r="L794" s="289"/>
      <c r="M794" s="287"/>
      <c r="N794" s="286"/>
      <c r="O794" s="286"/>
      <c r="P794" s="291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</row>
    <row r="795" ht="13.5" customHeight="1">
      <c r="A795" s="286"/>
      <c r="B795" s="286"/>
      <c r="C795" s="286"/>
      <c r="D795" s="286"/>
      <c r="E795" s="286"/>
      <c r="F795" s="287"/>
      <c r="G795" s="286"/>
      <c r="H795" s="287"/>
      <c r="I795" s="288"/>
      <c r="J795" s="289"/>
      <c r="K795" s="288"/>
      <c r="L795" s="289"/>
      <c r="M795" s="287"/>
      <c r="N795" s="286"/>
      <c r="O795" s="286"/>
      <c r="P795" s="291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</row>
    <row r="796" ht="13.5" customHeight="1">
      <c r="A796" s="286"/>
      <c r="B796" s="286"/>
      <c r="C796" s="286"/>
      <c r="D796" s="286"/>
      <c r="E796" s="286"/>
      <c r="F796" s="287"/>
      <c r="G796" s="286"/>
      <c r="H796" s="287"/>
      <c r="I796" s="288"/>
      <c r="J796" s="289"/>
      <c r="K796" s="288"/>
      <c r="L796" s="289"/>
      <c r="M796" s="287"/>
      <c r="N796" s="286"/>
      <c r="O796" s="286"/>
      <c r="P796" s="291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</row>
    <row r="797" ht="13.5" customHeight="1">
      <c r="A797" s="286"/>
      <c r="B797" s="286"/>
      <c r="C797" s="286"/>
      <c r="D797" s="286"/>
      <c r="E797" s="286"/>
      <c r="F797" s="287"/>
      <c r="G797" s="286"/>
      <c r="H797" s="287"/>
      <c r="I797" s="288"/>
      <c r="J797" s="289"/>
      <c r="K797" s="288"/>
      <c r="L797" s="289"/>
      <c r="M797" s="287"/>
      <c r="N797" s="286"/>
      <c r="O797" s="286"/>
      <c r="P797" s="291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</row>
    <row r="798" ht="13.5" customHeight="1">
      <c r="A798" s="286"/>
      <c r="B798" s="286"/>
      <c r="C798" s="286"/>
      <c r="D798" s="286"/>
      <c r="E798" s="286"/>
      <c r="F798" s="287"/>
      <c r="G798" s="286"/>
      <c r="H798" s="287"/>
      <c r="I798" s="288"/>
      <c r="J798" s="289"/>
      <c r="K798" s="288"/>
      <c r="L798" s="289"/>
      <c r="M798" s="287"/>
      <c r="N798" s="286"/>
      <c r="O798" s="286"/>
      <c r="P798" s="291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</row>
    <row r="799" ht="13.5" customHeight="1">
      <c r="A799" s="286"/>
      <c r="B799" s="286"/>
      <c r="C799" s="286"/>
      <c r="D799" s="286"/>
      <c r="E799" s="286"/>
      <c r="F799" s="287"/>
      <c r="G799" s="286"/>
      <c r="H799" s="287"/>
      <c r="I799" s="288"/>
      <c r="J799" s="289"/>
      <c r="K799" s="288"/>
      <c r="L799" s="289"/>
      <c r="M799" s="287"/>
      <c r="N799" s="286"/>
      <c r="O799" s="286"/>
      <c r="P799" s="291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</row>
    <row r="800" ht="13.5" customHeight="1">
      <c r="A800" s="286"/>
      <c r="B800" s="286"/>
      <c r="C800" s="286"/>
      <c r="D800" s="286"/>
      <c r="E800" s="286"/>
      <c r="F800" s="287"/>
      <c r="G800" s="286"/>
      <c r="H800" s="287"/>
      <c r="I800" s="288"/>
      <c r="J800" s="289"/>
      <c r="K800" s="288"/>
      <c r="L800" s="289"/>
      <c r="M800" s="287"/>
      <c r="N800" s="286"/>
      <c r="O800" s="286"/>
      <c r="P800" s="291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</row>
    <row r="801" ht="13.5" customHeight="1">
      <c r="A801" s="286"/>
      <c r="B801" s="286"/>
      <c r="C801" s="286"/>
      <c r="D801" s="286"/>
      <c r="E801" s="286"/>
      <c r="F801" s="287"/>
      <c r="G801" s="286"/>
      <c r="H801" s="287"/>
      <c r="I801" s="288"/>
      <c r="J801" s="289"/>
      <c r="K801" s="288"/>
      <c r="L801" s="289"/>
      <c r="M801" s="287"/>
      <c r="N801" s="286"/>
      <c r="O801" s="286"/>
      <c r="P801" s="291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</row>
    <row r="802" ht="13.5" customHeight="1">
      <c r="A802" s="286"/>
      <c r="B802" s="286"/>
      <c r="C802" s="286"/>
      <c r="D802" s="286"/>
      <c r="E802" s="286"/>
      <c r="F802" s="287"/>
      <c r="G802" s="286"/>
      <c r="H802" s="287"/>
      <c r="I802" s="288"/>
      <c r="J802" s="289"/>
      <c r="K802" s="288"/>
      <c r="L802" s="289"/>
      <c r="M802" s="287"/>
      <c r="N802" s="286"/>
      <c r="O802" s="286"/>
      <c r="P802" s="291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</row>
    <row r="803" ht="13.5" customHeight="1">
      <c r="A803" s="286"/>
      <c r="B803" s="286"/>
      <c r="C803" s="286"/>
      <c r="D803" s="286"/>
      <c r="E803" s="286"/>
      <c r="F803" s="287"/>
      <c r="G803" s="286"/>
      <c r="H803" s="287"/>
      <c r="I803" s="288"/>
      <c r="J803" s="289"/>
      <c r="K803" s="288"/>
      <c r="L803" s="289"/>
      <c r="M803" s="287"/>
      <c r="N803" s="286"/>
      <c r="O803" s="286"/>
      <c r="P803" s="291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</row>
    <row r="804" ht="13.5" customHeight="1">
      <c r="A804" s="286"/>
      <c r="B804" s="286"/>
      <c r="C804" s="286"/>
      <c r="D804" s="286"/>
      <c r="E804" s="286"/>
      <c r="F804" s="287"/>
      <c r="G804" s="286"/>
      <c r="H804" s="287"/>
      <c r="I804" s="288"/>
      <c r="J804" s="289"/>
      <c r="K804" s="288"/>
      <c r="L804" s="289"/>
      <c r="M804" s="287"/>
      <c r="N804" s="286"/>
      <c r="O804" s="286"/>
      <c r="P804" s="291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</row>
    <row r="805" ht="13.5" customHeight="1">
      <c r="A805" s="286"/>
      <c r="B805" s="286"/>
      <c r="C805" s="286"/>
      <c r="D805" s="286"/>
      <c r="E805" s="286"/>
      <c r="F805" s="287"/>
      <c r="G805" s="286"/>
      <c r="H805" s="287"/>
      <c r="I805" s="288"/>
      <c r="J805" s="289"/>
      <c r="K805" s="288"/>
      <c r="L805" s="289"/>
      <c r="M805" s="287"/>
      <c r="N805" s="286"/>
      <c r="O805" s="286"/>
      <c r="P805" s="291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</row>
    <row r="806" ht="13.5" customHeight="1">
      <c r="A806" s="286"/>
      <c r="B806" s="286"/>
      <c r="C806" s="286"/>
      <c r="D806" s="286"/>
      <c r="E806" s="286"/>
      <c r="F806" s="287"/>
      <c r="G806" s="286"/>
      <c r="H806" s="287"/>
      <c r="I806" s="288"/>
      <c r="J806" s="289"/>
      <c r="K806" s="288"/>
      <c r="L806" s="289"/>
      <c r="M806" s="287"/>
      <c r="N806" s="286"/>
      <c r="O806" s="286"/>
      <c r="P806" s="291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</row>
    <row r="807" ht="13.5" customHeight="1">
      <c r="A807" s="286"/>
      <c r="B807" s="286"/>
      <c r="C807" s="286"/>
      <c r="D807" s="286"/>
      <c r="E807" s="286"/>
      <c r="F807" s="287"/>
      <c r="G807" s="286"/>
      <c r="H807" s="287"/>
      <c r="I807" s="288"/>
      <c r="J807" s="289"/>
      <c r="K807" s="288"/>
      <c r="L807" s="289"/>
      <c r="M807" s="287"/>
      <c r="N807" s="286"/>
      <c r="O807" s="286"/>
      <c r="P807" s="291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</row>
    <row r="808" ht="13.5" customHeight="1">
      <c r="A808" s="286"/>
      <c r="B808" s="286"/>
      <c r="C808" s="286"/>
      <c r="D808" s="286"/>
      <c r="E808" s="286"/>
      <c r="F808" s="287"/>
      <c r="G808" s="286"/>
      <c r="H808" s="287"/>
      <c r="I808" s="288"/>
      <c r="J808" s="289"/>
      <c r="K808" s="288"/>
      <c r="L808" s="289"/>
      <c r="M808" s="287"/>
      <c r="N808" s="286"/>
      <c r="O808" s="286"/>
      <c r="P808" s="291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</row>
    <row r="809" ht="13.5" customHeight="1">
      <c r="A809" s="286"/>
      <c r="B809" s="286"/>
      <c r="C809" s="286"/>
      <c r="D809" s="286"/>
      <c r="E809" s="286"/>
      <c r="F809" s="287"/>
      <c r="G809" s="286"/>
      <c r="H809" s="287"/>
      <c r="I809" s="288"/>
      <c r="J809" s="289"/>
      <c r="K809" s="288"/>
      <c r="L809" s="289"/>
      <c r="M809" s="287"/>
      <c r="N809" s="286"/>
      <c r="O809" s="286"/>
      <c r="P809" s="291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</row>
    <row r="810" ht="13.5" customHeight="1">
      <c r="A810" s="286"/>
      <c r="B810" s="286"/>
      <c r="C810" s="286"/>
      <c r="D810" s="286"/>
      <c r="E810" s="286"/>
      <c r="F810" s="287"/>
      <c r="G810" s="286"/>
      <c r="H810" s="287"/>
      <c r="I810" s="288"/>
      <c r="J810" s="289"/>
      <c r="K810" s="288"/>
      <c r="L810" s="289"/>
      <c r="M810" s="287"/>
      <c r="N810" s="286"/>
      <c r="O810" s="286"/>
      <c r="P810" s="291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</row>
    <row r="811" ht="13.5" customHeight="1">
      <c r="A811" s="286"/>
      <c r="B811" s="286"/>
      <c r="C811" s="286"/>
      <c r="D811" s="286"/>
      <c r="E811" s="286"/>
      <c r="F811" s="287"/>
      <c r="G811" s="286"/>
      <c r="H811" s="287"/>
      <c r="I811" s="288"/>
      <c r="J811" s="289"/>
      <c r="K811" s="288"/>
      <c r="L811" s="289"/>
      <c r="M811" s="287"/>
      <c r="N811" s="286"/>
      <c r="O811" s="286"/>
      <c r="P811" s="291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</row>
    <row r="812" ht="13.5" customHeight="1">
      <c r="A812" s="286"/>
      <c r="B812" s="286"/>
      <c r="C812" s="286"/>
      <c r="D812" s="286"/>
      <c r="E812" s="286"/>
      <c r="F812" s="287"/>
      <c r="G812" s="286"/>
      <c r="H812" s="287"/>
      <c r="I812" s="288"/>
      <c r="J812" s="289"/>
      <c r="K812" s="288"/>
      <c r="L812" s="289"/>
      <c r="M812" s="287"/>
      <c r="N812" s="286"/>
      <c r="O812" s="286"/>
      <c r="P812" s="291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</row>
    <row r="813" ht="13.5" customHeight="1">
      <c r="A813" s="286"/>
      <c r="B813" s="286"/>
      <c r="C813" s="286"/>
      <c r="D813" s="286"/>
      <c r="E813" s="286"/>
      <c r="F813" s="287"/>
      <c r="G813" s="286"/>
      <c r="H813" s="287"/>
      <c r="I813" s="288"/>
      <c r="J813" s="289"/>
      <c r="K813" s="288"/>
      <c r="L813" s="289"/>
      <c r="M813" s="287"/>
      <c r="N813" s="286"/>
      <c r="O813" s="286"/>
      <c r="P813" s="291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</row>
    <row r="814" ht="13.5" customHeight="1">
      <c r="A814" s="286"/>
      <c r="B814" s="286"/>
      <c r="C814" s="286"/>
      <c r="D814" s="286"/>
      <c r="E814" s="286"/>
      <c r="F814" s="287"/>
      <c r="G814" s="286"/>
      <c r="H814" s="287"/>
      <c r="I814" s="288"/>
      <c r="J814" s="289"/>
      <c r="K814" s="288"/>
      <c r="L814" s="289"/>
      <c r="M814" s="287"/>
      <c r="N814" s="286"/>
      <c r="O814" s="286"/>
      <c r="P814" s="291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</row>
    <row r="815" ht="13.5" customHeight="1">
      <c r="A815" s="286"/>
      <c r="B815" s="286"/>
      <c r="C815" s="286"/>
      <c r="D815" s="286"/>
      <c r="E815" s="286"/>
      <c r="F815" s="287"/>
      <c r="G815" s="286"/>
      <c r="H815" s="287"/>
      <c r="I815" s="288"/>
      <c r="J815" s="289"/>
      <c r="K815" s="288"/>
      <c r="L815" s="289"/>
      <c r="M815" s="287"/>
      <c r="N815" s="286"/>
      <c r="O815" s="286"/>
      <c r="P815" s="291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</row>
    <row r="816" ht="13.5" customHeight="1">
      <c r="A816" s="286"/>
      <c r="B816" s="286"/>
      <c r="C816" s="286"/>
      <c r="D816" s="286"/>
      <c r="E816" s="286"/>
      <c r="F816" s="287"/>
      <c r="G816" s="286"/>
      <c r="H816" s="287"/>
      <c r="I816" s="288"/>
      <c r="J816" s="289"/>
      <c r="K816" s="288"/>
      <c r="L816" s="289"/>
      <c r="M816" s="287"/>
      <c r="N816" s="286"/>
      <c r="O816" s="286"/>
      <c r="P816" s="291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</row>
    <row r="817" ht="13.5" customHeight="1">
      <c r="A817" s="286"/>
      <c r="B817" s="286"/>
      <c r="C817" s="286"/>
      <c r="D817" s="286"/>
      <c r="E817" s="286"/>
      <c r="F817" s="287"/>
      <c r="G817" s="286"/>
      <c r="H817" s="287"/>
      <c r="I817" s="288"/>
      <c r="J817" s="289"/>
      <c r="K817" s="288"/>
      <c r="L817" s="289"/>
      <c r="M817" s="287"/>
      <c r="N817" s="286"/>
      <c r="O817" s="286"/>
      <c r="P817" s="291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</row>
    <row r="818" ht="13.5" customHeight="1">
      <c r="A818" s="286"/>
      <c r="B818" s="286"/>
      <c r="C818" s="286"/>
      <c r="D818" s="286"/>
      <c r="E818" s="286"/>
      <c r="F818" s="287"/>
      <c r="G818" s="286"/>
      <c r="H818" s="287"/>
      <c r="I818" s="288"/>
      <c r="J818" s="289"/>
      <c r="K818" s="288"/>
      <c r="L818" s="289"/>
      <c r="M818" s="287"/>
      <c r="N818" s="286"/>
      <c r="O818" s="286"/>
      <c r="P818" s="291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</row>
    <row r="819" ht="13.5" customHeight="1">
      <c r="A819" s="286"/>
      <c r="B819" s="286"/>
      <c r="C819" s="286"/>
      <c r="D819" s="286"/>
      <c r="E819" s="286"/>
      <c r="F819" s="287"/>
      <c r="G819" s="286"/>
      <c r="H819" s="287"/>
      <c r="I819" s="288"/>
      <c r="J819" s="289"/>
      <c r="K819" s="288"/>
      <c r="L819" s="289"/>
      <c r="M819" s="287"/>
      <c r="N819" s="286"/>
      <c r="O819" s="286"/>
      <c r="P819" s="291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</row>
    <row r="820" ht="13.5" customHeight="1">
      <c r="A820" s="286"/>
      <c r="B820" s="286"/>
      <c r="C820" s="286"/>
      <c r="D820" s="286"/>
      <c r="E820" s="286"/>
      <c r="F820" s="287"/>
      <c r="G820" s="286"/>
      <c r="H820" s="287"/>
      <c r="I820" s="288"/>
      <c r="J820" s="289"/>
      <c r="K820" s="288"/>
      <c r="L820" s="289"/>
      <c r="M820" s="287"/>
      <c r="N820" s="286"/>
      <c r="O820" s="286"/>
      <c r="P820" s="291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</row>
    <row r="821" ht="13.5" customHeight="1">
      <c r="A821" s="286"/>
      <c r="B821" s="286"/>
      <c r="C821" s="286"/>
      <c r="D821" s="286"/>
      <c r="E821" s="286"/>
      <c r="F821" s="287"/>
      <c r="G821" s="286"/>
      <c r="H821" s="287"/>
      <c r="I821" s="288"/>
      <c r="J821" s="289"/>
      <c r="K821" s="288"/>
      <c r="L821" s="289"/>
      <c r="M821" s="287"/>
      <c r="N821" s="286"/>
      <c r="O821" s="286"/>
      <c r="P821" s="291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</row>
    <row r="822" ht="13.5" customHeight="1">
      <c r="A822" s="286"/>
      <c r="B822" s="286"/>
      <c r="C822" s="286"/>
      <c r="D822" s="286"/>
      <c r="E822" s="286"/>
      <c r="F822" s="287"/>
      <c r="G822" s="286"/>
      <c r="H822" s="287"/>
      <c r="I822" s="288"/>
      <c r="J822" s="289"/>
      <c r="K822" s="288"/>
      <c r="L822" s="289"/>
      <c r="M822" s="287"/>
      <c r="N822" s="286"/>
      <c r="O822" s="286"/>
      <c r="P822" s="291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</row>
    <row r="823" ht="13.5" customHeight="1">
      <c r="A823" s="286"/>
      <c r="B823" s="286"/>
      <c r="C823" s="286"/>
      <c r="D823" s="286"/>
      <c r="E823" s="286"/>
      <c r="F823" s="287"/>
      <c r="G823" s="286"/>
      <c r="H823" s="287"/>
      <c r="I823" s="288"/>
      <c r="J823" s="289"/>
      <c r="K823" s="288"/>
      <c r="L823" s="289"/>
      <c r="M823" s="287"/>
      <c r="N823" s="286"/>
      <c r="O823" s="286"/>
      <c r="P823" s="291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</row>
    <row r="824" ht="13.5" customHeight="1">
      <c r="A824" s="286"/>
      <c r="B824" s="286"/>
      <c r="C824" s="286"/>
      <c r="D824" s="286"/>
      <c r="E824" s="286"/>
      <c r="F824" s="287"/>
      <c r="G824" s="286"/>
      <c r="H824" s="287"/>
      <c r="I824" s="288"/>
      <c r="J824" s="289"/>
      <c r="K824" s="288"/>
      <c r="L824" s="289"/>
      <c r="M824" s="287"/>
      <c r="N824" s="286"/>
      <c r="O824" s="286"/>
      <c r="P824" s="291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</row>
    <row r="825" ht="13.5" customHeight="1">
      <c r="A825" s="286"/>
      <c r="B825" s="286"/>
      <c r="C825" s="286"/>
      <c r="D825" s="286"/>
      <c r="E825" s="286"/>
      <c r="F825" s="287"/>
      <c r="G825" s="286"/>
      <c r="H825" s="287"/>
      <c r="I825" s="288"/>
      <c r="J825" s="289"/>
      <c r="K825" s="288"/>
      <c r="L825" s="289"/>
      <c r="M825" s="287"/>
      <c r="N825" s="286"/>
      <c r="O825" s="286"/>
      <c r="P825" s="291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</row>
    <row r="826" ht="13.5" customHeight="1">
      <c r="A826" s="286"/>
      <c r="B826" s="286"/>
      <c r="C826" s="286"/>
      <c r="D826" s="286"/>
      <c r="E826" s="286"/>
      <c r="F826" s="287"/>
      <c r="G826" s="286"/>
      <c r="H826" s="287"/>
      <c r="I826" s="288"/>
      <c r="J826" s="289"/>
      <c r="K826" s="288"/>
      <c r="L826" s="289"/>
      <c r="M826" s="287"/>
      <c r="N826" s="286"/>
      <c r="O826" s="286"/>
      <c r="P826" s="291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</row>
    <row r="827" ht="13.5" customHeight="1">
      <c r="A827" s="286"/>
      <c r="B827" s="286"/>
      <c r="C827" s="286"/>
      <c r="D827" s="286"/>
      <c r="E827" s="286"/>
      <c r="F827" s="287"/>
      <c r="G827" s="286"/>
      <c r="H827" s="287"/>
      <c r="I827" s="288"/>
      <c r="J827" s="289"/>
      <c r="K827" s="288"/>
      <c r="L827" s="289"/>
      <c r="M827" s="287"/>
      <c r="N827" s="286"/>
      <c r="O827" s="286"/>
      <c r="P827" s="291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</row>
    <row r="828" ht="13.5" customHeight="1">
      <c r="A828" s="286"/>
      <c r="B828" s="286"/>
      <c r="C828" s="286"/>
      <c r="D828" s="286"/>
      <c r="E828" s="286"/>
      <c r="F828" s="287"/>
      <c r="G828" s="286"/>
      <c r="H828" s="287"/>
      <c r="I828" s="288"/>
      <c r="J828" s="289"/>
      <c r="K828" s="288"/>
      <c r="L828" s="289"/>
      <c r="M828" s="287"/>
      <c r="N828" s="286"/>
      <c r="O828" s="286"/>
      <c r="P828" s="291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</row>
    <row r="829" ht="13.5" customHeight="1">
      <c r="A829" s="286"/>
      <c r="B829" s="286"/>
      <c r="C829" s="286"/>
      <c r="D829" s="286"/>
      <c r="E829" s="286"/>
      <c r="F829" s="287"/>
      <c r="G829" s="286"/>
      <c r="H829" s="287"/>
      <c r="I829" s="288"/>
      <c r="J829" s="289"/>
      <c r="K829" s="288"/>
      <c r="L829" s="289"/>
      <c r="M829" s="287"/>
      <c r="N829" s="286"/>
      <c r="O829" s="286"/>
      <c r="P829" s="291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</row>
    <row r="830" ht="13.5" customHeight="1">
      <c r="A830" s="286"/>
      <c r="B830" s="286"/>
      <c r="C830" s="286"/>
      <c r="D830" s="286"/>
      <c r="E830" s="286"/>
      <c r="F830" s="287"/>
      <c r="G830" s="286"/>
      <c r="H830" s="287"/>
      <c r="I830" s="288"/>
      <c r="J830" s="289"/>
      <c r="K830" s="288"/>
      <c r="L830" s="289"/>
      <c r="M830" s="287"/>
      <c r="N830" s="286"/>
      <c r="O830" s="286"/>
      <c r="P830" s="291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</row>
    <row r="831" ht="13.5" customHeight="1">
      <c r="A831" s="286"/>
      <c r="B831" s="286"/>
      <c r="C831" s="286"/>
      <c r="D831" s="286"/>
      <c r="E831" s="286"/>
      <c r="F831" s="287"/>
      <c r="G831" s="286"/>
      <c r="H831" s="287"/>
      <c r="I831" s="288"/>
      <c r="J831" s="289"/>
      <c r="K831" s="288"/>
      <c r="L831" s="289"/>
      <c r="M831" s="287"/>
      <c r="N831" s="286"/>
      <c r="O831" s="286"/>
      <c r="P831" s="291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</row>
    <row r="832" ht="13.5" customHeight="1">
      <c r="A832" s="286"/>
      <c r="B832" s="286"/>
      <c r="C832" s="286"/>
      <c r="D832" s="286"/>
      <c r="E832" s="286"/>
      <c r="F832" s="287"/>
      <c r="G832" s="286"/>
      <c r="H832" s="287"/>
      <c r="I832" s="288"/>
      <c r="J832" s="289"/>
      <c r="K832" s="288"/>
      <c r="L832" s="289"/>
      <c r="M832" s="287"/>
      <c r="N832" s="286"/>
      <c r="O832" s="286"/>
      <c r="P832" s="291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</row>
    <row r="833" ht="13.5" customHeight="1">
      <c r="A833" s="286"/>
      <c r="B833" s="286"/>
      <c r="C833" s="286"/>
      <c r="D833" s="286"/>
      <c r="E833" s="286"/>
      <c r="F833" s="287"/>
      <c r="G833" s="286"/>
      <c r="H833" s="287"/>
      <c r="I833" s="288"/>
      <c r="J833" s="289"/>
      <c r="K833" s="288"/>
      <c r="L833" s="289"/>
      <c r="M833" s="287"/>
      <c r="N833" s="286"/>
      <c r="O833" s="286"/>
      <c r="P833" s="291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</row>
    <row r="834" ht="13.5" customHeight="1">
      <c r="A834" s="286"/>
      <c r="B834" s="286"/>
      <c r="C834" s="286"/>
      <c r="D834" s="286"/>
      <c r="E834" s="286"/>
      <c r="F834" s="287"/>
      <c r="G834" s="286"/>
      <c r="H834" s="287"/>
      <c r="I834" s="288"/>
      <c r="J834" s="289"/>
      <c r="K834" s="288"/>
      <c r="L834" s="289"/>
      <c r="M834" s="287"/>
      <c r="N834" s="286"/>
      <c r="O834" s="286"/>
      <c r="P834" s="291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</row>
    <row r="835" ht="13.5" customHeight="1">
      <c r="A835" s="286"/>
      <c r="B835" s="286"/>
      <c r="C835" s="286"/>
      <c r="D835" s="286"/>
      <c r="E835" s="286"/>
      <c r="F835" s="287"/>
      <c r="G835" s="286"/>
      <c r="H835" s="287"/>
      <c r="I835" s="288"/>
      <c r="J835" s="289"/>
      <c r="K835" s="288"/>
      <c r="L835" s="289"/>
      <c r="M835" s="287"/>
      <c r="N835" s="286"/>
      <c r="O835" s="286"/>
      <c r="P835" s="291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</row>
    <row r="836" ht="13.5" customHeight="1">
      <c r="A836" s="286"/>
      <c r="B836" s="286"/>
      <c r="C836" s="286"/>
      <c r="D836" s="286"/>
      <c r="E836" s="286"/>
      <c r="F836" s="287"/>
      <c r="G836" s="286"/>
      <c r="H836" s="287"/>
      <c r="I836" s="288"/>
      <c r="J836" s="289"/>
      <c r="K836" s="288"/>
      <c r="L836" s="289"/>
      <c r="M836" s="287"/>
      <c r="N836" s="286"/>
      <c r="O836" s="286"/>
      <c r="P836" s="291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</row>
    <row r="837" ht="13.5" customHeight="1">
      <c r="A837" s="286"/>
      <c r="B837" s="286"/>
      <c r="C837" s="286"/>
      <c r="D837" s="286"/>
      <c r="E837" s="286"/>
      <c r="F837" s="287"/>
      <c r="G837" s="286"/>
      <c r="H837" s="287"/>
      <c r="I837" s="288"/>
      <c r="J837" s="289"/>
      <c r="K837" s="288"/>
      <c r="L837" s="289"/>
      <c r="M837" s="287"/>
      <c r="N837" s="286"/>
      <c r="O837" s="286"/>
      <c r="P837" s="291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</row>
    <row r="838" ht="13.5" customHeight="1">
      <c r="A838" s="286"/>
      <c r="B838" s="286"/>
      <c r="C838" s="286"/>
      <c r="D838" s="286"/>
      <c r="E838" s="286"/>
      <c r="F838" s="287"/>
      <c r="G838" s="286"/>
      <c r="H838" s="287"/>
      <c r="I838" s="288"/>
      <c r="J838" s="289"/>
      <c r="K838" s="288"/>
      <c r="L838" s="289"/>
      <c r="M838" s="287"/>
      <c r="N838" s="286"/>
      <c r="O838" s="286"/>
      <c r="P838" s="291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</row>
    <row r="839" ht="13.5" customHeight="1">
      <c r="A839" s="286"/>
      <c r="B839" s="286"/>
      <c r="C839" s="286"/>
      <c r="D839" s="286"/>
      <c r="E839" s="286"/>
      <c r="F839" s="287"/>
      <c r="G839" s="286"/>
      <c r="H839" s="287"/>
      <c r="I839" s="288"/>
      <c r="J839" s="289"/>
      <c r="K839" s="288"/>
      <c r="L839" s="289"/>
      <c r="M839" s="287"/>
      <c r="N839" s="286"/>
      <c r="O839" s="286"/>
      <c r="P839" s="291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</row>
    <row r="840" ht="13.5" customHeight="1">
      <c r="A840" s="286"/>
      <c r="B840" s="286"/>
      <c r="C840" s="286"/>
      <c r="D840" s="286"/>
      <c r="E840" s="286"/>
      <c r="F840" s="287"/>
      <c r="G840" s="286"/>
      <c r="H840" s="287"/>
      <c r="I840" s="288"/>
      <c r="J840" s="289"/>
      <c r="K840" s="288"/>
      <c r="L840" s="289"/>
      <c r="M840" s="287"/>
      <c r="N840" s="286"/>
      <c r="O840" s="286"/>
      <c r="P840" s="291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</row>
    <row r="841" ht="13.5" customHeight="1">
      <c r="A841" s="286"/>
      <c r="B841" s="286"/>
      <c r="C841" s="286"/>
      <c r="D841" s="286"/>
      <c r="E841" s="286"/>
      <c r="F841" s="287"/>
      <c r="G841" s="286"/>
      <c r="H841" s="287"/>
      <c r="I841" s="288"/>
      <c r="J841" s="289"/>
      <c r="K841" s="288"/>
      <c r="L841" s="289"/>
      <c r="M841" s="287"/>
      <c r="N841" s="286"/>
      <c r="O841" s="286"/>
      <c r="P841" s="291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</row>
    <row r="842" ht="13.5" customHeight="1">
      <c r="A842" s="286"/>
      <c r="B842" s="286"/>
      <c r="C842" s="286"/>
      <c r="D842" s="286"/>
      <c r="E842" s="286"/>
      <c r="F842" s="287"/>
      <c r="G842" s="286"/>
      <c r="H842" s="287"/>
      <c r="I842" s="288"/>
      <c r="J842" s="289"/>
      <c r="K842" s="288"/>
      <c r="L842" s="289"/>
      <c r="M842" s="287"/>
      <c r="N842" s="286"/>
      <c r="O842" s="286"/>
      <c r="P842" s="291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</row>
    <row r="843" ht="13.5" customHeight="1">
      <c r="A843" s="286"/>
      <c r="B843" s="286"/>
      <c r="C843" s="286"/>
      <c r="D843" s="286"/>
      <c r="E843" s="286"/>
      <c r="F843" s="287"/>
      <c r="G843" s="286"/>
      <c r="H843" s="287"/>
      <c r="I843" s="288"/>
      <c r="J843" s="289"/>
      <c r="K843" s="288"/>
      <c r="L843" s="289"/>
      <c r="M843" s="287"/>
      <c r="N843" s="286"/>
      <c r="O843" s="286"/>
      <c r="P843" s="291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</row>
    <row r="844" ht="13.5" customHeight="1">
      <c r="A844" s="286"/>
      <c r="B844" s="286"/>
      <c r="C844" s="286"/>
      <c r="D844" s="286"/>
      <c r="E844" s="286"/>
      <c r="F844" s="287"/>
      <c r="G844" s="286"/>
      <c r="H844" s="287"/>
      <c r="I844" s="288"/>
      <c r="J844" s="289"/>
      <c r="K844" s="288"/>
      <c r="L844" s="289"/>
      <c r="M844" s="287"/>
      <c r="N844" s="286"/>
      <c r="O844" s="286"/>
      <c r="P844" s="291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</row>
    <row r="845" ht="13.5" customHeight="1">
      <c r="A845" s="286"/>
      <c r="B845" s="286"/>
      <c r="C845" s="286"/>
      <c r="D845" s="286"/>
      <c r="E845" s="286"/>
      <c r="F845" s="287"/>
      <c r="G845" s="286"/>
      <c r="H845" s="287"/>
      <c r="I845" s="288"/>
      <c r="J845" s="289"/>
      <c r="K845" s="288"/>
      <c r="L845" s="289"/>
      <c r="M845" s="287"/>
      <c r="N845" s="286"/>
      <c r="O845" s="286"/>
      <c r="P845" s="291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</row>
    <row r="846" ht="13.5" customHeight="1">
      <c r="A846" s="286"/>
      <c r="B846" s="286"/>
      <c r="C846" s="286"/>
      <c r="D846" s="286"/>
      <c r="E846" s="286"/>
      <c r="F846" s="287"/>
      <c r="G846" s="286"/>
      <c r="H846" s="287"/>
      <c r="I846" s="288"/>
      <c r="J846" s="289"/>
      <c r="K846" s="288"/>
      <c r="L846" s="289"/>
      <c r="M846" s="287"/>
      <c r="N846" s="286"/>
      <c r="O846" s="286"/>
      <c r="P846" s="291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</row>
    <row r="847" ht="13.5" customHeight="1">
      <c r="A847" s="286"/>
      <c r="B847" s="286"/>
      <c r="C847" s="286"/>
      <c r="D847" s="286"/>
      <c r="E847" s="286"/>
      <c r="F847" s="287"/>
      <c r="G847" s="286"/>
      <c r="H847" s="287"/>
      <c r="I847" s="288"/>
      <c r="J847" s="289"/>
      <c r="K847" s="288"/>
      <c r="L847" s="289"/>
      <c r="M847" s="287"/>
      <c r="N847" s="286"/>
      <c r="O847" s="286"/>
      <c r="P847" s="291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</row>
    <row r="848" ht="13.5" customHeight="1">
      <c r="A848" s="286"/>
      <c r="B848" s="286"/>
      <c r="C848" s="286"/>
      <c r="D848" s="286"/>
      <c r="E848" s="286"/>
      <c r="F848" s="287"/>
      <c r="G848" s="286"/>
      <c r="H848" s="287"/>
      <c r="I848" s="288"/>
      <c r="J848" s="289"/>
      <c r="K848" s="288"/>
      <c r="L848" s="289"/>
      <c r="M848" s="287"/>
      <c r="N848" s="286"/>
      <c r="O848" s="286"/>
      <c r="P848" s="291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</row>
    <row r="849" ht="13.5" customHeight="1">
      <c r="A849" s="286"/>
      <c r="B849" s="286"/>
      <c r="C849" s="286"/>
      <c r="D849" s="286"/>
      <c r="E849" s="286"/>
      <c r="F849" s="287"/>
      <c r="G849" s="286"/>
      <c r="H849" s="287"/>
      <c r="I849" s="288"/>
      <c r="J849" s="289"/>
      <c r="K849" s="288"/>
      <c r="L849" s="289"/>
      <c r="M849" s="287"/>
      <c r="N849" s="286"/>
      <c r="O849" s="286"/>
      <c r="P849" s="291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</row>
    <row r="850" ht="13.5" customHeight="1">
      <c r="A850" s="286"/>
      <c r="B850" s="286"/>
      <c r="C850" s="286"/>
      <c r="D850" s="286"/>
      <c r="E850" s="286"/>
      <c r="F850" s="287"/>
      <c r="G850" s="286"/>
      <c r="H850" s="287"/>
      <c r="I850" s="288"/>
      <c r="J850" s="289"/>
      <c r="K850" s="288"/>
      <c r="L850" s="289"/>
      <c r="M850" s="287"/>
      <c r="N850" s="286"/>
      <c r="O850" s="286"/>
      <c r="P850" s="291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</row>
    <row r="851" ht="13.5" customHeight="1">
      <c r="A851" s="286"/>
      <c r="B851" s="286"/>
      <c r="C851" s="286"/>
      <c r="D851" s="286"/>
      <c r="E851" s="286"/>
      <c r="F851" s="287"/>
      <c r="G851" s="286"/>
      <c r="H851" s="287"/>
      <c r="I851" s="288"/>
      <c r="J851" s="289"/>
      <c r="K851" s="288"/>
      <c r="L851" s="289"/>
      <c r="M851" s="287"/>
      <c r="N851" s="286"/>
      <c r="O851" s="286"/>
      <c r="P851" s="291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</row>
    <row r="852" ht="13.5" customHeight="1">
      <c r="A852" s="286"/>
      <c r="B852" s="286"/>
      <c r="C852" s="286"/>
      <c r="D852" s="286"/>
      <c r="E852" s="286"/>
      <c r="F852" s="287"/>
      <c r="G852" s="286"/>
      <c r="H852" s="287"/>
      <c r="I852" s="288"/>
      <c r="J852" s="289"/>
      <c r="K852" s="288"/>
      <c r="L852" s="289"/>
      <c r="M852" s="287"/>
      <c r="N852" s="286"/>
      <c r="O852" s="286"/>
      <c r="P852" s="291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</row>
    <row r="853" ht="13.5" customHeight="1">
      <c r="A853" s="286"/>
      <c r="B853" s="286"/>
      <c r="C853" s="286"/>
      <c r="D853" s="286"/>
      <c r="E853" s="286"/>
      <c r="F853" s="287"/>
      <c r="G853" s="286"/>
      <c r="H853" s="287"/>
      <c r="I853" s="288"/>
      <c r="J853" s="289"/>
      <c r="K853" s="288"/>
      <c r="L853" s="289"/>
      <c r="M853" s="287"/>
      <c r="N853" s="286"/>
      <c r="O853" s="286"/>
      <c r="P853" s="291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</row>
    <row r="854" ht="13.5" customHeight="1">
      <c r="A854" s="286"/>
      <c r="B854" s="286"/>
      <c r="C854" s="286"/>
      <c r="D854" s="286"/>
      <c r="E854" s="286"/>
      <c r="F854" s="287"/>
      <c r="G854" s="286"/>
      <c r="H854" s="287"/>
      <c r="I854" s="288"/>
      <c r="J854" s="289"/>
      <c r="K854" s="288"/>
      <c r="L854" s="289"/>
      <c r="M854" s="287"/>
      <c r="N854" s="286"/>
      <c r="O854" s="286"/>
      <c r="P854" s="291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</row>
    <row r="855" ht="13.5" customHeight="1">
      <c r="A855" s="286"/>
      <c r="B855" s="286"/>
      <c r="C855" s="286"/>
      <c r="D855" s="286"/>
      <c r="E855" s="286"/>
      <c r="F855" s="287"/>
      <c r="G855" s="286"/>
      <c r="H855" s="287"/>
      <c r="I855" s="288"/>
      <c r="J855" s="289"/>
      <c r="K855" s="288"/>
      <c r="L855" s="289"/>
      <c r="M855" s="287"/>
      <c r="N855" s="286"/>
      <c r="O855" s="286"/>
      <c r="P855" s="291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</row>
    <row r="856" ht="13.5" customHeight="1">
      <c r="A856" s="286"/>
      <c r="B856" s="286"/>
      <c r="C856" s="286"/>
      <c r="D856" s="286"/>
      <c r="E856" s="286"/>
      <c r="F856" s="287"/>
      <c r="G856" s="286"/>
      <c r="H856" s="287"/>
      <c r="I856" s="288"/>
      <c r="J856" s="289"/>
      <c r="K856" s="288"/>
      <c r="L856" s="289"/>
      <c r="M856" s="287"/>
      <c r="N856" s="286"/>
      <c r="O856" s="286"/>
      <c r="P856" s="291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</row>
    <row r="857" ht="13.5" customHeight="1">
      <c r="A857" s="286"/>
      <c r="B857" s="286"/>
      <c r="C857" s="286"/>
      <c r="D857" s="286"/>
      <c r="E857" s="286"/>
      <c r="F857" s="287"/>
      <c r="G857" s="286"/>
      <c r="H857" s="287"/>
      <c r="I857" s="288"/>
      <c r="J857" s="289"/>
      <c r="K857" s="288"/>
      <c r="L857" s="289"/>
      <c r="M857" s="287"/>
      <c r="N857" s="286"/>
      <c r="O857" s="286"/>
      <c r="P857" s="291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</row>
    <row r="858" ht="13.5" customHeight="1">
      <c r="A858" s="286"/>
      <c r="B858" s="286"/>
      <c r="C858" s="286"/>
      <c r="D858" s="286"/>
      <c r="E858" s="286"/>
      <c r="F858" s="287"/>
      <c r="G858" s="286"/>
      <c r="H858" s="287"/>
      <c r="I858" s="288"/>
      <c r="J858" s="289"/>
      <c r="K858" s="288"/>
      <c r="L858" s="289"/>
      <c r="M858" s="287"/>
      <c r="N858" s="286"/>
      <c r="O858" s="286"/>
      <c r="P858" s="291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</row>
    <row r="859" ht="13.5" customHeight="1">
      <c r="A859" s="286"/>
      <c r="B859" s="286"/>
      <c r="C859" s="286"/>
      <c r="D859" s="286"/>
      <c r="E859" s="286"/>
      <c r="F859" s="287"/>
      <c r="G859" s="286"/>
      <c r="H859" s="287"/>
      <c r="I859" s="288"/>
      <c r="J859" s="289"/>
      <c r="K859" s="288"/>
      <c r="L859" s="289"/>
      <c r="M859" s="287"/>
      <c r="N859" s="286"/>
      <c r="O859" s="286"/>
      <c r="P859" s="291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</row>
    <row r="860" ht="13.5" customHeight="1">
      <c r="A860" s="286"/>
      <c r="B860" s="286"/>
      <c r="C860" s="286"/>
      <c r="D860" s="286"/>
      <c r="E860" s="286"/>
      <c r="F860" s="287"/>
      <c r="G860" s="286"/>
      <c r="H860" s="287"/>
      <c r="I860" s="288"/>
      <c r="J860" s="289"/>
      <c r="K860" s="288"/>
      <c r="L860" s="289"/>
      <c r="M860" s="287"/>
      <c r="N860" s="286"/>
      <c r="O860" s="286"/>
      <c r="P860" s="291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</row>
    <row r="861" ht="13.5" customHeight="1">
      <c r="A861" s="286"/>
      <c r="B861" s="286"/>
      <c r="C861" s="286"/>
      <c r="D861" s="286"/>
      <c r="E861" s="286"/>
      <c r="F861" s="287"/>
      <c r="G861" s="286"/>
      <c r="H861" s="287"/>
      <c r="I861" s="288"/>
      <c r="J861" s="289"/>
      <c r="K861" s="288"/>
      <c r="L861" s="289"/>
      <c r="M861" s="287"/>
      <c r="N861" s="286"/>
      <c r="O861" s="286"/>
      <c r="P861" s="291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</row>
    <row r="862" ht="13.5" customHeight="1">
      <c r="A862" s="286"/>
      <c r="B862" s="286"/>
      <c r="C862" s="286"/>
      <c r="D862" s="286"/>
      <c r="E862" s="286"/>
      <c r="F862" s="287"/>
      <c r="G862" s="286"/>
      <c r="H862" s="287"/>
      <c r="I862" s="288"/>
      <c r="J862" s="289"/>
      <c r="K862" s="288"/>
      <c r="L862" s="289"/>
      <c r="M862" s="287"/>
      <c r="N862" s="286"/>
      <c r="O862" s="286"/>
      <c r="P862" s="291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</row>
    <row r="863" ht="13.5" customHeight="1">
      <c r="A863" s="286"/>
      <c r="B863" s="286"/>
      <c r="C863" s="286"/>
      <c r="D863" s="286"/>
      <c r="E863" s="286"/>
      <c r="F863" s="287"/>
      <c r="G863" s="286"/>
      <c r="H863" s="287"/>
      <c r="I863" s="288"/>
      <c r="J863" s="289"/>
      <c r="K863" s="288"/>
      <c r="L863" s="289"/>
      <c r="M863" s="287"/>
      <c r="N863" s="286"/>
      <c r="O863" s="286"/>
      <c r="P863" s="291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</row>
    <row r="864" ht="13.5" customHeight="1">
      <c r="A864" s="286"/>
      <c r="B864" s="286"/>
      <c r="C864" s="286"/>
      <c r="D864" s="286"/>
      <c r="E864" s="286"/>
      <c r="F864" s="287"/>
      <c r="G864" s="286"/>
      <c r="H864" s="287"/>
      <c r="I864" s="288"/>
      <c r="J864" s="289"/>
      <c r="K864" s="288"/>
      <c r="L864" s="289"/>
      <c r="M864" s="287"/>
      <c r="N864" s="286"/>
      <c r="O864" s="286"/>
      <c r="P864" s="291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</row>
    <row r="865" ht="13.5" customHeight="1">
      <c r="A865" s="286"/>
      <c r="B865" s="286"/>
      <c r="C865" s="286"/>
      <c r="D865" s="286"/>
      <c r="E865" s="286"/>
      <c r="F865" s="287"/>
      <c r="G865" s="286"/>
      <c r="H865" s="287"/>
      <c r="I865" s="288"/>
      <c r="J865" s="289"/>
      <c r="K865" s="288"/>
      <c r="L865" s="289"/>
      <c r="M865" s="287"/>
      <c r="N865" s="286"/>
      <c r="O865" s="286"/>
      <c r="P865" s="291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</row>
    <row r="866" ht="13.5" customHeight="1">
      <c r="A866" s="286"/>
      <c r="B866" s="286"/>
      <c r="C866" s="286"/>
      <c r="D866" s="286"/>
      <c r="E866" s="286"/>
      <c r="F866" s="287"/>
      <c r="G866" s="286"/>
      <c r="H866" s="287"/>
      <c r="I866" s="288"/>
      <c r="J866" s="289"/>
      <c r="K866" s="288"/>
      <c r="L866" s="289"/>
      <c r="M866" s="287"/>
      <c r="N866" s="286"/>
      <c r="O866" s="286"/>
      <c r="P866" s="291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</row>
    <row r="867" ht="13.5" customHeight="1">
      <c r="A867" s="286"/>
      <c r="B867" s="286"/>
      <c r="C867" s="286"/>
      <c r="D867" s="286"/>
      <c r="E867" s="286"/>
      <c r="F867" s="287"/>
      <c r="G867" s="286"/>
      <c r="H867" s="287"/>
      <c r="I867" s="288"/>
      <c r="J867" s="289"/>
      <c r="K867" s="288"/>
      <c r="L867" s="289"/>
      <c r="M867" s="287"/>
      <c r="N867" s="286"/>
      <c r="O867" s="286"/>
      <c r="P867" s="291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</row>
    <row r="868" ht="13.5" customHeight="1">
      <c r="A868" s="286"/>
      <c r="B868" s="286"/>
      <c r="C868" s="286"/>
      <c r="D868" s="286"/>
      <c r="E868" s="286"/>
      <c r="F868" s="287"/>
      <c r="G868" s="286"/>
      <c r="H868" s="287"/>
      <c r="I868" s="288"/>
      <c r="J868" s="289"/>
      <c r="K868" s="288"/>
      <c r="L868" s="289"/>
      <c r="M868" s="287"/>
      <c r="N868" s="286"/>
      <c r="O868" s="286"/>
      <c r="P868" s="291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</row>
    <row r="869" ht="13.5" customHeight="1">
      <c r="A869" s="286"/>
      <c r="B869" s="286"/>
      <c r="C869" s="286"/>
      <c r="D869" s="286"/>
      <c r="E869" s="286"/>
      <c r="F869" s="287"/>
      <c r="G869" s="286"/>
      <c r="H869" s="287"/>
      <c r="I869" s="288"/>
      <c r="J869" s="289"/>
      <c r="K869" s="288"/>
      <c r="L869" s="289"/>
      <c r="M869" s="287"/>
      <c r="N869" s="286"/>
      <c r="O869" s="286"/>
      <c r="P869" s="291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</row>
    <row r="870" ht="13.5" customHeight="1">
      <c r="A870" s="286"/>
      <c r="B870" s="286"/>
      <c r="C870" s="286"/>
      <c r="D870" s="286"/>
      <c r="E870" s="286"/>
      <c r="F870" s="287"/>
      <c r="G870" s="286"/>
      <c r="H870" s="287"/>
      <c r="I870" s="288"/>
      <c r="J870" s="289"/>
      <c r="K870" s="288"/>
      <c r="L870" s="289"/>
      <c r="M870" s="287"/>
      <c r="N870" s="286"/>
      <c r="O870" s="286"/>
      <c r="P870" s="291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</row>
    <row r="871" ht="13.5" customHeight="1">
      <c r="A871" s="286"/>
      <c r="B871" s="286"/>
      <c r="C871" s="286"/>
      <c r="D871" s="286"/>
      <c r="E871" s="286"/>
      <c r="F871" s="287"/>
      <c r="G871" s="286"/>
      <c r="H871" s="287"/>
      <c r="I871" s="288"/>
      <c r="J871" s="289"/>
      <c r="K871" s="288"/>
      <c r="L871" s="289"/>
      <c r="M871" s="287"/>
      <c r="N871" s="286"/>
      <c r="O871" s="286"/>
      <c r="P871" s="291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</row>
    <row r="872" ht="13.5" customHeight="1">
      <c r="A872" s="286"/>
      <c r="B872" s="286"/>
      <c r="C872" s="286"/>
      <c r="D872" s="286"/>
      <c r="E872" s="286"/>
      <c r="F872" s="287"/>
      <c r="G872" s="286"/>
      <c r="H872" s="287"/>
      <c r="I872" s="288"/>
      <c r="J872" s="289"/>
      <c r="K872" s="288"/>
      <c r="L872" s="289"/>
      <c r="M872" s="287"/>
      <c r="N872" s="286"/>
      <c r="O872" s="286"/>
      <c r="P872" s="291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</row>
    <row r="873" ht="13.5" customHeight="1">
      <c r="A873" s="286"/>
      <c r="B873" s="286"/>
      <c r="C873" s="286"/>
      <c r="D873" s="286"/>
      <c r="E873" s="286"/>
      <c r="F873" s="287"/>
      <c r="G873" s="286"/>
      <c r="H873" s="287"/>
      <c r="I873" s="288"/>
      <c r="J873" s="289"/>
      <c r="K873" s="288"/>
      <c r="L873" s="289"/>
      <c r="M873" s="287"/>
      <c r="N873" s="286"/>
      <c r="O873" s="286"/>
      <c r="P873" s="291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</row>
    <row r="874" ht="13.5" customHeight="1">
      <c r="A874" s="286"/>
      <c r="B874" s="286"/>
      <c r="C874" s="286"/>
      <c r="D874" s="286"/>
      <c r="E874" s="286"/>
      <c r="F874" s="287"/>
      <c r="G874" s="286"/>
      <c r="H874" s="287"/>
      <c r="I874" s="288"/>
      <c r="J874" s="289"/>
      <c r="K874" s="288"/>
      <c r="L874" s="289"/>
      <c r="M874" s="287"/>
      <c r="N874" s="286"/>
      <c r="O874" s="286"/>
      <c r="P874" s="291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</row>
    <row r="875" ht="13.5" customHeight="1">
      <c r="A875" s="286"/>
      <c r="B875" s="286"/>
      <c r="C875" s="286"/>
      <c r="D875" s="286"/>
      <c r="E875" s="286"/>
      <c r="F875" s="287"/>
      <c r="G875" s="286"/>
      <c r="H875" s="287"/>
      <c r="I875" s="288"/>
      <c r="J875" s="289"/>
      <c r="K875" s="288"/>
      <c r="L875" s="289"/>
      <c r="M875" s="287"/>
      <c r="N875" s="286"/>
      <c r="O875" s="286"/>
      <c r="P875" s="291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</row>
    <row r="876" ht="13.5" customHeight="1">
      <c r="A876" s="286"/>
      <c r="B876" s="286"/>
      <c r="C876" s="286"/>
      <c r="D876" s="286"/>
      <c r="E876" s="286"/>
      <c r="F876" s="287"/>
      <c r="G876" s="286"/>
      <c r="H876" s="287"/>
      <c r="I876" s="288"/>
      <c r="J876" s="289"/>
      <c r="K876" s="288"/>
      <c r="L876" s="289"/>
      <c r="M876" s="287"/>
      <c r="N876" s="286"/>
      <c r="O876" s="286"/>
      <c r="P876" s="291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</row>
    <row r="877" ht="13.5" customHeight="1">
      <c r="A877" s="286"/>
      <c r="B877" s="286"/>
      <c r="C877" s="286"/>
      <c r="D877" s="286"/>
      <c r="E877" s="286"/>
      <c r="F877" s="287"/>
      <c r="G877" s="286"/>
      <c r="H877" s="287"/>
      <c r="I877" s="288"/>
      <c r="J877" s="289"/>
      <c r="K877" s="288"/>
      <c r="L877" s="289"/>
      <c r="M877" s="287"/>
      <c r="N877" s="286"/>
      <c r="O877" s="286"/>
      <c r="P877" s="291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</row>
    <row r="878" ht="13.5" customHeight="1">
      <c r="A878" s="286"/>
      <c r="B878" s="286"/>
      <c r="C878" s="286"/>
      <c r="D878" s="286"/>
      <c r="E878" s="286"/>
      <c r="F878" s="287"/>
      <c r="G878" s="286"/>
      <c r="H878" s="287"/>
      <c r="I878" s="288"/>
      <c r="J878" s="289"/>
      <c r="K878" s="288"/>
      <c r="L878" s="289"/>
      <c r="M878" s="287"/>
      <c r="N878" s="286"/>
      <c r="O878" s="286"/>
      <c r="P878" s="291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</row>
    <row r="879" ht="13.5" customHeight="1">
      <c r="A879" s="286"/>
      <c r="B879" s="286"/>
      <c r="C879" s="286"/>
      <c r="D879" s="286"/>
      <c r="E879" s="286"/>
      <c r="F879" s="287"/>
      <c r="G879" s="286"/>
      <c r="H879" s="287"/>
      <c r="I879" s="288"/>
      <c r="J879" s="289"/>
      <c r="K879" s="288"/>
      <c r="L879" s="289"/>
      <c r="M879" s="287"/>
      <c r="N879" s="286"/>
      <c r="O879" s="286"/>
      <c r="P879" s="291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</row>
    <row r="880" ht="13.5" customHeight="1">
      <c r="A880" s="286"/>
      <c r="B880" s="286"/>
      <c r="C880" s="286"/>
      <c r="D880" s="286"/>
      <c r="E880" s="286"/>
      <c r="F880" s="287"/>
      <c r="G880" s="286"/>
      <c r="H880" s="287"/>
      <c r="I880" s="288"/>
      <c r="J880" s="289"/>
      <c r="K880" s="288"/>
      <c r="L880" s="289"/>
      <c r="M880" s="287"/>
      <c r="N880" s="286"/>
      <c r="O880" s="286"/>
      <c r="P880" s="291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</row>
    <row r="881" ht="13.5" customHeight="1">
      <c r="A881" s="286"/>
      <c r="B881" s="286"/>
      <c r="C881" s="286"/>
      <c r="D881" s="286"/>
      <c r="E881" s="286"/>
      <c r="F881" s="287"/>
      <c r="G881" s="286"/>
      <c r="H881" s="287"/>
      <c r="I881" s="288"/>
      <c r="J881" s="289"/>
      <c r="K881" s="288"/>
      <c r="L881" s="289"/>
      <c r="M881" s="287"/>
      <c r="N881" s="286"/>
      <c r="O881" s="286"/>
      <c r="P881" s="291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</row>
    <row r="882" ht="13.5" customHeight="1">
      <c r="A882" s="286"/>
      <c r="B882" s="286"/>
      <c r="C882" s="286"/>
      <c r="D882" s="286"/>
      <c r="E882" s="286"/>
      <c r="F882" s="287"/>
      <c r="G882" s="286"/>
      <c r="H882" s="287"/>
      <c r="I882" s="288"/>
      <c r="J882" s="289"/>
      <c r="K882" s="288"/>
      <c r="L882" s="289"/>
      <c r="M882" s="287"/>
      <c r="N882" s="286"/>
      <c r="O882" s="286"/>
      <c r="P882" s="291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</row>
    <row r="883" ht="13.5" customHeight="1">
      <c r="A883" s="286"/>
      <c r="B883" s="286"/>
      <c r="C883" s="286"/>
      <c r="D883" s="286"/>
      <c r="E883" s="286"/>
      <c r="F883" s="287"/>
      <c r="G883" s="286"/>
      <c r="H883" s="287"/>
      <c r="I883" s="288"/>
      <c r="J883" s="289"/>
      <c r="K883" s="288"/>
      <c r="L883" s="289"/>
      <c r="M883" s="287"/>
      <c r="N883" s="286"/>
      <c r="O883" s="286"/>
      <c r="P883" s="291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</row>
    <row r="884" ht="13.5" customHeight="1">
      <c r="A884" s="286"/>
      <c r="B884" s="286"/>
      <c r="C884" s="286"/>
      <c r="D884" s="286"/>
      <c r="E884" s="286"/>
      <c r="F884" s="287"/>
      <c r="G884" s="286"/>
      <c r="H884" s="287"/>
      <c r="I884" s="288"/>
      <c r="J884" s="289"/>
      <c r="K884" s="288"/>
      <c r="L884" s="289"/>
      <c r="M884" s="287"/>
      <c r="N884" s="286"/>
      <c r="O884" s="286"/>
      <c r="P884" s="291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</row>
    <row r="885" ht="13.5" customHeight="1">
      <c r="A885" s="286"/>
      <c r="B885" s="286"/>
      <c r="C885" s="286"/>
      <c r="D885" s="286"/>
      <c r="E885" s="286"/>
      <c r="F885" s="287"/>
      <c r="G885" s="286"/>
      <c r="H885" s="287"/>
      <c r="I885" s="288"/>
      <c r="J885" s="289"/>
      <c r="K885" s="288"/>
      <c r="L885" s="289"/>
      <c r="M885" s="287"/>
      <c r="N885" s="286"/>
      <c r="O885" s="286"/>
      <c r="P885" s="291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</row>
    <row r="886" ht="13.5" customHeight="1">
      <c r="A886" s="286"/>
      <c r="B886" s="286"/>
      <c r="C886" s="286"/>
      <c r="D886" s="286"/>
      <c r="E886" s="286"/>
      <c r="F886" s="287"/>
      <c r="G886" s="286"/>
      <c r="H886" s="287"/>
      <c r="I886" s="288"/>
      <c r="J886" s="289"/>
      <c r="K886" s="288"/>
      <c r="L886" s="289"/>
      <c r="M886" s="287"/>
      <c r="N886" s="286"/>
      <c r="O886" s="286"/>
      <c r="P886" s="291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</row>
    <row r="887" ht="13.5" customHeight="1">
      <c r="A887" s="286"/>
      <c r="B887" s="286"/>
      <c r="C887" s="286"/>
      <c r="D887" s="286"/>
      <c r="E887" s="286"/>
      <c r="F887" s="287"/>
      <c r="G887" s="286"/>
      <c r="H887" s="287"/>
      <c r="I887" s="288"/>
      <c r="J887" s="289"/>
      <c r="K887" s="288"/>
      <c r="L887" s="289"/>
      <c r="M887" s="287"/>
      <c r="N887" s="286"/>
      <c r="O887" s="286"/>
      <c r="P887" s="291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</row>
    <row r="888" ht="13.5" customHeight="1">
      <c r="A888" s="286"/>
      <c r="B888" s="286"/>
      <c r="C888" s="286"/>
      <c r="D888" s="286"/>
      <c r="E888" s="286"/>
      <c r="F888" s="287"/>
      <c r="G888" s="286"/>
      <c r="H888" s="287"/>
      <c r="I888" s="288"/>
      <c r="J888" s="289"/>
      <c r="K888" s="288"/>
      <c r="L888" s="289"/>
      <c r="M888" s="287"/>
      <c r="N888" s="286"/>
      <c r="O888" s="286"/>
      <c r="P888" s="291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</row>
    <row r="889" ht="13.5" customHeight="1">
      <c r="A889" s="286"/>
      <c r="B889" s="286"/>
      <c r="C889" s="286"/>
      <c r="D889" s="286"/>
      <c r="E889" s="286"/>
      <c r="F889" s="287"/>
      <c r="G889" s="286"/>
      <c r="H889" s="287"/>
      <c r="I889" s="288"/>
      <c r="J889" s="289"/>
      <c r="K889" s="288"/>
      <c r="L889" s="289"/>
      <c r="M889" s="287"/>
      <c r="N889" s="286"/>
      <c r="O889" s="286"/>
      <c r="P889" s="291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</row>
    <row r="890" ht="13.5" customHeight="1">
      <c r="A890" s="286"/>
      <c r="B890" s="286"/>
      <c r="C890" s="286"/>
      <c r="D890" s="286"/>
      <c r="E890" s="286"/>
      <c r="F890" s="287"/>
      <c r="G890" s="286"/>
      <c r="H890" s="287"/>
      <c r="I890" s="288"/>
      <c r="J890" s="289"/>
      <c r="K890" s="288"/>
      <c r="L890" s="289"/>
      <c r="M890" s="287"/>
      <c r="N890" s="286"/>
      <c r="O890" s="286"/>
      <c r="P890" s="291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</row>
    <row r="891" ht="13.5" customHeight="1">
      <c r="A891" s="286"/>
      <c r="B891" s="286"/>
      <c r="C891" s="286"/>
      <c r="D891" s="286"/>
      <c r="E891" s="286"/>
      <c r="F891" s="287"/>
      <c r="G891" s="286"/>
      <c r="H891" s="287"/>
      <c r="I891" s="288"/>
      <c r="J891" s="289"/>
      <c r="K891" s="288"/>
      <c r="L891" s="289"/>
      <c r="M891" s="287"/>
      <c r="N891" s="286"/>
      <c r="O891" s="286"/>
      <c r="P891" s="291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</row>
    <row r="892" ht="13.5" customHeight="1">
      <c r="A892" s="286"/>
      <c r="B892" s="286"/>
      <c r="C892" s="286"/>
      <c r="D892" s="286"/>
      <c r="E892" s="286"/>
      <c r="F892" s="287"/>
      <c r="G892" s="286"/>
      <c r="H892" s="287"/>
      <c r="I892" s="288"/>
      <c r="J892" s="289"/>
      <c r="K892" s="288"/>
      <c r="L892" s="289"/>
      <c r="M892" s="287"/>
      <c r="N892" s="286"/>
      <c r="O892" s="286"/>
      <c r="P892" s="291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</row>
    <row r="893" ht="13.5" customHeight="1">
      <c r="A893" s="286"/>
      <c r="B893" s="286"/>
      <c r="C893" s="286"/>
      <c r="D893" s="286"/>
      <c r="E893" s="286"/>
      <c r="F893" s="287"/>
      <c r="G893" s="286"/>
      <c r="H893" s="287"/>
      <c r="I893" s="288"/>
      <c r="J893" s="289"/>
      <c r="K893" s="288"/>
      <c r="L893" s="289"/>
      <c r="M893" s="287"/>
      <c r="N893" s="286"/>
      <c r="O893" s="286"/>
      <c r="P893" s="291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</row>
    <row r="894" ht="13.5" customHeight="1">
      <c r="A894" s="286"/>
      <c r="B894" s="286"/>
      <c r="C894" s="286"/>
      <c r="D894" s="286"/>
      <c r="E894" s="286"/>
      <c r="F894" s="287"/>
      <c r="G894" s="286"/>
      <c r="H894" s="287"/>
      <c r="I894" s="288"/>
      <c r="J894" s="289"/>
      <c r="K894" s="288"/>
      <c r="L894" s="289"/>
      <c r="M894" s="287"/>
      <c r="N894" s="286"/>
      <c r="O894" s="286"/>
      <c r="P894" s="291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</row>
    <row r="895" ht="13.5" customHeight="1">
      <c r="A895" s="286"/>
      <c r="B895" s="286"/>
      <c r="C895" s="286"/>
      <c r="D895" s="286"/>
      <c r="E895" s="286"/>
      <c r="F895" s="287"/>
      <c r="G895" s="286"/>
      <c r="H895" s="287"/>
      <c r="I895" s="288"/>
      <c r="J895" s="289"/>
      <c r="K895" s="288"/>
      <c r="L895" s="289"/>
      <c r="M895" s="287"/>
      <c r="N895" s="286"/>
      <c r="O895" s="286"/>
      <c r="P895" s="291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</row>
    <row r="896" ht="13.5" customHeight="1">
      <c r="A896" s="286"/>
      <c r="B896" s="286"/>
      <c r="C896" s="286"/>
      <c r="D896" s="286"/>
      <c r="E896" s="286"/>
      <c r="F896" s="287"/>
      <c r="G896" s="286"/>
      <c r="H896" s="287"/>
      <c r="I896" s="288"/>
      <c r="J896" s="289"/>
      <c r="K896" s="288"/>
      <c r="L896" s="289"/>
      <c r="M896" s="287"/>
      <c r="N896" s="286"/>
      <c r="O896" s="286"/>
      <c r="P896" s="291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</row>
    <row r="897" ht="13.5" customHeight="1">
      <c r="A897" s="286"/>
      <c r="B897" s="286"/>
      <c r="C897" s="286"/>
      <c r="D897" s="286"/>
      <c r="E897" s="286"/>
      <c r="F897" s="287"/>
      <c r="G897" s="286"/>
      <c r="H897" s="287"/>
      <c r="I897" s="288"/>
      <c r="J897" s="289"/>
      <c r="K897" s="288"/>
      <c r="L897" s="289"/>
      <c r="M897" s="287"/>
      <c r="N897" s="286"/>
      <c r="O897" s="286"/>
      <c r="P897" s="291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</row>
    <row r="898" ht="13.5" customHeight="1">
      <c r="A898" s="286"/>
      <c r="B898" s="286"/>
      <c r="C898" s="286"/>
      <c r="D898" s="286"/>
      <c r="E898" s="286"/>
      <c r="F898" s="287"/>
      <c r="G898" s="286"/>
      <c r="H898" s="287"/>
      <c r="I898" s="288"/>
      <c r="J898" s="289"/>
      <c r="K898" s="288"/>
      <c r="L898" s="289"/>
      <c r="M898" s="287"/>
      <c r="N898" s="286"/>
      <c r="O898" s="286"/>
      <c r="P898" s="291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</row>
    <row r="899" ht="13.5" customHeight="1">
      <c r="A899" s="286"/>
      <c r="B899" s="286"/>
      <c r="C899" s="286"/>
      <c r="D899" s="286"/>
      <c r="E899" s="286"/>
      <c r="F899" s="287"/>
      <c r="G899" s="286"/>
      <c r="H899" s="287"/>
      <c r="I899" s="288"/>
      <c r="J899" s="289"/>
      <c r="K899" s="288"/>
      <c r="L899" s="289"/>
      <c r="M899" s="287"/>
      <c r="N899" s="286"/>
      <c r="O899" s="286"/>
      <c r="P899" s="291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</row>
    <row r="900" ht="13.5" customHeight="1">
      <c r="A900" s="286"/>
      <c r="B900" s="286"/>
      <c r="C900" s="286"/>
      <c r="D900" s="286"/>
      <c r="E900" s="286"/>
      <c r="F900" s="287"/>
      <c r="G900" s="286"/>
      <c r="H900" s="287"/>
      <c r="I900" s="288"/>
      <c r="J900" s="289"/>
      <c r="K900" s="288"/>
      <c r="L900" s="289"/>
      <c r="M900" s="287"/>
      <c r="N900" s="286"/>
      <c r="O900" s="286"/>
      <c r="P900" s="291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</row>
    <row r="901" ht="13.5" customHeight="1">
      <c r="A901" s="286"/>
      <c r="B901" s="286"/>
      <c r="C901" s="286"/>
      <c r="D901" s="286"/>
      <c r="E901" s="286"/>
      <c r="F901" s="287"/>
      <c r="G901" s="286"/>
      <c r="H901" s="287"/>
      <c r="I901" s="288"/>
      <c r="J901" s="289"/>
      <c r="K901" s="288"/>
      <c r="L901" s="289"/>
      <c r="M901" s="287"/>
      <c r="N901" s="286"/>
      <c r="O901" s="286"/>
      <c r="P901" s="291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</row>
    <row r="902" ht="13.5" customHeight="1">
      <c r="A902" s="286"/>
      <c r="B902" s="286"/>
      <c r="C902" s="286"/>
      <c r="D902" s="286"/>
      <c r="E902" s="286"/>
      <c r="F902" s="287"/>
      <c r="G902" s="286"/>
      <c r="H902" s="287"/>
      <c r="I902" s="288"/>
      <c r="J902" s="289"/>
      <c r="K902" s="288"/>
      <c r="L902" s="289"/>
      <c r="M902" s="287"/>
      <c r="N902" s="286"/>
      <c r="O902" s="286"/>
      <c r="P902" s="291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</row>
    <row r="903" ht="13.5" customHeight="1">
      <c r="A903" s="286"/>
      <c r="B903" s="286"/>
      <c r="C903" s="286"/>
      <c r="D903" s="286"/>
      <c r="E903" s="286"/>
      <c r="F903" s="287"/>
      <c r="G903" s="286"/>
      <c r="H903" s="287"/>
      <c r="I903" s="288"/>
      <c r="J903" s="289"/>
      <c r="K903" s="288"/>
      <c r="L903" s="289"/>
      <c r="M903" s="287"/>
      <c r="N903" s="286"/>
      <c r="O903" s="286"/>
      <c r="P903" s="291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</row>
    <row r="904" ht="13.5" customHeight="1">
      <c r="A904" s="286"/>
      <c r="B904" s="286"/>
      <c r="C904" s="286"/>
      <c r="D904" s="286"/>
      <c r="E904" s="286"/>
      <c r="F904" s="287"/>
      <c r="G904" s="286"/>
      <c r="H904" s="287"/>
      <c r="I904" s="288"/>
      <c r="J904" s="289"/>
      <c r="K904" s="288"/>
      <c r="L904" s="289"/>
      <c r="M904" s="287"/>
      <c r="N904" s="286"/>
      <c r="O904" s="286"/>
      <c r="P904" s="291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</row>
    <row r="905" ht="13.5" customHeight="1">
      <c r="A905" s="286"/>
      <c r="B905" s="286"/>
      <c r="C905" s="286"/>
      <c r="D905" s="286"/>
      <c r="E905" s="286"/>
      <c r="F905" s="287"/>
      <c r="G905" s="286"/>
      <c r="H905" s="287"/>
      <c r="I905" s="288"/>
      <c r="J905" s="289"/>
      <c r="K905" s="288"/>
      <c r="L905" s="289"/>
      <c r="M905" s="287"/>
      <c r="N905" s="286"/>
      <c r="O905" s="286"/>
      <c r="P905" s="291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</row>
    <row r="906" ht="13.5" customHeight="1">
      <c r="A906" s="286"/>
      <c r="B906" s="286"/>
      <c r="C906" s="286"/>
      <c r="D906" s="286"/>
      <c r="E906" s="286"/>
      <c r="F906" s="287"/>
      <c r="G906" s="286"/>
      <c r="H906" s="287"/>
      <c r="I906" s="288"/>
      <c r="J906" s="289"/>
      <c r="K906" s="288"/>
      <c r="L906" s="289"/>
      <c r="M906" s="287"/>
      <c r="N906" s="286"/>
      <c r="O906" s="286"/>
      <c r="P906" s="291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</row>
    <row r="907" ht="13.5" customHeight="1">
      <c r="A907" s="286"/>
      <c r="B907" s="286"/>
      <c r="C907" s="286"/>
      <c r="D907" s="286"/>
      <c r="E907" s="286"/>
      <c r="F907" s="287"/>
      <c r="G907" s="286"/>
      <c r="H907" s="287"/>
      <c r="I907" s="288"/>
      <c r="J907" s="289"/>
      <c r="K907" s="288"/>
      <c r="L907" s="289"/>
      <c r="M907" s="287"/>
      <c r="N907" s="286"/>
      <c r="O907" s="286"/>
      <c r="P907" s="291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</row>
    <row r="908" ht="13.5" customHeight="1">
      <c r="A908" s="286"/>
      <c r="B908" s="286"/>
      <c r="C908" s="286"/>
      <c r="D908" s="286"/>
      <c r="E908" s="286"/>
      <c r="F908" s="287"/>
      <c r="G908" s="286"/>
      <c r="H908" s="287"/>
      <c r="I908" s="288"/>
      <c r="J908" s="289"/>
      <c r="K908" s="288"/>
      <c r="L908" s="289"/>
      <c r="M908" s="287"/>
      <c r="N908" s="286"/>
      <c r="O908" s="286"/>
      <c r="P908" s="291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</row>
    <row r="909" ht="13.5" customHeight="1">
      <c r="A909" s="286"/>
      <c r="B909" s="286"/>
      <c r="C909" s="286"/>
      <c r="D909" s="286"/>
      <c r="E909" s="286"/>
      <c r="F909" s="287"/>
      <c r="G909" s="286"/>
      <c r="H909" s="287"/>
      <c r="I909" s="288"/>
      <c r="J909" s="289"/>
      <c r="K909" s="288"/>
      <c r="L909" s="289"/>
      <c r="M909" s="287"/>
      <c r="N909" s="286"/>
      <c r="O909" s="286"/>
      <c r="P909" s="291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</row>
    <row r="910" ht="13.5" customHeight="1">
      <c r="A910" s="286"/>
      <c r="B910" s="286"/>
      <c r="C910" s="286"/>
      <c r="D910" s="286"/>
      <c r="E910" s="286"/>
      <c r="F910" s="287"/>
      <c r="G910" s="286"/>
      <c r="H910" s="287"/>
      <c r="I910" s="288"/>
      <c r="J910" s="289"/>
      <c r="K910" s="288"/>
      <c r="L910" s="289"/>
      <c r="M910" s="287"/>
      <c r="N910" s="286"/>
      <c r="O910" s="286"/>
      <c r="P910" s="291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</row>
    <row r="911" ht="13.5" customHeight="1">
      <c r="A911" s="286"/>
      <c r="B911" s="286"/>
      <c r="C911" s="286"/>
      <c r="D911" s="286"/>
      <c r="E911" s="286"/>
      <c r="F911" s="287"/>
      <c r="G911" s="286"/>
      <c r="H911" s="287"/>
      <c r="I911" s="288"/>
      <c r="J911" s="289"/>
      <c r="K911" s="288"/>
      <c r="L911" s="289"/>
      <c r="M911" s="287"/>
      <c r="N911" s="286"/>
      <c r="O911" s="286"/>
      <c r="P911" s="291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</row>
    <row r="912" ht="13.5" customHeight="1">
      <c r="A912" s="286"/>
      <c r="B912" s="286"/>
      <c r="C912" s="286"/>
      <c r="D912" s="286"/>
      <c r="E912" s="286"/>
      <c r="F912" s="287"/>
      <c r="G912" s="286"/>
      <c r="H912" s="287"/>
      <c r="I912" s="288"/>
      <c r="J912" s="289"/>
      <c r="K912" s="288"/>
      <c r="L912" s="289"/>
      <c r="M912" s="287"/>
      <c r="N912" s="286"/>
      <c r="O912" s="286"/>
      <c r="P912" s="291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</row>
    <row r="913" ht="13.5" customHeight="1">
      <c r="A913" s="286"/>
      <c r="B913" s="286"/>
      <c r="C913" s="286"/>
      <c r="D913" s="286"/>
      <c r="E913" s="286"/>
      <c r="F913" s="287"/>
      <c r="G913" s="286"/>
      <c r="H913" s="287"/>
      <c r="I913" s="288"/>
      <c r="J913" s="289"/>
      <c r="K913" s="288"/>
      <c r="L913" s="289"/>
      <c r="M913" s="287"/>
      <c r="N913" s="286"/>
      <c r="O913" s="286"/>
      <c r="P913" s="291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</row>
    <row r="914" ht="13.5" customHeight="1">
      <c r="A914" s="286"/>
      <c r="B914" s="286"/>
      <c r="C914" s="286"/>
      <c r="D914" s="286"/>
      <c r="E914" s="286"/>
      <c r="F914" s="287"/>
      <c r="G914" s="286"/>
      <c r="H914" s="287"/>
      <c r="I914" s="288"/>
      <c r="J914" s="289"/>
      <c r="K914" s="288"/>
      <c r="L914" s="289"/>
      <c r="M914" s="287"/>
      <c r="N914" s="286"/>
      <c r="O914" s="286"/>
      <c r="P914" s="291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</row>
    <row r="915" ht="13.5" customHeight="1">
      <c r="A915" s="286"/>
      <c r="B915" s="286"/>
      <c r="C915" s="286"/>
      <c r="D915" s="286"/>
      <c r="E915" s="286"/>
      <c r="F915" s="287"/>
      <c r="G915" s="286"/>
      <c r="H915" s="287"/>
      <c r="I915" s="288"/>
      <c r="J915" s="289"/>
      <c r="K915" s="288"/>
      <c r="L915" s="289"/>
      <c r="M915" s="287"/>
      <c r="N915" s="286"/>
      <c r="O915" s="286"/>
      <c r="P915" s="291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</row>
    <row r="916" ht="13.5" customHeight="1">
      <c r="A916" s="286"/>
      <c r="B916" s="286"/>
      <c r="C916" s="286"/>
      <c r="D916" s="286"/>
      <c r="E916" s="286"/>
      <c r="F916" s="287"/>
      <c r="G916" s="286"/>
      <c r="H916" s="287"/>
      <c r="I916" s="288"/>
      <c r="J916" s="289"/>
      <c r="K916" s="288"/>
      <c r="L916" s="289"/>
      <c r="M916" s="287"/>
      <c r="N916" s="286"/>
      <c r="O916" s="286"/>
      <c r="P916" s="291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</row>
    <row r="917" ht="13.5" customHeight="1">
      <c r="A917" s="286"/>
      <c r="B917" s="286"/>
      <c r="C917" s="286"/>
      <c r="D917" s="286"/>
      <c r="E917" s="286"/>
      <c r="F917" s="287"/>
      <c r="G917" s="286"/>
      <c r="H917" s="287"/>
      <c r="I917" s="288"/>
      <c r="J917" s="289"/>
      <c r="K917" s="288"/>
      <c r="L917" s="289"/>
      <c r="M917" s="287"/>
      <c r="N917" s="286"/>
      <c r="O917" s="286"/>
      <c r="P917" s="291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</row>
    <row r="918" ht="13.5" customHeight="1">
      <c r="A918" s="286"/>
      <c r="B918" s="286"/>
      <c r="C918" s="286"/>
      <c r="D918" s="286"/>
      <c r="E918" s="286"/>
      <c r="F918" s="287"/>
      <c r="G918" s="286"/>
      <c r="H918" s="287"/>
      <c r="I918" s="288"/>
      <c r="J918" s="289"/>
      <c r="K918" s="288"/>
      <c r="L918" s="289"/>
      <c r="M918" s="287"/>
      <c r="N918" s="286"/>
      <c r="O918" s="286"/>
      <c r="P918" s="291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</row>
    <row r="919" ht="13.5" customHeight="1">
      <c r="A919" s="286"/>
      <c r="B919" s="286"/>
      <c r="C919" s="286"/>
      <c r="D919" s="286"/>
      <c r="E919" s="286"/>
      <c r="F919" s="287"/>
      <c r="G919" s="286"/>
      <c r="H919" s="287"/>
      <c r="I919" s="288"/>
      <c r="J919" s="289"/>
      <c r="K919" s="288"/>
      <c r="L919" s="289"/>
      <c r="M919" s="287"/>
      <c r="N919" s="286"/>
      <c r="O919" s="286"/>
      <c r="P919" s="291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</row>
    <row r="920" ht="13.5" customHeight="1">
      <c r="A920" s="286"/>
      <c r="B920" s="286"/>
      <c r="C920" s="286"/>
      <c r="D920" s="286"/>
      <c r="E920" s="286"/>
      <c r="F920" s="287"/>
      <c r="G920" s="286"/>
      <c r="H920" s="287"/>
      <c r="I920" s="288"/>
      <c r="J920" s="289"/>
      <c r="K920" s="288"/>
      <c r="L920" s="289"/>
      <c r="M920" s="287"/>
      <c r="N920" s="286"/>
      <c r="O920" s="286"/>
      <c r="P920" s="291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</row>
    <row r="921" ht="13.5" customHeight="1">
      <c r="A921" s="286"/>
      <c r="B921" s="286"/>
      <c r="C921" s="286"/>
      <c r="D921" s="286"/>
      <c r="E921" s="286"/>
      <c r="F921" s="287"/>
      <c r="G921" s="286"/>
      <c r="H921" s="287"/>
      <c r="I921" s="288"/>
      <c r="J921" s="289"/>
      <c r="K921" s="288"/>
      <c r="L921" s="289"/>
      <c r="M921" s="287"/>
      <c r="N921" s="286"/>
      <c r="O921" s="286"/>
      <c r="P921" s="291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</row>
    <row r="922" ht="13.5" customHeight="1">
      <c r="A922" s="286"/>
      <c r="B922" s="286"/>
      <c r="C922" s="286"/>
      <c r="D922" s="286"/>
      <c r="E922" s="286"/>
      <c r="F922" s="287"/>
      <c r="G922" s="286"/>
      <c r="H922" s="287"/>
      <c r="I922" s="288"/>
      <c r="J922" s="289"/>
      <c r="K922" s="288"/>
      <c r="L922" s="289"/>
      <c r="M922" s="287"/>
      <c r="N922" s="286"/>
      <c r="O922" s="286"/>
      <c r="P922" s="291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</row>
    <row r="923" ht="13.5" customHeight="1">
      <c r="A923" s="286"/>
      <c r="B923" s="286"/>
      <c r="C923" s="286"/>
      <c r="D923" s="286"/>
      <c r="E923" s="286"/>
      <c r="F923" s="287"/>
      <c r="G923" s="286"/>
      <c r="H923" s="287"/>
      <c r="I923" s="288"/>
      <c r="J923" s="289"/>
      <c r="K923" s="288"/>
      <c r="L923" s="289"/>
      <c r="M923" s="287"/>
      <c r="N923" s="286"/>
      <c r="O923" s="286"/>
      <c r="P923" s="291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</row>
    <row r="924" ht="13.5" customHeight="1">
      <c r="A924" s="286"/>
      <c r="B924" s="286"/>
      <c r="C924" s="286"/>
      <c r="D924" s="286"/>
      <c r="E924" s="286"/>
      <c r="F924" s="287"/>
      <c r="G924" s="286"/>
      <c r="H924" s="287"/>
      <c r="I924" s="288"/>
      <c r="J924" s="289"/>
      <c r="K924" s="288"/>
      <c r="L924" s="289"/>
      <c r="M924" s="287"/>
      <c r="N924" s="286"/>
      <c r="O924" s="286"/>
      <c r="P924" s="291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</row>
    <row r="925" ht="13.5" customHeight="1">
      <c r="A925" s="286"/>
      <c r="B925" s="286"/>
      <c r="C925" s="286"/>
      <c r="D925" s="286"/>
      <c r="E925" s="286"/>
      <c r="F925" s="287"/>
      <c r="G925" s="286"/>
      <c r="H925" s="287"/>
      <c r="I925" s="288"/>
      <c r="J925" s="289"/>
      <c r="K925" s="288"/>
      <c r="L925" s="289"/>
      <c r="M925" s="287"/>
      <c r="N925" s="286"/>
      <c r="O925" s="286"/>
      <c r="P925" s="291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</row>
    <row r="926" ht="13.5" customHeight="1">
      <c r="A926" s="286"/>
      <c r="B926" s="286"/>
      <c r="C926" s="286"/>
      <c r="D926" s="286"/>
      <c r="E926" s="286"/>
      <c r="F926" s="287"/>
      <c r="G926" s="286"/>
      <c r="H926" s="287"/>
      <c r="I926" s="288"/>
      <c r="J926" s="289"/>
      <c r="K926" s="288"/>
      <c r="L926" s="289"/>
      <c r="M926" s="287"/>
      <c r="N926" s="286"/>
      <c r="O926" s="286"/>
      <c r="P926" s="291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</row>
    <row r="927" ht="13.5" customHeight="1">
      <c r="A927" s="286"/>
      <c r="B927" s="286"/>
      <c r="C927" s="286"/>
      <c r="D927" s="286"/>
      <c r="E927" s="286"/>
      <c r="F927" s="287"/>
      <c r="G927" s="286"/>
      <c r="H927" s="287"/>
      <c r="I927" s="288"/>
      <c r="J927" s="289"/>
      <c r="K927" s="288"/>
      <c r="L927" s="289"/>
      <c r="M927" s="287"/>
      <c r="N927" s="286"/>
      <c r="O927" s="286"/>
      <c r="P927" s="291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</row>
    <row r="928" ht="13.5" customHeight="1">
      <c r="A928" s="286"/>
      <c r="B928" s="286"/>
      <c r="C928" s="286"/>
      <c r="D928" s="286"/>
      <c r="E928" s="286"/>
      <c r="F928" s="287"/>
      <c r="G928" s="286"/>
      <c r="H928" s="287"/>
      <c r="I928" s="288"/>
      <c r="J928" s="289"/>
      <c r="K928" s="288"/>
      <c r="L928" s="289"/>
      <c r="M928" s="287"/>
      <c r="N928" s="286"/>
      <c r="O928" s="286"/>
      <c r="P928" s="291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</row>
    <row r="929" ht="13.5" customHeight="1">
      <c r="A929" s="286"/>
      <c r="B929" s="286"/>
      <c r="C929" s="286"/>
      <c r="D929" s="286"/>
      <c r="E929" s="286"/>
      <c r="F929" s="287"/>
      <c r="G929" s="286"/>
      <c r="H929" s="287"/>
      <c r="I929" s="288"/>
      <c r="J929" s="289"/>
      <c r="K929" s="288"/>
      <c r="L929" s="289"/>
      <c r="M929" s="287"/>
      <c r="N929" s="286"/>
      <c r="O929" s="286"/>
      <c r="P929" s="291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</row>
    <row r="930" ht="13.5" customHeight="1">
      <c r="A930" s="286"/>
      <c r="B930" s="286"/>
      <c r="C930" s="286"/>
      <c r="D930" s="286"/>
      <c r="E930" s="286"/>
      <c r="F930" s="287"/>
      <c r="G930" s="286"/>
      <c r="H930" s="287"/>
      <c r="I930" s="288"/>
      <c r="J930" s="289"/>
      <c r="K930" s="288"/>
      <c r="L930" s="289"/>
      <c r="M930" s="287"/>
      <c r="N930" s="286"/>
      <c r="O930" s="286"/>
      <c r="P930" s="291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</row>
    <row r="931" ht="13.5" customHeight="1">
      <c r="A931" s="286"/>
      <c r="B931" s="286"/>
      <c r="C931" s="286"/>
      <c r="D931" s="286"/>
      <c r="E931" s="286"/>
      <c r="F931" s="287"/>
      <c r="G931" s="286"/>
      <c r="H931" s="287"/>
      <c r="I931" s="288"/>
      <c r="J931" s="289"/>
      <c r="K931" s="288"/>
      <c r="L931" s="289"/>
      <c r="M931" s="287"/>
      <c r="N931" s="286"/>
      <c r="O931" s="286"/>
      <c r="P931" s="291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</row>
    <row r="932" ht="13.5" customHeight="1">
      <c r="A932" s="286"/>
      <c r="B932" s="286"/>
      <c r="C932" s="286"/>
      <c r="D932" s="286"/>
      <c r="E932" s="286"/>
      <c r="F932" s="287"/>
      <c r="G932" s="286"/>
      <c r="H932" s="287"/>
      <c r="I932" s="288"/>
      <c r="J932" s="289"/>
      <c r="K932" s="288"/>
      <c r="L932" s="289"/>
      <c r="M932" s="287"/>
      <c r="N932" s="286"/>
      <c r="O932" s="286"/>
      <c r="P932" s="291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</row>
    <row r="933" ht="13.5" customHeight="1">
      <c r="A933" s="286"/>
      <c r="B933" s="286"/>
      <c r="C933" s="286"/>
      <c r="D933" s="286"/>
      <c r="E933" s="286"/>
      <c r="F933" s="287"/>
      <c r="G933" s="286"/>
      <c r="H933" s="287"/>
      <c r="I933" s="288"/>
      <c r="J933" s="289"/>
      <c r="K933" s="288"/>
      <c r="L933" s="289"/>
      <c r="M933" s="287"/>
      <c r="N933" s="286"/>
      <c r="O933" s="286"/>
      <c r="P933" s="291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</row>
    <row r="934" ht="13.5" customHeight="1">
      <c r="A934" s="286"/>
      <c r="B934" s="286"/>
      <c r="C934" s="286"/>
      <c r="D934" s="286"/>
      <c r="E934" s="286"/>
      <c r="F934" s="287"/>
      <c r="G934" s="286"/>
      <c r="H934" s="287"/>
      <c r="I934" s="288"/>
      <c r="J934" s="289"/>
      <c r="K934" s="288"/>
      <c r="L934" s="289"/>
      <c r="M934" s="287"/>
      <c r="N934" s="286"/>
      <c r="O934" s="286"/>
      <c r="P934" s="291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</row>
    <row r="935" ht="13.5" customHeight="1">
      <c r="A935" s="286"/>
      <c r="B935" s="286"/>
      <c r="C935" s="286"/>
      <c r="D935" s="286"/>
      <c r="E935" s="286"/>
      <c r="F935" s="287"/>
      <c r="G935" s="286"/>
      <c r="H935" s="287"/>
      <c r="I935" s="288"/>
      <c r="J935" s="289"/>
      <c r="K935" s="288"/>
      <c r="L935" s="289"/>
      <c r="M935" s="287"/>
      <c r="N935" s="286"/>
      <c r="O935" s="286"/>
      <c r="P935" s="291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</row>
    <row r="936" ht="13.5" customHeight="1">
      <c r="A936" s="286"/>
      <c r="B936" s="286"/>
      <c r="C936" s="286"/>
      <c r="D936" s="286"/>
      <c r="E936" s="286"/>
      <c r="F936" s="287"/>
      <c r="G936" s="286"/>
      <c r="H936" s="287"/>
      <c r="I936" s="288"/>
      <c r="J936" s="289"/>
      <c r="K936" s="288"/>
      <c r="L936" s="289"/>
      <c r="M936" s="287"/>
      <c r="N936" s="286"/>
      <c r="O936" s="286"/>
      <c r="P936" s="291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</row>
    <row r="937" ht="13.5" customHeight="1">
      <c r="A937" s="286"/>
      <c r="B937" s="286"/>
      <c r="C937" s="286"/>
      <c r="D937" s="286"/>
      <c r="E937" s="286"/>
      <c r="F937" s="287"/>
      <c r="G937" s="286"/>
      <c r="H937" s="287"/>
      <c r="I937" s="288"/>
      <c r="J937" s="289"/>
      <c r="K937" s="288"/>
      <c r="L937" s="289"/>
      <c r="M937" s="287"/>
      <c r="N937" s="286"/>
      <c r="O937" s="286"/>
      <c r="P937" s="291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</row>
    <row r="938" ht="13.5" customHeight="1">
      <c r="A938" s="286"/>
      <c r="B938" s="286"/>
      <c r="C938" s="286"/>
      <c r="D938" s="286"/>
      <c r="E938" s="286"/>
      <c r="F938" s="287"/>
      <c r="G938" s="286"/>
      <c r="H938" s="287"/>
      <c r="I938" s="288"/>
      <c r="J938" s="289"/>
      <c r="K938" s="288"/>
      <c r="L938" s="289"/>
      <c r="M938" s="287"/>
      <c r="N938" s="286"/>
      <c r="O938" s="286"/>
      <c r="P938" s="291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</row>
    <row r="939" ht="13.5" customHeight="1">
      <c r="A939" s="286"/>
      <c r="B939" s="286"/>
      <c r="C939" s="286"/>
      <c r="D939" s="286"/>
      <c r="E939" s="286"/>
      <c r="F939" s="287"/>
      <c r="G939" s="286"/>
      <c r="H939" s="287"/>
      <c r="I939" s="288"/>
      <c r="J939" s="289"/>
      <c r="K939" s="288"/>
      <c r="L939" s="289"/>
      <c r="M939" s="287"/>
      <c r="N939" s="286"/>
      <c r="O939" s="286"/>
      <c r="P939" s="291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</row>
    <row r="940" ht="13.5" customHeight="1">
      <c r="A940" s="286"/>
      <c r="B940" s="286"/>
      <c r="C940" s="286"/>
      <c r="D940" s="286"/>
      <c r="E940" s="286"/>
      <c r="F940" s="287"/>
      <c r="G940" s="286"/>
      <c r="H940" s="287"/>
      <c r="I940" s="288"/>
      <c r="J940" s="289"/>
      <c r="K940" s="288"/>
      <c r="L940" s="289"/>
      <c r="M940" s="287"/>
      <c r="N940" s="286"/>
      <c r="O940" s="286"/>
      <c r="P940" s="291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</row>
    <row r="941" ht="13.5" customHeight="1">
      <c r="A941" s="286"/>
      <c r="B941" s="286"/>
      <c r="C941" s="286"/>
      <c r="D941" s="286"/>
      <c r="E941" s="286"/>
      <c r="F941" s="287"/>
      <c r="G941" s="286"/>
      <c r="H941" s="287"/>
      <c r="I941" s="288"/>
      <c r="J941" s="289"/>
      <c r="K941" s="288"/>
      <c r="L941" s="289"/>
      <c r="M941" s="287"/>
      <c r="N941" s="286"/>
      <c r="O941" s="286"/>
      <c r="P941" s="291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</row>
    <row r="942" ht="13.5" customHeight="1">
      <c r="A942" s="286"/>
      <c r="B942" s="286"/>
      <c r="C942" s="286"/>
      <c r="D942" s="286"/>
      <c r="E942" s="286"/>
      <c r="F942" s="287"/>
      <c r="G942" s="286"/>
      <c r="H942" s="287"/>
      <c r="I942" s="288"/>
      <c r="J942" s="289"/>
      <c r="K942" s="288"/>
      <c r="L942" s="289"/>
      <c r="M942" s="287"/>
      <c r="N942" s="286"/>
      <c r="O942" s="286"/>
      <c r="P942" s="291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</row>
    <row r="943" ht="13.5" customHeight="1">
      <c r="A943" s="286"/>
      <c r="B943" s="286"/>
      <c r="C943" s="286"/>
      <c r="D943" s="286"/>
      <c r="E943" s="286"/>
      <c r="F943" s="287"/>
      <c r="G943" s="286"/>
      <c r="H943" s="287"/>
      <c r="I943" s="288"/>
      <c r="J943" s="289"/>
      <c r="K943" s="288"/>
      <c r="L943" s="289"/>
      <c r="M943" s="287"/>
      <c r="N943" s="286"/>
      <c r="O943" s="286"/>
      <c r="P943" s="291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</row>
    <row r="944" ht="13.5" customHeight="1">
      <c r="A944" s="286"/>
      <c r="B944" s="286"/>
      <c r="C944" s="286"/>
      <c r="D944" s="286"/>
      <c r="E944" s="286"/>
      <c r="F944" s="287"/>
      <c r="G944" s="286"/>
      <c r="H944" s="287"/>
      <c r="I944" s="288"/>
      <c r="J944" s="289"/>
      <c r="K944" s="288"/>
      <c r="L944" s="289"/>
      <c r="M944" s="287"/>
      <c r="N944" s="286"/>
      <c r="O944" s="286"/>
      <c r="P944" s="291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</row>
    <row r="945" ht="13.5" customHeight="1">
      <c r="A945" s="286"/>
      <c r="B945" s="286"/>
      <c r="C945" s="286"/>
      <c r="D945" s="286"/>
      <c r="E945" s="286"/>
      <c r="F945" s="287"/>
      <c r="G945" s="286"/>
      <c r="H945" s="287"/>
      <c r="I945" s="288"/>
      <c r="J945" s="289"/>
      <c r="K945" s="288"/>
      <c r="L945" s="289"/>
      <c r="M945" s="287"/>
      <c r="N945" s="286"/>
      <c r="O945" s="286"/>
      <c r="P945" s="291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</row>
    <row r="946" ht="13.5" customHeight="1">
      <c r="A946" s="286"/>
      <c r="B946" s="286"/>
      <c r="C946" s="286"/>
      <c r="D946" s="286"/>
      <c r="E946" s="286"/>
      <c r="F946" s="287"/>
      <c r="G946" s="286"/>
      <c r="H946" s="287"/>
      <c r="I946" s="288"/>
      <c r="J946" s="289"/>
      <c r="K946" s="288"/>
      <c r="L946" s="289"/>
      <c r="M946" s="287"/>
      <c r="N946" s="286"/>
      <c r="O946" s="286"/>
      <c r="P946" s="291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</row>
    <row r="947" ht="13.5" customHeight="1">
      <c r="A947" s="286"/>
      <c r="B947" s="286"/>
      <c r="C947" s="286"/>
      <c r="D947" s="286"/>
      <c r="E947" s="286"/>
      <c r="F947" s="287"/>
      <c r="G947" s="286"/>
      <c r="H947" s="287"/>
      <c r="I947" s="288"/>
      <c r="J947" s="289"/>
      <c r="K947" s="288"/>
      <c r="L947" s="289"/>
      <c r="M947" s="287"/>
      <c r="N947" s="286"/>
      <c r="O947" s="286"/>
      <c r="P947" s="291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</row>
    <row r="948" ht="13.5" customHeight="1">
      <c r="A948" s="286"/>
      <c r="B948" s="286"/>
      <c r="C948" s="286"/>
      <c r="D948" s="286"/>
      <c r="E948" s="286"/>
      <c r="F948" s="287"/>
      <c r="G948" s="286"/>
      <c r="H948" s="287"/>
      <c r="I948" s="288"/>
      <c r="J948" s="289"/>
      <c r="K948" s="288"/>
      <c r="L948" s="289"/>
      <c r="M948" s="287"/>
      <c r="N948" s="286"/>
      <c r="O948" s="286"/>
      <c r="P948" s="291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</row>
    <row r="949" ht="13.5" customHeight="1">
      <c r="A949" s="286"/>
      <c r="B949" s="286"/>
      <c r="C949" s="286"/>
      <c r="D949" s="286"/>
      <c r="E949" s="286"/>
      <c r="F949" s="287"/>
      <c r="G949" s="286"/>
      <c r="H949" s="287"/>
      <c r="I949" s="288"/>
      <c r="J949" s="289"/>
      <c r="K949" s="288"/>
      <c r="L949" s="289"/>
      <c r="M949" s="287"/>
      <c r="N949" s="286"/>
      <c r="O949" s="286"/>
      <c r="P949" s="291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</row>
    <row r="950" ht="13.5" customHeight="1">
      <c r="A950" s="286"/>
      <c r="B950" s="286"/>
      <c r="C950" s="286"/>
      <c r="D950" s="286"/>
      <c r="E950" s="286"/>
      <c r="F950" s="287"/>
      <c r="G950" s="286"/>
      <c r="H950" s="287"/>
      <c r="I950" s="288"/>
      <c r="J950" s="289"/>
      <c r="K950" s="288"/>
      <c r="L950" s="289"/>
      <c r="M950" s="287"/>
      <c r="N950" s="286"/>
      <c r="O950" s="286"/>
      <c r="P950" s="291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</row>
    <row r="951" ht="13.5" customHeight="1">
      <c r="A951" s="286"/>
      <c r="B951" s="286"/>
      <c r="C951" s="286"/>
      <c r="D951" s="286"/>
      <c r="E951" s="286"/>
      <c r="F951" s="287"/>
      <c r="G951" s="286"/>
      <c r="H951" s="287"/>
      <c r="I951" s="288"/>
      <c r="J951" s="289"/>
      <c r="K951" s="288"/>
      <c r="L951" s="289"/>
      <c r="M951" s="287"/>
      <c r="N951" s="286"/>
      <c r="O951" s="286"/>
      <c r="P951" s="291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</row>
    <row r="952" ht="13.5" customHeight="1">
      <c r="A952" s="286"/>
      <c r="B952" s="286"/>
      <c r="C952" s="286"/>
      <c r="D952" s="286"/>
      <c r="E952" s="286"/>
      <c r="F952" s="287"/>
      <c r="G952" s="286"/>
      <c r="H952" s="287"/>
      <c r="I952" s="288"/>
      <c r="J952" s="289"/>
      <c r="K952" s="288"/>
      <c r="L952" s="289"/>
      <c r="M952" s="287"/>
      <c r="N952" s="286"/>
      <c r="O952" s="286"/>
      <c r="P952" s="291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</row>
    <row r="953" ht="13.5" customHeight="1">
      <c r="A953" s="286"/>
      <c r="B953" s="286"/>
      <c r="C953" s="286"/>
      <c r="D953" s="286"/>
      <c r="E953" s="286"/>
      <c r="F953" s="287"/>
      <c r="G953" s="286"/>
      <c r="H953" s="287"/>
      <c r="I953" s="288"/>
      <c r="J953" s="289"/>
      <c r="K953" s="288"/>
      <c r="L953" s="289"/>
      <c r="M953" s="287"/>
      <c r="N953" s="286"/>
      <c r="O953" s="286"/>
      <c r="P953" s="291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</row>
    <row r="954" ht="13.5" customHeight="1">
      <c r="A954" s="286"/>
      <c r="B954" s="286"/>
      <c r="C954" s="286"/>
      <c r="D954" s="286"/>
      <c r="E954" s="286"/>
      <c r="F954" s="287"/>
      <c r="G954" s="286"/>
      <c r="H954" s="287"/>
      <c r="I954" s="288"/>
      <c r="J954" s="289"/>
      <c r="K954" s="288"/>
      <c r="L954" s="289"/>
      <c r="M954" s="287"/>
      <c r="N954" s="286"/>
      <c r="O954" s="286"/>
      <c r="P954" s="291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</row>
    <row r="955" ht="13.5" customHeight="1">
      <c r="A955" s="286"/>
      <c r="B955" s="286"/>
      <c r="C955" s="286"/>
      <c r="D955" s="286"/>
      <c r="E955" s="286"/>
      <c r="F955" s="287"/>
      <c r="G955" s="286"/>
      <c r="H955" s="287"/>
      <c r="I955" s="288"/>
      <c r="J955" s="289"/>
      <c r="K955" s="288"/>
      <c r="L955" s="289"/>
      <c r="M955" s="287"/>
      <c r="N955" s="286"/>
      <c r="O955" s="286"/>
      <c r="P955" s="291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</row>
    <row r="956" ht="13.5" customHeight="1">
      <c r="A956" s="286"/>
      <c r="B956" s="286"/>
      <c r="C956" s="286"/>
      <c r="D956" s="286"/>
      <c r="E956" s="286"/>
      <c r="F956" s="287"/>
      <c r="G956" s="286"/>
      <c r="H956" s="287"/>
      <c r="I956" s="288"/>
      <c r="J956" s="289"/>
      <c r="K956" s="288"/>
      <c r="L956" s="289"/>
      <c r="M956" s="287"/>
      <c r="N956" s="286"/>
      <c r="O956" s="286"/>
      <c r="P956" s="291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</row>
    <row r="957" ht="13.5" customHeight="1">
      <c r="A957" s="286"/>
      <c r="B957" s="286"/>
      <c r="C957" s="286"/>
      <c r="D957" s="286"/>
      <c r="E957" s="286"/>
      <c r="F957" s="287"/>
      <c r="G957" s="286"/>
      <c r="H957" s="287"/>
      <c r="I957" s="288"/>
      <c r="J957" s="289"/>
      <c r="K957" s="288"/>
      <c r="L957" s="289"/>
      <c r="M957" s="287"/>
      <c r="N957" s="286"/>
      <c r="O957" s="286"/>
      <c r="P957" s="291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</row>
    <row r="958" ht="13.5" customHeight="1">
      <c r="A958" s="286"/>
      <c r="B958" s="286"/>
      <c r="C958" s="286"/>
      <c r="D958" s="286"/>
      <c r="E958" s="286"/>
      <c r="F958" s="287"/>
      <c r="G958" s="286"/>
      <c r="H958" s="287"/>
      <c r="I958" s="288"/>
      <c r="J958" s="289"/>
      <c r="K958" s="288"/>
      <c r="L958" s="289"/>
      <c r="M958" s="287"/>
      <c r="N958" s="286"/>
      <c r="O958" s="286"/>
      <c r="P958" s="291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</row>
    <row r="959" ht="13.5" customHeight="1">
      <c r="A959" s="286"/>
      <c r="B959" s="286"/>
      <c r="C959" s="286"/>
      <c r="D959" s="286"/>
      <c r="E959" s="286"/>
      <c r="F959" s="287"/>
      <c r="G959" s="286"/>
      <c r="H959" s="287"/>
      <c r="I959" s="288"/>
      <c r="J959" s="289"/>
      <c r="K959" s="288"/>
      <c r="L959" s="289"/>
      <c r="M959" s="287"/>
      <c r="N959" s="286"/>
      <c r="O959" s="286"/>
      <c r="P959" s="291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</row>
    <row r="960" ht="13.5" customHeight="1">
      <c r="A960" s="286"/>
      <c r="B960" s="286"/>
      <c r="C960" s="286"/>
      <c r="D960" s="286"/>
      <c r="E960" s="286"/>
      <c r="F960" s="287"/>
      <c r="G960" s="286"/>
      <c r="H960" s="287"/>
      <c r="I960" s="288"/>
      <c r="J960" s="289"/>
      <c r="K960" s="288"/>
      <c r="L960" s="289"/>
      <c r="M960" s="287"/>
      <c r="N960" s="286"/>
      <c r="O960" s="286"/>
      <c r="P960" s="291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</row>
    <row r="961" ht="13.5" customHeight="1">
      <c r="A961" s="286"/>
      <c r="B961" s="286"/>
      <c r="C961" s="286"/>
      <c r="D961" s="286"/>
      <c r="E961" s="286"/>
      <c r="F961" s="287"/>
      <c r="G961" s="286"/>
      <c r="H961" s="287"/>
      <c r="I961" s="288"/>
      <c r="J961" s="289"/>
      <c r="K961" s="288"/>
      <c r="L961" s="289"/>
      <c r="M961" s="287"/>
      <c r="N961" s="286"/>
      <c r="O961" s="286"/>
      <c r="P961" s="291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</row>
    <row r="962" ht="13.5" customHeight="1">
      <c r="A962" s="286"/>
      <c r="B962" s="286"/>
      <c r="C962" s="286"/>
      <c r="D962" s="286"/>
      <c r="E962" s="286"/>
      <c r="F962" s="287"/>
      <c r="G962" s="286"/>
      <c r="H962" s="287"/>
      <c r="I962" s="288"/>
      <c r="J962" s="289"/>
      <c r="K962" s="288"/>
      <c r="L962" s="289"/>
      <c r="M962" s="287"/>
      <c r="N962" s="286"/>
      <c r="O962" s="286"/>
      <c r="P962" s="291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</row>
    <row r="963" ht="13.5" customHeight="1">
      <c r="A963" s="286"/>
      <c r="B963" s="286"/>
      <c r="C963" s="286"/>
      <c r="D963" s="286"/>
      <c r="E963" s="286"/>
      <c r="F963" s="287"/>
      <c r="G963" s="286"/>
      <c r="H963" s="287"/>
      <c r="I963" s="288"/>
      <c r="J963" s="289"/>
      <c r="K963" s="288"/>
      <c r="L963" s="289"/>
      <c r="M963" s="287"/>
      <c r="N963" s="286"/>
      <c r="O963" s="286"/>
      <c r="P963" s="291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</row>
    <row r="964" ht="13.5" customHeight="1">
      <c r="A964" s="286"/>
      <c r="B964" s="286"/>
      <c r="C964" s="286"/>
      <c r="D964" s="286"/>
      <c r="E964" s="286"/>
      <c r="F964" s="287"/>
      <c r="G964" s="286"/>
      <c r="H964" s="287"/>
      <c r="I964" s="288"/>
      <c r="J964" s="289"/>
      <c r="K964" s="288"/>
      <c r="L964" s="289"/>
      <c r="M964" s="287"/>
      <c r="N964" s="286"/>
      <c r="O964" s="286"/>
      <c r="P964" s="291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</row>
    <row r="965" ht="13.5" customHeight="1">
      <c r="A965" s="286"/>
      <c r="B965" s="286"/>
      <c r="C965" s="286"/>
      <c r="D965" s="286"/>
      <c r="E965" s="286"/>
      <c r="F965" s="287"/>
      <c r="G965" s="286"/>
      <c r="H965" s="287"/>
      <c r="I965" s="288"/>
      <c r="J965" s="289"/>
      <c r="K965" s="288"/>
      <c r="L965" s="289"/>
      <c r="M965" s="287"/>
      <c r="N965" s="286"/>
      <c r="O965" s="286"/>
      <c r="P965" s="291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</row>
    <row r="966" ht="13.5" customHeight="1">
      <c r="A966" s="286"/>
      <c r="B966" s="286"/>
      <c r="C966" s="286"/>
      <c r="D966" s="286"/>
      <c r="E966" s="286"/>
      <c r="F966" s="287"/>
      <c r="G966" s="286"/>
      <c r="H966" s="287"/>
      <c r="I966" s="288"/>
      <c r="J966" s="289"/>
      <c r="K966" s="288"/>
      <c r="L966" s="289"/>
      <c r="M966" s="287"/>
      <c r="N966" s="286"/>
      <c r="O966" s="286"/>
      <c r="P966" s="291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</row>
    <row r="967" ht="13.5" customHeight="1">
      <c r="A967" s="286"/>
      <c r="B967" s="286"/>
      <c r="C967" s="286"/>
      <c r="D967" s="286"/>
      <c r="E967" s="286"/>
      <c r="F967" s="287"/>
      <c r="G967" s="286"/>
      <c r="H967" s="287"/>
      <c r="I967" s="288"/>
      <c r="J967" s="289"/>
      <c r="K967" s="288"/>
      <c r="L967" s="289"/>
      <c r="M967" s="287"/>
      <c r="N967" s="286"/>
      <c r="O967" s="286"/>
      <c r="P967" s="291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</row>
    <row r="968" ht="13.5" customHeight="1">
      <c r="A968" s="286"/>
      <c r="B968" s="286"/>
      <c r="C968" s="286"/>
      <c r="D968" s="286"/>
      <c r="E968" s="286"/>
      <c r="F968" s="287"/>
      <c r="G968" s="286"/>
      <c r="H968" s="287"/>
      <c r="I968" s="288"/>
      <c r="J968" s="289"/>
      <c r="K968" s="288"/>
      <c r="L968" s="289"/>
      <c r="M968" s="287"/>
      <c r="N968" s="286"/>
      <c r="O968" s="286"/>
      <c r="P968" s="291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</row>
    <row r="969" ht="13.5" customHeight="1">
      <c r="A969" s="286"/>
      <c r="B969" s="286"/>
      <c r="C969" s="286"/>
      <c r="D969" s="286"/>
      <c r="E969" s="286"/>
      <c r="F969" s="287"/>
      <c r="G969" s="286"/>
      <c r="H969" s="287"/>
      <c r="I969" s="288"/>
      <c r="J969" s="289"/>
      <c r="K969" s="288"/>
      <c r="L969" s="289"/>
      <c r="M969" s="287"/>
      <c r="N969" s="286"/>
      <c r="O969" s="286"/>
      <c r="P969" s="291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</row>
    <row r="970" ht="13.5" customHeight="1">
      <c r="A970" s="286"/>
      <c r="B970" s="286"/>
      <c r="C970" s="286"/>
      <c r="D970" s="286"/>
      <c r="E970" s="286"/>
      <c r="F970" s="287"/>
      <c r="G970" s="286"/>
      <c r="H970" s="287"/>
      <c r="I970" s="288"/>
      <c r="J970" s="289"/>
      <c r="K970" s="288"/>
      <c r="L970" s="289"/>
      <c r="M970" s="287"/>
      <c r="N970" s="286"/>
      <c r="O970" s="286"/>
      <c r="P970" s="291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</row>
    <row r="971" ht="13.5" customHeight="1">
      <c r="A971" s="286"/>
      <c r="B971" s="286"/>
      <c r="C971" s="286"/>
      <c r="D971" s="286"/>
      <c r="E971" s="286"/>
      <c r="F971" s="287"/>
      <c r="G971" s="286"/>
      <c r="H971" s="287"/>
      <c r="I971" s="288"/>
      <c r="J971" s="289"/>
      <c r="K971" s="288"/>
      <c r="L971" s="289"/>
      <c r="M971" s="287"/>
      <c r="N971" s="286"/>
      <c r="O971" s="286"/>
      <c r="P971" s="291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</row>
    <row r="972" ht="13.5" customHeight="1">
      <c r="A972" s="286"/>
      <c r="B972" s="286"/>
      <c r="C972" s="286"/>
      <c r="D972" s="286"/>
      <c r="E972" s="286"/>
      <c r="F972" s="287"/>
      <c r="G972" s="286"/>
      <c r="H972" s="287"/>
      <c r="I972" s="288"/>
      <c r="J972" s="289"/>
      <c r="K972" s="288"/>
      <c r="L972" s="289"/>
      <c r="M972" s="287"/>
      <c r="N972" s="286"/>
      <c r="O972" s="286"/>
      <c r="P972" s="291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</row>
    <row r="973" ht="13.5" customHeight="1">
      <c r="A973" s="286"/>
      <c r="B973" s="286"/>
      <c r="C973" s="286"/>
      <c r="D973" s="286"/>
      <c r="E973" s="286"/>
      <c r="F973" s="287"/>
      <c r="G973" s="286"/>
      <c r="H973" s="287"/>
      <c r="I973" s="288"/>
      <c r="J973" s="289"/>
      <c r="K973" s="288"/>
      <c r="L973" s="289"/>
      <c r="M973" s="287"/>
      <c r="N973" s="286"/>
      <c r="O973" s="286"/>
      <c r="P973" s="291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</row>
    <row r="974" ht="13.5" customHeight="1">
      <c r="A974" s="286"/>
      <c r="B974" s="286"/>
      <c r="C974" s="286"/>
      <c r="D974" s="286"/>
      <c r="E974" s="286"/>
      <c r="F974" s="287"/>
      <c r="G974" s="286"/>
      <c r="H974" s="287"/>
      <c r="I974" s="288"/>
      <c r="J974" s="289"/>
      <c r="K974" s="288"/>
      <c r="L974" s="289"/>
      <c r="M974" s="287"/>
      <c r="N974" s="286"/>
      <c r="O974" s="286"/>
      <c r="P974" s="291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</row>
    <row r="975" ht="13.5" customHeight="1">
      <c r="A975" s="286"/>
      <c r="B975" s="286"/>
      <c r="C975" s="286"/>
      <c r="D975" s="286"/>
      <c r="E975" s="286"/>
      <c r="F975" s="287"/>
      <c r="G975" s="286"/>
      <c r="H975" s="287"/>
      <c r="I975" s="288"/>
      <c r="J975" s="289"/>
      <c r="K975" s="288"/>
      <c r="L975" s="289"/>
      <c r="M975" s="287"/>
      <c r="N975" s="286"/>
      <c r="O975" s="286"/>
      <c r="P975" s="291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</row>
    <row r="976" ht="13.5" customHeight="1">
      <c r="A976" s="286"/>
      <c r="B976" s="286"/>
      <c r="C976" s="286"/>
      <c r="D976" s="286"/>
      <c r="E976" s="286"/>
      <c r="F976" s="287"/>
      <c r="G976" s="286"/>
      <c r="H976" s="287"/>
      <c r="I976" s="288"/>
      <c r="J976" s="289"/>
      <c r="K976" s="288"/>
      <c r="L976" s="289"/>
      <c r="M976" s="287"/>
      <c r="N976" s="286"/>
      <c r="O976" s="286"/>
      <c r="P976" s="291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</row>
    <row r="977" ht="13.5" customHeight="1">
      <c r="A977" s="286"/>
      <c r="B977" s="286"/>
      <c r="C977" s="286"/>
      <c r="D977" s="286"/>
      <c r="E977" s="286"/>
      <c r="F977" s="287"/>
      <c r="G977" s="286"/>
      <c r="H977" s="287"/>
      <c r="I977" s="288"/>
      <c r="J977" s="289"/>
      <c r="K977" s="288"/>
      <c r="L977" s="289"/>
      <c r="M977" s="287"/>
      <c r="N977" s="286"/>
      <c r="O977" s="286"/>
      <c r="P977" s="291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</row>
    <row r="978" ht="13.5" customHeight="1">
      <c r="A978" s="286"/>
      <c r="B978" s="286"/>
      <c r="C978" s="286"/>
      <c r="D978" s="286"/>
      <c r="E978" s="286"/>
      <c r="F978" s="287"/>
      <c r="G978" s="286"/>
      <c r="H978" s="287"/>
      <c r="I978" s="288"/>
      <c r="J978" s="289"/>
      <c r="K978" s="288"/>
      <c r="L978" s="289"/>
      <c r="M978" s="287"/>
      <c r="N978" s="286"/>
      <c r="O978" s="286"/>
      <c r="P978" s="291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</row>
    <row r="979" ht="13.5" customHeight="1">
      <c r="A979" s="286"/>
      <c r="B979" s="286"/>
      <c r="C979" s="286"/>
      <c r="D979" s="286"/>
      <c r="E979" s="286"/>
      <c r="F979" s="287"/>
      <c r="G979" s="286"/>
      <c r="H979" s="287"/>
      <c r="I979" s="288"/>
      <c r="J979" s="289"/>
      <c r="K979" s="288"/>
      <c r="L979" s="289"/>
      <c r="M979" s="287"/>
      <c r="N979" s="286"/>
      <c r="O979" s="286"/>
      <c r="P979" s="291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</row>
    <row r="980" ht="13.5" customHeight="1">
      <c r="A980" s="286"/>
      <c r="B980" s="286"/>
      <c r="C980" s="286"/>
      <c r="D980" s="286"/>
      <c r="E980" s="286"/>
      <c r="F980" s="287"/>
      <c r="G980" s="286"/>
      <c r="H980" s="287"/>
      <c r="I980" s="288"/>
      <c r="J980" s="289"/>
      <c r="K980" s="288"/>
      <c r="L980" s="289"/>
      <c r="M980" s="287"/>
      <c r="N980" s="286"/>
      <c r="O980" s="286"/>
      <c r="P980" s="291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</row>
    <row r="981" ht="13.5" customHeight="1">
      <c r="A981" s="286"/>
      <c r="B981" s="286"/>
      <c r="C981" s="286"/>
      <c r="D981" s="286"/>
      <c r="E981" s="286"/>
      <c r="F981" s="287"/>
      <c r="G981" s="286"/>
      <c r="H981" s="287"/>
      <c r="I981" s="288"/>
      <c r="J981" s="289"/>
      <c r="K981" s="288"/>
      <c r="L981" s="289"/>
      <c r="M981" s="287"/>
      <c r="N981" s="286"/>
      <c r="O981" s="286"/>
      <c r="P981" s="291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</row>
    <row r="982" ht="13.5" customHeight="1">
      <c r="A982" s="286"/>
      <c r="B982" s="286"/>
      <c r="C982" s="286"/>
      <c r="D982" s="286"/>
      <c r="E982" s="286"/>
      <c r="F982" s="287"/>
      <c r="G982" s="286"/>
      <c r="H982" s="287"/>
      <c r="I982" s="288"/>
      <c r="J982" s="289"/>
      <c r="K982" s="288"/>
      <c r="L982" s="289"/>
      <c r="M982" s="287"/>
      <c r="N982" s="286"/>
      <c r="O982" s="286"/>
      <c r="P982" s="291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</row>
    <row r="983" ht="13.5" customHeight="1">
      <c r="A983" s="286"/>
      <c r="B983" s="286"/>
      <c r="C983" s="286"/>
      <c r="D983" s="286"/>
      <c r="E983" s="286"/>
      <c r="F983" s="287"/>
      <c r="G983" s="286"/>
      <c r="H983" s="287"/>
      <c r="I983" s="288"/>
      <c r="J983" s="289"/>
      <c r="K983" s="288"/>
      <c r="L983" s="289"/>
      <c r="M983" s="287"/>
      <c r="N983" s="286"/>
      <c r="O983" s="286"/>
      <c r="P983" s="291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</row>
    <row r="984" ht="13.5" customHeight="1">
      <c r="A984" s="286"/>
      <c r="B984" s="286"/>
      <c r="C984" s="286"/>
      <c r="D984" s="286"/>
      <c r="E984" s="286"/>
      <c r="F984" s="287"/>
      <c r="G984" s="286"/>
      <c r="H984" s="287"/>
      <c r="I984" s="288"/>
      <c r="J984" s="289"/>
      <c r="K984" s="288"/>
      <c r="L984" s="289"/>
      <c r="M984" s="287"/>
      <c r="N984" s="286"/>
      <c r="O984" s="286"/>
      <c r="P984" s="291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</row>
    <row r="985" ht="13.5" customHeight="1">
      <c r="A985" s="286"/>
      <c r="B985" s="286"/>
      <c r="C985" s="286"/>
      <c r="D985" s="286"/>
      <c r="E985" s="286"/>
      <c r="F985" s="287"/>
      <c r="G985" s="286"/>
      <c r="H985" s="287"/>
      <c r="I985" s="288"/>
      <c r="J985" s="289"/>
      <c r="K985" s="288"/>
      <c r="L985" s="289"/>
      <c r="M985" s="287"/>
      <c r="N985" s="286"/>
      <c r="O985" s="286"/>
      <c r="P985" s="291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</row>
    <row r="986" ht="13.5" customHeight="1">
      <c r="A986" s="286"/>
      <c r="B986" s="286"/>
      <c r="C986" s="286"/>
      <c r="D986" s="286"/>
      <c r="E986" s="286"/>
      <c r="F986" s="287"/>
      <c r="G986" s="286"/>
      <c r="H986" s="287"/>
      <c r="I986" s="288"/>
      <c r="J986" s="289"/>
      <c r="K986" s="288"/>
      <c r="L986" s="289"/>
      <c r="M986" s="287"/>
      <c r="N986" s="286"/>
      <c r="O986" s="286"/>
      <c r="P986" s="291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</row>
    <row r="987" ht="13.5" customHeight="1">
      <c r="A987" s="286"/>
      <c r="B987" s="286"/>
      <c r="C987" s="286"/>
      <c r="D987" s="286"/>
      <c r="E987" s="286"/>
      <c r="F987" s="287"/>
      <c r="G987" s="286"/>
      <c r="H987" s="287"/>
      <c r="I987" s="288"/>
      <c r="J987" s="289"/>
      <c r="K987" s="288"/>
      <c r="L987" s="289"/>
      <c r="M987" s="287"/>
      <c r="N987" s="286"/>
      <c r="O987" s="286"/>
      <c r="P987" s="291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</row>
    <row r="988" ht="13.5" customHeight="1">
      <c r="A988" s="286"/>
      <c r="B988" s="286"/>
      <c r="C988" s="286"/>
      <c r="D988" s="286"/>
      <c r="E988" s="286"/>
      <c r="F988" s="287"/>
      <c r="G988" s="286"/>
      <c r="H988" s="287"/>
      <c r="I988" s="288"/>
      <c r="J988" s="289"/>
      <c r="K988" s="288"/>
      <c r="L988" s="289"/>
      <c r="M988" s="287"/>
      <c r="N988" s="286"/>
      <c r="O988" s="286"/>
      <c r="P988" s="291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</row>
    <row r="989" ht="13.5" customHeight="1">
      <c r="A989" s="286"/>
      <c r="B989" s="286"/>
      <c r="C989" s="286"/>
      <c r="D989" s="286"/>
      <c r="E989" s="286"/>
      <c r="F989" s="287"/>
      <c r="G989" s="286"/>
      <c r="H989" s="287"/>
      <c r="I989" s="288"/>
      <c r="J989" s="289"/>
      <c r="K989" s="288"/>
      <c r="L989" s="289"/>
      <c r="M989" s="287"/>
      <c r="N989" s="286"/>
      <c r="O989" s="286"/>
      <c r="P989" s="291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</row>
    <row r="990" ht="13.5" customHeight="1">
      <c r="A990" s="286"/>
      <c r="B990" s="286"/>
      <c r="C990" s="286"/>
      <c r="D990" s="286"/>
      <c r="E990" s="286"/>
      <c r="F990" s="287"/>
      <c r="G990" s="286"/>
      <c r="H990" s="287"/>
      <c r="I990" s="288"/>
      <c r="J990" s="289"/>
      <c r="K990" s="288"/>
      <c r="L990" s="289"/>
      <c r="M990" s="287"/>
      <c r="N990" s="286"/>
      <c r="O990" s="286"/>
      <c r="P990" s="291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</row>
    <row r="991" ht="13.5" customHeight="1">
      <c r="A991" s="286"/>
      <c r="B991" s="286"/>
      <c r="C991" s="286"/>
      <c r="D991" s="286"/>
      <c r="E991" s="286"/>
      <c r="F991" s="287"/>
      <c r="G991" s="286"/>
      <c r="H991" s="287"/>
      <c r="I991" s="288"/>
      <c r="J991" s="289"/>
      <c r="K991" s="288"/>
      <c r="L991" s="289"/>
      <c r="M991" s="287"/>
      <c r="N991" s="286"/>
      <c r="O991" s="286"/>
      <c r="P991" s="291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</row>
    <row r="992" ht="13.5" customHeight="1">
      <c r="A992" s="286"/>
      <c r="B992" s="286"/>
      <c r="C992" s="286"/>
      <c r="D992" s="286"/>
      <c r="E992" s="286"/>
      <c r="F992" s="287"/>
      <c r="G992" s="286"/>
      <c r="H992" s="287"/>
      <c r="I992" s="288"/>
      <c r="J992" s="289"/>
      <c r="K992" s="288"/>
      <c r="L992" s="289"/>
      <c r="M992" s="287"/>
      <c r="N992" s="286"/>
      <c r="O992" s="286"/>
      <c r="P992" s="291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</row>
    <row r="993" ht="13.5" customHeight="1">
      <c r="A993" s="286"/>
      <c r="B993" s="286"/>
      <c r="C993" s="286"/>
      <c r="D993" s="286"/>
      <c r="E993" s="286"/>
      <c r="F993" s="287"/>
      <c r="G993" s="286"/>
      <c r="H993" s="287"/>
      <c r="I993" s="288"/>
      <c r="J993" s="289"/>
      <c r="K993" s="288"/>
      <c r="L993" s="289"/>
      <c r="M993" s="287"/>
      <c r="N993" s="286"/>
      <c r="O993" s="286"/>
      <c r="P993" s="291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</row>
    <row r="994" ht="13.5" customHeight="1">
      <c r="A994" s="286"/>
      <c r="B994" s="286"/>
      <c r="C994" s="286"/>
      <c r="D994" s="286"/>
      <c r="E994" s="286"/>
      <c r="F994" s="287"/>
      <c r="G994" s="286"/>
      <c r="H994" s="287"/>
      <c r="I994" s="288"/>
      <c r="J994" s="289"/>
      <c r="K994" s="288"/>
      <c r="L994" s="289"/>
      <c r="M994" s="287"/>
      <c r="N994" s="286"/>
      <c r="O994" s="286"/>
      <c r="P994" s="291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</row>
    <row r="995" ht="13.5" customHeight="1">
      <c r="A995" s="286"/>
      <c r="B995" s="286"/>
      <c r="C995" s="286"/>
      <c r="D995" s="286"/>
      <c r="E995" s="286"/>
      <c r="F995" s="287"/>
      <c r="G995" s="286"/>
      <c r="H995" s="287"/>
      <c r="I995" s="288"/>
      <c r="J995" s="289"/>
      <c r="K995" s="288"/>
      <c r="L995" s="289"/>
      <c r="M995" s="287"/>
      <c r="N995" s="286"/>
      <c r="O995" s="286"/>
      <c r="P995" s="291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</row>
    <row r="996" ht="13.5" customHeight="1">
      <c r="A996" s="286"/>
      <c r="B996" s="286"/>
      <c r="C996" s="286"/>
      <c r="D996" s="286"/>
      <c r="E996" s="286"/>
      <c r="F996" s="287"/>
      <c r="G996" s="286"/>
      <c r="H996" s="287"/>
      <c r="I996" s="288"/>
      <c r="J996" s="289"/>
      <c r="K996" s="288"/>
      <c r="L996" s="289"/>
      <c r="M996" s="287"/>
      <c r="N996" s="286"/>
      <c r="O996" s="286"/>
      <c r="P996" s="291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</row>
    <row r="997" ht="13.5" customHeight="1">
      <c r="A997" s="286"/>
      <c r="B997" s="286"/>
      <c r="C997" s="286"/>
      <c r="D997" s="286"/>
      <c r="E997" s="286"/>
      <c r="F997" s="287"/>
      <c r="G997" s="286"/>
      <c r="H997" s="287"/>
      <c r="I997" s="288"/>
      <c r="J997" s="289"/>
      <c r="K997" s="288"/>
      <c r="L997" s="289"/>
      <c r="M997" s="287"/>
      <c r="N997" s="286"/>
      <c r="O997" s="286"/>
      <c r="P997" s="291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</row>
    <row r="998" ht="13.5" customHeight="1">
      <c r="A998" s="286"/>
      <c r="B998" s="286"/>
      <c r="C998" s="286"/>
      <c r="D998" s="286"/>
      <c r="E998" s="286"/>
      <c r="F998" s="287"/>
      <c r="G998" s="286"/>
      <c r="H998" s="287"/>
      <c r="I998" s="288"/>
      <c r="J998" s="289"/>
      <c r="K998" s="288"/>
      <c r="L998" s="289"/>
      <c r="M998" s="287"/>
      <c r="N998" s="286"/>
      <c r="O998" s="286"/>
      <c r="P998" s="291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</row>
    <row r="999" ht="13.5" customHeight="1">
      <c r="A999" s="286"/>
      <c r="B999" s="286"/>
      <c r="C999" s="286"/>
      <c r="D999" s="286"/>
      <c r="E999" s="286"/>
      <c r="F999" s="287"/>
      <c r="G999" s="286"/>
      <c r="H999" s="287"/>
      <c r="I999" s="288"/>
      <c r="J999" s="289"/>
      <c r="K999" s="288"/>
      <c r="L999" s="289"/>
      <c r="M999" s="287"/>
      <c r="N999" s="286"/>
      <c r="O999" s="286"/>
      <c r="P999" s="291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</row>
    <row r="1000" ht="13.5" customHeight="1">
      <c r="A1000" s="286"/>
      <c r="B1000" s="286"/>
      <c r="C1000" s="286"/>
      <c r="D1000" s="286"/>
      <c r="E1000" s="286"/>
      <c r="F1000" s="287"/>
      <c r="G1000" s="286"/>
      <c r="H1000" s="287"/>
      <c r="I1000" s="288"/>
      <c r="J1000" s="289"/>
      <c r="K1000" s="288"/>
      <c r="L1000" s="289"/>
      <c r="M1000" s="287"/>
      <c r="N1000" s="286"/>
      <c r="O1000" s="286"/>
      <c r="P1000" s="291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2020-04-16T02:46:19Z</dcterms:created>
  <dc:creator>PMD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84F3DC98783D47139FAE08ACF374BF6C_13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r8>0.0</vt:r8>
  </property>
</Properties>
</file>